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S:\ПРОЕКТНЫЙ ОТДЕЛ\СМЕТЫ 2026 год\ШКОЛЫ\Старопименовский переулок, д. 5\Сметы\"/>
    </mc:Choice>
  </mc:AlternateContent>
  <xr:revisionPtr revIDLastSave="0" documentId="13_ncr:1_{181842D2-9FB4-40E2-BF6F-DC107019AFE4}" xr6:coauthVersionLast="47" xr6:coauthVersionMax="47" xr10:uidLastSave="{00000000-0000-0000-0000-000000000000}"/>
  <bookViews>
    <workbookView xWindow="57480" yWindow="-120" windowWidth="38640" windowHeight="21240" xr2:uid="{00000000-000D-0000-FFFF-FFFF00000000}"/>
  </bookViews>
  <sheets>
    <sheet name="Смета по ТСН-2001(с доп.67" sheetId="7" r:id="rId1"/>
    <sheet name="Source" sheetId="1" r:id="rId2"/>
    <sheet name="SourceObSm" sheetId="2" r:id="rId3"/>
    <sheet name="SmtRes" sheetId="3" r:id="rId4"/>
    <sheet name="EtalonRes" sheetId="4" r:id="rId5"/>
    <sheet name="SrcPoprs" sheetId="5" r:id="rId6"/>
    <sheet name="SrcKA" sheetId="6" r:id="rId7"/>
  </sheets>
  <definedNames>
    <definedName name="_xlnm.Print_Titles" localSheetId="0">'Смета по ТСН-2001(с доп.67'!$34:$34</definedName>
    <definedName name="_xlnm.Print_Area" localSheetId="0">'Смета по ТСН-2001(с доп.67'!$A$1:$K$455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15" i="7" l="1"/>
  <c r="H453" i="7"/>
  <c r="H450" i="7"/>
  <c r="C453" i="7"/>
  <c r="C450" i="7"/>
  <c r="J29" i="7"/>
  <c r="J26" i="7"/>
  <c r="J25" i="7"/>
  <c r="J24" i="7"/>
  <c r="J23" i="7"/>
  <c r="J22" i="7"/>
  <c r="J21" i="7" s="1"/>
  <c r="I29" i="7"/>
  <c r="I27" i="7"/>
  <c r="I26" i="7"/>
  <c r="I25" i="7"/>
  <c r="I24" i="7"/>
  <c r="I23" i="7"/>
  <c r="I22" i="7"/>
  <c r="I21" i="7" s="1"/>
  <c r="I447" i="7"/>
  <c r="J447" i="7"/>
  <c r="I446" i="7"/>
  <c r="J446" i="7"/>
  <c r="A445" i="7"/>
  <c r="I443" i="7"/>
  <c r="J443" i="7"/>
  <c r="I442" i="7"/>
  <c r="J442" i="7"/>
  <c r="AQ441" i="7"/>
  <c r="A441" i="7"/>
  <c r="I439" i="7"/>
  <c r="J439" i="7"/>
  <c r="I438" i="7"/>
  <c r="J438" i="7"/>
  <c r="A437" i="7"/>
  <c r="K433" i="7"/>
  <c r="P434" i="7" s="1"/>
  <c r="J433" i="7"/>
  <c r="I433" i="7"/>
  <c r="O434" i="7" s="1"/>
  <c r="H433" i="7"/>
  <c r="F433" i="7"/>
  <c r="V433" i="7"/>
  <c r="T433" i="7"/>
  <c r="R433" i="7"/>
  <c r="U433" i="7"/>
  <c r="S433" i="7"/>
  <c r="Q433" i="7"/>
  <c r="E433" i="7"/>
  <c r="D433" i="7"/>
  <c r="B433" i="7"/>
  <c r="O431" i="7"/>
  <c r="H431" i="7"/>
  <c r="K430" i="7"/>
  <c r="P431" i="7" s="1"/>
  <c r="J430" i="7"/>
  <c r="I430" i="7"/>
  <c r="H430" i="7"/>
  <c r="F430" i="7"/>
  <c r="V430" i="7"/>
  <c r="T430" i="7"/>
  <c r="R430" i="7"/>
  <c r="U430" i="7"/>
  <c r="S430" i="7"/>
  <c r="Q430" i="7"/>
  <c r="E430" i="7"/>
  <c r="D430" i="7"/>
  <c r="B430" i="7"/>
  <c r="K427" i="7"/>
  <c r="P428" i="7" s="1"/>
  <c r="J427" i="7"/>
  <c r="I427" i="7"/>
  <c r="O428" i="7" s="1"/>
  <c r="H427" i="7"/>
  <c r="F427" i="7"/>
  <c r="V427" i="7"/>
  <c r="T427" i="7"/>
  <c r="R427" i="7"/>
  <c r="U427" i="7"/>
  <c r="S427" i="7"/>
  <c r="Q427" i="7"/>
  <c r="E427" i="7"/>
  <c r="D427" i="7"/>
  <c r="B427" i="7"/>
  <c r="O425" i="7"/>
  <c r="H425" i="7"/>
  <c r="K424" i="7"/>
  <c r="P425" i="7" s="1"/>
  <c r="J424" i="7"/>
  <c r="I424" i="7"/>
  <c r="H424" i="7"/>
  <c r="F424" i="7"/>
  <c r="V424" i="7"/>
  <c r="T424" i="7"/>
  <c r="R424" i="7"/>
  <c r="U424" i="7"/>
  <c r="S424" i="7"/>
  <c r="Q424" i="7"/>
  <c r="E424" i="7"/>
  <c r="D424" i="7"/>
  <c r="B424" i="7"/>
  <c r="H421" i="7"/>
  <c r="J421" i="7"/>
  <c r="I419" i="7"/>
  <c r="H419" i="7"/>
  <c r="E419" i="7"/>
  <c r="J418" i="7"/>
  <c r="E418" i="7"/>
  <c r="K417" i="7"/>
  <c r="J417" i="7"/>
  <c r="I417" i="7"/>
  <c r="E417" i="7"/>
  <c r="K416" i="7"/>
  <c r="J416" i="7"/>
  <c r="I416" i="7"/>
  <c r="H420" i="7" s="1"/>
  <c r="H416" i="7"/>
  <c r="F416" i="7"/>
  <c r="K415" i="7"/>
  <c r="J415" i="7"/>
  <c r="I415" i="7"/>
  <c r="H415" i="7"/>
  <c r="F415" i="7"/>
  <c r="K414" i="7"/>
  <c r="J414" i="7"/>
  <c r="I414" i="7"/>
  <c r="H414" i="7"/>
  <c r="F414" i="7"/>
  <c r="K413" i="7"/>
  <c r="J420" i="7" s="1"/>
  <c r="J413" i="7"/>
  <c r="I413" i="7"/>
  <c r="O422" i="7" s="1"/>
  <c r="H413" i="7"/>
  <c r="F413" i="7"/>
  <c r="V412" i="7"/>
  <c r="T412" i="7"/>
  <c r="K418" i="7" s="1"/>
  <c r="P422" i="7" s="1"/>
  <c r="R412" i="7"/>
  <c r="U412" i="7"/>
  <c r="S412" i="7"/>
  <c r="I418" i="7" s="1"/>
  <c r="Q412" i="7"/>
  <c r="E412" i="7"/>
  <c r="D412" i="7"/>
  <c r="B412" i="7"/>
  <c r="A411" i="7"/>
  <c r="I409" i="7"/>
  <c r="J409" i="7"/>
  <c r="I408" i="7"/>
  <c r="J408" i="7"/>
  <c r="A407" i="7"/>
  <c r="H404" i="7"/>
  <c r="P404" i="7"/>
  <c r="J404" i="7"/>
  <c r="K403" i="7"/>
  <c r="J403" i="7"/>
  <c r="I403" i="7"/>
  <c r="O404" i="7" s="1"/>
  <c r="H403" i="7"/>
  <c r="F403" i="7"/>
  <c r="V403" i="7"/>
  <c r="T403" i="7"/>
  <c r="R403" i="7"/>
  <c r="U403" i="7"/>
  <c r="S403" i="7"/>
  <c r="Q403" i="7"/>
  <c r="E403" i="7"/>
  <c r="D403" i="7"/>
  <c r="B403" i="7"/>
  <c r="H401" i="7"/>
  <c r="P401" i="7"/>
  <c r="J401" i="7"/>
  <c r="K400" i="7"/>
  <c r="J400" i="7"/>
  <c r="I400" i="7"/>
  <c r="O401" i="7" s="1"/>
  <c r="H400" i="7"/>
  <c r="F400" i="7"/>
  <c r="V400" i="7"/>
  <c r="T400" i="7"/>
  <c r="R400" i="7"/>
  <c r="U400" i="7"/>
  <c r="S400" i="7"/>
  <c r="Q400" i="7"/>
  <c r="E400" i="7"/>
  <c r="D400" i="7"/>
  <c r="B400" i="7"/>
  <c r="P398" i="7"/>
  <c r="J398" i="7"/>
  <c r="C397" i="7"/>
  <c r="K396" i="7"/>
  <c r="J396" i="7"/>
  <c r="I396" i="7"/>
  <c r="O398" i="7" s="1"/>
  <c r="H396" i="7"/>
  <c r="F396" i="7"/>
  <c r="V396" i="7"/>
  <c r="T396" i="7"/>
  <c r="R396" i="7"/>
  <c r="U396" i="7"/>
  <c r="S396" i="7"/>
  <c r="Q396" i="7"/>
  <c r="E396" i="7"/>
  <c r="D396" i="7"/>
  <c r="B396" i="7"/>
  <c r="H394" i="7"/>
  <c r="K393" i="7"/>
  <c r="P394" i="7" s="1"/>
  <c r="J393" i="7"/>
  <c r="I393" i="7"/>
  <c r="O394" i="7" s="1"/>
  <c r="H393" i="7"/>
  <c r="F393" i="7"/>
  <c r="V393" i="7"/>
  <c r="T393" i="7"/>
  <c r="R393" i="7"/>
  <c r="U393" i="7"/>
  <c r="S393" i="7"/>
  <c r="Q393" i="7"/>
  <c r="E393" i="7"/>
  <c r="D393" i="7"/>
  <c r="B393" i="7"/>
  <c r="P391" i="7"/>
  <c r="J391" i="7"/>
  <c r="C390" i="7"/>
  <c r="K389" i="7"/>
  <c r="J389" i="7"/>
  <c r="I389" i="7"/>
  <c r="O391" i="7" s="1"/>
  <c r="H389" i="7"/>
  <c r="F389" i="7"/>
  <c r="V389" i="7"/>
  <c r="T389" i="7"/>
  <c r="R389" i="7"/>
  <c r="U389" i="7"/>
  <c r="S389" i="7"/>
  <c r="Q389" i="7"/>
  <c r="E389" i="7"/>
  <c r="D389" i="7"/>
  <c r="B389" i="7"/>
  <c r="H386" i="7"/>
  <c r="J386" i="7"/>
  <c r="I384" i="7"/>
  <c r="H384" i="7"/>
  <c r="E384" i="7"/>
  <c r="J383" i="7"/>
  <c r="E383" i="7"/>
  <c r="K382" i="7"/>
  <c r="J382" i="7"/>
  <c r="I382" i="7"/>
  <c r="E382" i="7"/>
  <c r="K381" i="7"/>
  <c r="J381" i="7"/>
  <c r="I381" i="7"/>
  <c r="H381" i="7"/>
  <c r="F381" i="7"/>
  <c r="K380" i="7"/>
  <c r="J380" i="7"/>
  <c r="I380" i="7"/>
  <c r="H380" i="7"/>
  <c r="F380" i="7"/>
  <c r="K379" i="7"/>
  <c r="J379" i="7"/>
  <c r="I379" i="7"/>
  <c r="H379" i="7"/>
  <c r="F379" i="7"/>
  <c r="C378" i="7"/>
  <c r="V377" i="7"/>
  <c r="T377" i="7"/>
  <c r="K383" i="7" s="1"/>
  <c r="R377" i="7"/>
  <c r="U377" i="7"/>
  <c r="S377" i="7"/>
  <c r="I383" i="7" s="1"/>
  <c r="O387" i="7" s="1"/>
  <c r="Q377" i="7"/>
  <c r="E377" i="7"/>
  <c r="D377" i="7"/>
  <c r="B377" i="7"/>
  <c r="A376" i="7"/>
  <c r="I374" i="7"/>
  <c r="J374" i="7"/>
  <c r="I373" i="7"/>
  <c r="J373" i="7"/>
  <c r="A372" i="7"/>
  <c r="H369" i="7"/>
  <c r="P369" i="7"/>
  <c r="J369" i="7"/>
  <c r="K368" i="7"/>
  <c r="J368" i="7"/>
  <c r="I368" i="7"/>
  <c r="O369" i="7" s="1"/>
  <c r="H368" i="7"/>
  <c r="F368" i="7"/>
  <c r="V368" i="7"/>
  <c r="T368" i="7"/>
  <c r="R368" i="7"/>
  <c r="U368" i="7"/>
  <c r="S368" i="7"/>
  <c r="Q368" i="7"/>
  <c r="E368" i="7"/>
  <c r="D368" i="7"/>
  <c r="B368" i="7"/>
  <c r="H365" i="7"/>
  <c r="J365" i="7"/>
  <c r="I363" i="7"/>
  <c r="H363" i="7"/>
  <c r="E363" i="7"/>
  <c r="J362" i="7"/>
  <c r="I362" i="7"/>
  <c r="E362" i="7"/>
  <c r="J361" i="7"/>
  <c r="I361" i="7"/>
  <c r="E361" i="7"/>
  <c r="K360" i="7"/>
  <c r="J360" i="7"/>
  <c r="I360" i="7"/>
  <c r="H360" i="7"/>
  <c r="F360" i="7"/>
  <c r="K359" i="7"/>
  <c r="J366" i="7" s="1"/>
  <c r="J359" i="7"/>
  <c r="I359" i="7"/>
  <c r="O366" i="7" s="1"/>
  <c r="H359" i="7"/>
  <c r="F359" i="7"/>
  <c r="C358" i="7"/>
  <c r="V357" i="7"/>
  <c r="T357" i="7"/>
  <c r="K362" i="7" s="1"/>
  <c r="R357" i="7"/>
  <c r="K361" i="7" s="1"/>
  <c r="U357" i="7"/>
  <c r="S357" i="7"/>
  <c r="Q357" i="7"/>
  <c r="E357" i="7"/>
  <c r="D357" i="7"/>
  <c r="B357" i="7"/>
  <c r="K354" i="7"/>
  <c r="P355" i="7" s="1"/>
  <c r="J354" i="7"/>
  <c r="I354" i="7"/>
  <c r="O355" i="7" s="1"/>
  <c r="H354" i="7"/>
  <c r="F354" i="7"/>
  <c r="V354" i="7"/>
  <c r="T354" i="7"/>
  <c r="R354" i="7"/>
  <c r="U354" i="7"/>
  <c r="S354" i="7"/>
  <c r="Q354" i="7"/>
  <c r="E354" i="7"/>
  <c r="D354" i="7"/>
  <c r="B354" i="7"/>
  <c r="H351" i="7"/>
  <c r="J351" i="7"/>
  <c r="I349" i="7"/>
  <c r="H349" i="7"/>
  <c r="E349" i="7"/>
  <c r="K348" i="7"/>
  <c r="J348" i="7"/>
  <c r="I348" i="7"/>
  <c r="E348" i="7"/>
  <c r="J347" i="7"/>
  <c r="I347" i="7"/>
  <c r="E347" i="7"/>
  <c r="K346" i="7"/>
  <c r="J346" i="7"/>
  <c r="I346" i="7"/>
  <c r="H346" i="7"/>
  <c r="F346" i="7"/>
  <c r="K345" i="7"/>
  <c r="J345" i="7"/>
  <c r="I345" i="7"/>
  <c r="H345" i="7"/>
  <c r="F345" i="7"/>
  <c r="K344" i="7"/>
  <c r="J344" i="7"/>
  <c r="I344" i="7"/>
  <c r="H344" i="7"/>
  <c r="F344" i="7"/>
  <c r="K343" i="7"/>
  <c r="J343" i="7"/>
  <c r="I343" i="7"/>
  <c r="O352" i="7" s="1"/>
  <c r="H343" i="7"/>
  <c r="F343" i="7"/>
  <c r="V342" i="7"/>
  <c r="T342" i="7"/>
  <c r="R342" i="7"/>
  <c r="K347" i="7" s="1"/>
  <c r="U342" i="7"/>
  <c r="S342" i="7"/>
  <c r="Q342" i="7"/>
  <c r="E342" i="7"/>
  <c r="D342" i="7"/>
  <c r="B342" i="7"/>
  <c r="O340" i="7"/>
  <c r="H340" i="7"/>
  <c r="K339" i="7"/>
  <c r="P340" i="7" s="1"/>
  <c r="J339" i="7"/>
  <c r="I339" i="7"/>
  <c r="H339" i="7"/>
  <c r="F339" i="7"/>
  <c r="V339" i="7"/>
  <c r="T339" i="7"/>
  <c r="R339" i="7"/>
  <c r="U339" i="7"/>
  <c r="S339" i="7"/>
  <c r="Q339" i="7"/>
  <c r="E339" i="7"/>
  <c r="D339" i="7"/>
  <c r="B339" i="7"/>
  <c r="K336" i="7"/>
  <c r="P337" i="7" s="1"/>
  <c r="J336" i="7"/>
  <c r="I336" i="7"/>
  <c r="O337" i="7" s="1"/>
  <c r="H336" i="7"/>
  <c r="F336" i="7"/>
  <c r="V336" i="7"/>
  <c r="T336" i="7"/>
  <c r="R336" i="7"/>
  <c r="U336" i="7"/>
  <c r="S336" i="7"/>
  <c r="Q336" i="7"/>
  <c r="E336" i="7"/>
  <c r="D336" i="7"/>
  <c r="B336" i="7"/>
  <c r="H333" i="7"/>
  <c r="J334" i="7"/>
  <c r="J333" i="7"/>
  <c r="I331" i="7"/>
  <c r="H331" i="7"/>
  <c r="E331" i="7"/>
  <c r="K330" i="7"/>
  <c r="P334" i="7" s="1"/>
  <c r="J330" i="7"/>
  <c r="E330" i="7"/>
  <c r="K329" i="7"/>
  <c r="J329" i="7"/>
  <c r="I329" i="7"/>
  <c r="O334" i="7" s="1"/>
  <c r="E329" i="7"/>
  <c r="K328" i="7"/>
  <c r="J328" i="7"/>
  <c r="I328" i="7"/>
  <c r="H328" i="7"/>
  <c r="F328" i="7"/>
  <c r="K327" i="7"/>
  <c r="J332" i="7" s="1"/>
  <c r="J327" i="7"/>
  <c r="I327" i="7"/>
  <c r="H327" i="7"/>
  <c r="F327" i="7"/>
  <c r="C326" i="7"/>
  <c r="V325" i="7"/>
  <c r="T325" i="7"/>
  <c r="R325" i="7"/>
  <c r="U325" i="7"/>
  <c r="S325" i="7"/>
  <c r="I330" i="7" s="1"/>
  <c r="Q325" i="7"/>
  <c r="E325" i="7"/>
  <c r="D325" i="7"/>
  <c r="B325" i="7"/>
  <c r="O323" i="7"/>
  <c r="H323" i="7"/>
  <c r="P323" i="7"/>
  <c r="K322" i="7"/>
  <c r="J323" i="7" s="1"/>
  <c r="J322" i="7"/>
  <c r="I322" i="7"/>
  <c r="H322" i="7"/>
  <c r="F322" i="7"/>
  <c r="V322" i="7"/>
  <c r="T322" i="7"/>
  <c r="R322" i="7"/>
  <c r="U322" i="7"/>
  <c r="S322" i="7"/>
  <c r="Q322" i="7"/>
  <c r="E322" i="7"/>
  <c r="D322" i="7"/>
  <c r="B322" i="7"/>
  <c r="H319" i="7"/>
  <c r="J319" i="7"/>
  <c r="I317" i="7"/>
  <c r="H317" i="7"/>
  <c r="E317" i="7"/>
  <c r="J316" i="7"/>
  <c r="E316" i="7"/>
  <c r="K315" i="7"/>
  <c r="J315" i="7"/>
  <c r="E315" i="7"/>
  <c r="K314" i="7"/>
  <c r="J314" i="7"/>
  <c r="I314" i="7"/>
  <c r="H314" i="7"/>
  <c r="F314" i="7"/>
  <c r="K313" i="7"/>
  <c r="J313" i="7"/>
  <c r="I313" i="7"/>
  <c r="H313" i="7"/>
  <c r="F313" i="7"/>
  <c r="K312" i="7"/>
  <c r="J312" i="7"/>
  <c r="I312" i="7"/>
  <c r="H312" i="7"/>
  <c r="F312" i="7"/>
  <c r="K311" i="7"/>
  <c r="J311" i="7"/>
  <c r="I311" i="7"/>
  <c r="H311" i="7"/>
  <c r="F311" i="7"/>
  <c r="V310" i="7"/>
  <c r="T310" i="7"/>
  <c r="K316" i="7" s="1"/>
  <c r="R310" i="7"/>
  <c r="U310" i="7"/>
  <c r="S310" i="7"/>
  <c r="I316" i="7" s="1"/>
  <c r="Q310" i="7"/>
  <c r="I315" i="7" s="1"/>
  <c r="E310" i="7"/>
  <c r="D310" i="7"/>
  <c r="B310" i="7"/>
  <c r="P308" i="7"/>
  <c r="J308" i="7"/>
  <c r="K307" i="7"/>
  <c r="J307" i="7"/>
  <c r="I307" i="7"/>
  <c r="O308" i="7" s="1"/>
  <c r="H307" i="7"/>
  <c r="F307" i="7"/>
  <c r="V307" i="7"/>
  <c r="T307" i="7"/>
  <c r="R307" i="7"/>
  <c r="U307" i="7"/>
  <c r="S307" i="7"/>
  <c r="Q307" i="7"/>
  <c r="E307" i="7"/>
  <c r="D307" i="7"/>
  <c r="B307" i="7"/>
  <c r="H304" i="7"/>
  <c r="J304" i="7"/>
  <c r="I302" i="7"/>
  <c r="H302" i="7"/>
  <c r="E302" i="7"/>
  <c r="J301" i="7"/>
  <c r="I301" i="7"/>
  <c r="E301" i="7"/>
  <c r="J300" i="7"/>
  <c r="E300" i="7"/>
  <c r="K299" i="7"/>
  <c r="J303" i="7" s="1"/>
  <c r="J299" i="7"/>
  <c r="I299" i="7"/>
  <c r="H305" i="7" s="1"/>
  <c r="H299" i="7"/>
  <c r="F299" i="7"/>
  <c r="K298" i="7"/>
  <c r="J298" i="7"/>
  <c r="I298" i="7"/>
  <c r="H298" i="7"/>
  <c r="F298" i="7"/>
  <c r="K297" i="7"/>
  <c r="J297" i="7"/>
  <c r="I297" i="7"/>
  <c r="H297" i="7"/>
  <c r="F297" i="7"/>
  <c r="K296" i="7"/>
  <c r="J305" i="7" s="1"/>
  <c r="J296" i="7"/>
  <c r="I296" i="7"/>
  <c r="H296" i="7"/>
  <c r="F296" i="7"/>
  <c r="V295" i="7"/>
  <c r="T295" i="7"/>
  <c r="K301" i="7" s="1"/>
  <c r="R295" i="7"/>
  <c r="K300" i="7" s="1"/>
  <c r="U295" i="7"/>
  <c r="S295" i="7"/>
  <c r="Q295" i="7"/>
  <c r="I300" i="7" s="1"/>
  <c r="E295" i="7"/>
  <c r="D295" i="7"/>
  <c r="B295" i="7"/>
  <c r="O293" i="7"/>
  <c r="H293" i="7"/>
  <c r="P293" i="7"/>
  <c r="K292" i="7"/>
  <c r="J293" i="7" s="1"/>
  <c r="J292" i="7"/>
  <c r="I292" i="7"/>
  <c r="H292" i="7"/>
  <c r="F292" i="7"/>
  <c r="V292" i="7"/>
  <c r="T292" i="7"/>
  <c r="R292" i="7"/>
  <c r="U292" i="7"/>
  <c r="S292" i="7"/>
  <c r="Q292" i="7"/>
  <c r="E292" i="7"/>
  <c r="D292" i="7"/>
  <c r="B292" i="7"/>
  <c r="H289" i="7"/>
  <c r="J289" i="7"/>
  <c r="I287" i="7"/>
  <c r="H287" i="7"/>
  <c r="E287" i="7"/>
  <c r="J286" i="7"/>
  <c r="E286" i="7"/>
  <c r="K285" i="7"/>
  <c r="J285" i="7"/>
  <c r="E285" i="7"/>
  <c r="K284" i="7"/>
  <c r="J284" i="7"/>
  <c r="I284" i="7"/>
  <c r="H284" i="7"/>
  <c r="F284" i="7"/>
  <c r="K283" i="7"/>
  <c r="J283" i="7"/>
  <c r="I283" i="7"/>
  <c r="H283" i="7"/>
  <c r="F283" i="7"/>
  <c r="K282" i="7"/>
  <c r="J282" i="7"/>
  <c r="I282" i="7"/>
  <c r="H282" i="7"/>
  <c r="F282" i="7"/>
  <c r="K281" i="7"/>
  <c r="P290" i="7" s="1"/>
  <c r="J281" i="7"/>
  <c r="I281" i="7"/>
  <c r="O290" i="7" s="1"/>
  <c r="H281" i="7"/>
  <c r="F281" i="7"/>
  <c r="V280" i="7"/>
  <c r="T280" i="7"/>
  <c r="K286" i="7" s="1"/>
  <c r="R280" i="7"/>
  <c r="U280" i="7"/>
  <c r="S280" i="7"/>
  <c r="I286" i="7" s="1"/>
  <c r="Q280" i="7"/>
  <c r="I285" i="7" s="1"/>
  <c r="E280" i="7"/>
  <c r="D280" i="7"/>
  <c r="B280" i="7"/>
  <c r="P278" i="7"/>
  <c r="J278" i="7"/>
  <c r="K277" i="7"/>
  <c r="J277" i="7"/>
  <c r="I277" i="7"/>
  <c r="O278" i="7" s="1"/>
  <c r="H277" i="7"/>
  <c r="F277" i="7"/>
  <c r="V277" i="7"/>
  <c r="T277" i="7"/>
  <c r="R277" i="7"/>
  <c r="U277" i="7"/>
  <c r="S277" i="7"/>
  <c r="Q277" i="7"/>
  <c r="E277" i="7"/>
  <c r="D277" i="7"/>
  <c r="B277" i="7"/>
  <c r="O275" i="7"/>
  <c r="H275" i="7"/>
  <c r="P275" i="7"/>
  <c r="K274" i="7"/>
  <c r="J275" i="7" s="1"/>
  <c r="J274" i="7"/>
  <c r="I274" i="7"/>
  <c r="H274" i="7"/>
  <c r="F274" i="7"/>
  <c r="V274" i="7"/>
  <c r="T274" i="7"/>
  <c r="R274" i="7"/>
  <c r="U274" i="7"/>
  <c r="S274" i="7"/>
  <c r="Q274" i="7"/>
  <c r="E274" i="7"/>
  <c r="D274" i="7"/>
  <c r="B274" i="7"/>
  <c r="P272" i="7"/>
  <c r="J272" i="7"/>
  <c r="K271" i="7"/>
  <c r="J271" i="7"/>
  <c r="I271" i="7"/>
  <c r="O272" i="7" s="1"/>
  <c r="H271" i="7"/>
  <c r="F271" i="7"/>
  <c r="V271" i="7"/>
  <c r="T271" i="7"/>
  <c r="R271" i="7"/>
  <c r="U271" i="7"/>
  <c r="S271" i="7"/>
  <c r="Q271" i="7"/>
  <c r="E271" i="7"/>
  <c r="D271" i="7"/>
  <c r="B271" i="7"/>
  <c r="O269" i="7"/>
  <c r="H269" i="7"/>
  <c r="P269" i="7"/>
  <c r="K268" i="7"/>
  <c r="J269" i="7" s="1"/>
  <c r="J268" i="7"/>
  <c r="I268" i="7"/>
  <c r="H268" i="7"/>
  <c r="F268" i="7"/>
  <c r="V268" i="7"/>
  <c r="T268" i="7"/>
  <c r="R268" i="7"/>
  <c r="U268" i="7"/>
  <c r="S268" i="7"/>
  <c r="Q268" i="7"/>
  <c r="E268" i="7"/>
  <c r="D268" i="7"/>
  <c r="B268" i="7"/>
  <c r="P266" i="7"/>
  <c r="J266" i="7"/>
  <c r="K265" i="7"/>
  <c r="J265" i="7"/>
  <c r="I265" i="7"/>
  <c r="O266" i="7" s="1"/>
  <c r="H265" i="7"/>
  <c r="F265" i="7"/>
  <c r="V265" i="7"/>
  <c r="T265" i="7"/>
  <c r="R265" i="7"/>
  <c r="U265" i="7"/>
  <c r="S265" i="7"/>
  <c r="Q265" i="7"/>
  <c r="E265" i="7"/>
  <c r="D265" i="7"/>
  <c r="B265" i="7"/>
  <c r="O263" i="7"/>
  <c r="H263" i="7"/>
  <c r="P263" i="7"/>
  <c r="K262" i="7"/>
  <c r="J263" i="7" s="1"/>
  <c r="J262" i="7"/>
  <c r="I262" i="7"/>
  <c r="H262" i="7"/>
  <c r="F262" i="7"/>
  <c r="V262" i="7"/>
  <c r="T262" i="7"/>
  <c r="R262" i="7"/>
  <c r="U262" i="7"/>
  <c r="S262" i="7"/>
  <c r="Q262" i="7"/>
  <c r="E262" i="7"/>
  <c r="D262" i="7"/>
  <c r="B262" i="7"/>
  <c r="P260" i="7"/>
  <c r="J260" i="7"/>
  <c r="K259" i="7"/>
  <c r="J259" i="7"/>
  <c r="I259" i="7"/>
  <c r="O260" i="7" s="1"/>
  <c r="H259" i="7"/>
  <c r="F259" i="7"/>
  <c r="V259" i="7"/>
  <c r="T259" i="7"/>
  <c r="R259" i="7"/>
  <c r="U259" i="7"/>
  <c r="S259" i="7"/>
  <c r="Q259" i="7"/>
  <c r="E259" i="7"/>
  <c r="D259" i="7"/>
  <c r="B259" i="7"/>
  <c r="O257" i="7"/>
  <c r="P257" i="7"/>
  <c r="K256" i="7"/>
  <c r="J257" i="7" s="1"/>
  <c r="J256" i="7"/>
  <c r="I256" i="7"/>
  <c r="H257" i="7" s="1"/>
  <c r="H256" i="7"/>
  <c r="F256" i="7"/>
  <c r="V256" i="7"/>
  <c r="T256" i="7"/>
  <c r="R256" i="7"/>
  <c r="U256" i="7"/>
  <c r="S256" i="7"/>
  <c r="Q256" i="7"/>
  <c r="E256" i="7"/>
  <c r="D256" i="7"/>
  <c r="B256" i="7"/>
  <c r="H253" i="7"/>
  <c r="J253" i="7"/>
  <c r="I251" i="7"/>
  <c r="H251" i="7"/>
  <c r="E251" i="7"/>
  <c r="J250" i="7"/>
  <c r="E250" i="7"/>
  <c r="J249" i="7"/>
  <c r="E249" i="7"/>
  <c r="K248" i="7"/>
  <c r="J248" i="7"/>
  <c r="I248" i="7"/>
  <c r="H248" i="7"/>
  <c r="F248" i="7"/>
  <c r="K247" i="7"/>
  <c r="J247" i="7"/>
  <c r="I247" i="7"/>
  <c r="H247" i="7"/>
  <c r="F247" i="7"/>
  <c r="K246" i="7"/>
  <c r="J246" i="7"/>
  <c r="I246" i="7"/>
  <c r="H246" i="7"/>
  <c r="F246" i="7"/>
  <c r="K245" i="7"/>
  <c r="J245" i="7"/>
  <c r="I245" i="7"/>
  <c r="O254" i="7" s="1"/>
  <c r="H245" i="7"/>
  <c r="F245" i="7"/>
  <c r="C244" i="7"/>
  <c r="V243" i="7"/>
  <c r="T243" i="7"/>
  <c r="K250" i="7" s="1"/>
  <c r="R243" i="7"/>
  <c r="K249" i="7" s="1"/>
  <c r="U243" i="7"/>
  <c r="S243" i="7"/>
  <c r="I250" i="7" s="1"/>
  <c r="Q243" i="7"/>
  <c r="I249" i="7" s="1"/>
  <c r="E243" i="7"/>
  <c r="D243" i="7"/>
  <c r="B243" i="7"/>
  <c r="A242" i="7"/>
  <c r="I240" i="7"/>
  <c r="J240" i="7"/>
  <c r="I239" i="7"/>
  <c r="J239" i="7"/>
  <c r="A238" i="7"/>
  <c r="K234" i="7"/>
  <c r="P235" i="7" s="1"/>
  <c r="J234" i="7"/>
  <c r="I234" i="7"/>
  <c r="O235" i="7" s="1"/>
  <c r="H234" i="7"/>
  <c r="F234" i="7"/>
  <c r="V234" i="7"/>
  <c r="T234" i="7"/>
  <c r="R234" i="7"/>
  <c r="U234" i="7"/>
  <c r="S234" i="7"/>
  <c r="Q234" i="7"/>
  <c r="E234" i="7"/>
  <c r="D234" i="7"/>
  <c r="B234" i="7"/>
  <c r="O232" i="7"/>
  <c r="K231" i="7"/>
  <c r="P232" i="7" s="1"/>
  <c r="J231" i="7"/>
  <c r="I231" i="7"/>
  <c r="H232" i="7" s="1"/>
  <c r="H231" i="7"/>
  <c r="F231" i="7"/>
  <c r="V231" i="7"/>
  <c r="T231" i="7"/>
  <c r="R231" i="7"/>
  <c r="U231" i="7"/>
  <c r="S231" i="7"/>
  <c r="Q231" i="7"/>
  <c r="E231" i="7"/>
  <c r="D231" i="7"/>
  <c r="B231" i="7"/>
  <c r="K228" i="7"/>
  <c r="P229" i="7" s="1"/>
  <c r="J228" i="7"/>
  <c r="I228" i="7"/>
  <c r="O229" i="7" s="1"/>
  <c r="H228" i="7"/>
  <c r="F228" i="7"/>
  <c r="V228" i="7"/>
  <c r="T228" i="7"/>
  <c r="R228" i="7"/>
  <c r="U228" i="7"/>
  <c r="S228" i="7"/>
  <c r="Q228" i="7"/>
  <c r="E228" i="7"/>
  <c r="D228" i="7"/>
  <c r="B228" i="7"/>
  <c r="O226" i="7"/>
  <c r="J226" i="7"/>
  <c r="K225" i="7"/>
  <c r="P226" i="7" s="1"/>
  <c r="J225" i="7"/>
  <c r="I225" i="7"/>
  <c r="H226" i="7" s="1"/>
  <c r="H225" i="7"/>
  <c r="F225" i="7"/>
  <c r="V225" i="7"/>
  <c r="T225" i="7"/>
  <c r="R225" i="7"/>
  <c r="U225" i="7"/>
  <c r="S225" i="7"/>
  <c r="Q225" i="7"/>
  <c r="E225" i="7"/>
  <c r="D225" i="7"/>
  <c r="B225" i="7"/>
  <c r="H222" i="7"/>
  <c r="J222" i="7"/>
  <c r="I220" i="7"/>
  <c r="H220" i="7"/>
  <c r="E220" i="7"/>
  <c r="K219" i="7"/>
  <c r="J219" i="7"/>
  <c r="E219" i="7"/>
  <c r="J218" i="7"/>
  <c r="I218" i="7"/>
  <c r="E218" i="7"/>
  <c r="K217" i="7"/>
  <c r="J217" i="7"/>
  <c r="I217" i="7"/>
  <c r="H217" i="7"/>
  <c r="F217" i="7"/>
  <c r="K216" i="7"/>
  <c r="J216" i="7"/>
  <c r="I216" i="7"/>
  <c r="H216" i="7"/>
  <c r="F216" i="7"/>
  <c r="K215" i="7"/>
  <c r="J215" i="7"/>
  <c r="I215" i="7"/>
  <c r="H215" i="7"/>
  <c r="F215" i="7"/>
  <c r="C214" i="7"/>
  <c r="V213" i="7"/>
  <c r="T213" i="7"/>
  <c r="R213" i="7"/>
  <c r="K218" i="7" s="1"/>
  <c r="U213" i="7"/>
  <c r="S213" i="7"/>
  <c r="I219" i="7" s="1"/>
  <c r="Q213" i="7"/>
  <c r="E213" i="7"/>
  <c r="D213" i="7"/>
  <c r="B213" i="7"/>
  <c r="P211" i="7"/>
  <c r="J211" i="7"/>
  <c r="K210" i="7"/>
  <c r="J210" i="7"/>
  <c r="I210" i="7"/>
  <c r="O211" i="7" s="1"/>
  <c r="H210" i="7"/>
  <c r="F210" i="7"/>
  <c r="V210" i="7"/>
  <c r="T210" i="7"/>
  <c r="R210" i="7"/>
  <c r="U210" i="7"/>
  <c r="S210" i="7"/>
  <c r="Q210" i="7"/>
  <c r="E210" i="7"/>
  <c r="D210" i="7"/>
  <c r="B210" i="7"/>
  <c r="H207" i="7"/>
  <c r="J207" i="7"/>
  <c r="I205" i="7"/>
  <c r="H205" i="7"/>
  <c r="E205" i="7"/>
  <c r="J204" i="7"/>
  <c r="E204" i="7"/>
  <c r="K203" i="7"/>
  <c r="J203" i="7"/>
  <c r="E203" i="7"/>
  <c r="K202" i="7"/>
  <c r="J202" i="7"/>
  <c r="I202" i="7"/>
  <c r="H202" i="7"/>
  <c r="F202" i="7"/>
  <c r="K201" i="7"/>
  <c r="J201" i="7"/>
  <c r="I201" i="7"/>
  <c r="H201" i="7"/>
  <c r="F201" i="7"/>
  <c r="K200" i="7"/>
  <c r="J200" i="7"/>
  <c r="I200" i="7"/>
  <c r="H200" i="7"/>
  <c r="F200" i="7"/>
  <c r="K199" i="7"/>
  <c r="P208" i="7" s="1"/>
  <c r="J199" i="7"/>
  <c r="I199" i="7"/>
  <c r="O208" i="7" s="1"/>
  <c r="H199" i="7"/>
  <c r="F199" i="7"/>
  <c r="V198" i="7"/>
  <c r="T198" i="7"/>
  <c r="K204" i="7" s="1"/>
  <c r="R198" i="7"/>
  <c r="U198" i="7"/>
  <c r="S198" i="7"/>
  <c r="I204" i="7" s="1"/>
  <c r="Q198" i="7"/>
  <c r="I203" i="7" s="1"/>
  <c r="H206" i="7" s="1"/>
  <c r="E198" i="7"/>
  <c r="D198" i="7"/>
  <c r="B198" i="7"/>
  <c r="J196" i="7"/>
  <c r="K195" i="7"/>
  <c r="P196" i="7" s="1"/>
  <c r="J195" i="7"/>
  <c r="I195" i="7"/>
  <c r="O196" i="7" s="1"/>
  <c r="H195" i="7"/>
  <c r="F195" i="7"/>
  <c r="V195" i="7"/>
  <c r="T195" i="7"/>
  <c r="R195" i="7"/>
  <c r="U195" i="7"/>
  <c r="S195" i="7"/>
  <c r="Q195" i="7"/>
  <c r="E195" i="7"/>
  <c r="D195" i="7"/>
  <c r="B195" i="7"/>
  <c r="H192" i="7"/>
  <c r="J192" i="7"/>
  <c r="I190" i="7"/>
  <c r="H190" i="7"/>
  <c r="E190" i="7"/>
  <c r="J189" i="7"/>
  <c r="E189" i="7"/>
  <c r="K188" i="7"/>
  <c r="J188" i="7"/>
  <c r="E188" i="7"/>
  <c r="K187" i="7"/>
  <c r="J187" i="7"/>
  <c r="I187" i="7"/>
  <c r="H187" i="7"/>
  <c r="F187" i="7"/>
  <c r="K186" i="7"/>
  <c r="J186" i="7"/>
  <c r="I186" i="7"/>
  <c r="H186" i="7"/>
  <c r="F186" i="7"/>
  <c r="K185" i="7"/>
  <c r="J185" i="7"/>
  <c r="I185" i="7"/>
  <c r="H185" i="7"/>
  <c r="F185" i="7"/>
  <c r="K184" i="7"/>
  <c r="J184" i="7"/>
  <c r="I184" i="7"/>
  <c r="H184" i="7"/>
  <c r="F184" i="7"/>
  <c r="V183" i="7"/>
  <c r="T183" i="7"/>
  <c r="K189" i="7" s="1"/>
  <c r="R183" i="7"/>
  <c r="U183" i="7"/>
  <c r="S183" i="7"/>
  <c r="I189" i="7" s="1"/>
  <c r="Q183" i="7"/>
  <c r="I188" i="7" s="1"/>
  <c r="H191" i="7" s="1"/>
  <c r="E183" i="7"/>
  <c r="D183" i="7"/>
  <c r="B183" i="7"/>
  <c r="P181" i="7"/>
  <c r="J181" i="7"/>
  <c r="K180" i="7"/>
  <c r="J180" i="7"/>
  <c r="I180" i="7"/>
  <c r="O181" i="7" s="1"/>
  <c r="H180" i="7"/>
  <c r="F180" i="7"/>
  <c r="V180" i="7"/>
  <c r="T180" i="7"/>
  <c r="R180" i="7"/>
  <c r="U180" i="7"/>
  <c r="S180" i="7"/>
  <c r="Q180" i="7"/>
  <c r="E180" i="7"/>
  <c r="D180" i="7"/>
  <c r="B180" i="7"/>
  <c r="H177" i="7"/>
  <c r="J177" i="7"/>
  <c r="I175" i="7"/>
  <c r="H175" i="7"/>
  <c r="E175" i="7"/>
  <c r="J174" i="7"/>
  <c r="E174" i="7"/>
  <c r="K173" i="7"/>
  <c r="J173" i="7"/>
  <c r="E173" i="7"/>
  <c r="K172" i="7"/>
  <c r="J172" i="7"/>
  <c r="I172" i="7"/>
  <c r="H176" i="7" s="1"/>
  <c r="H172" i="7"/>
  <c r="F172" i="7"/>
  <c r="K171" i="7"/>
  <c r="J171" i="7"/>
  <c r="I171" i="7"/>
  <c r="H171" i="7"/>
  <c r="F171" i="7"/>
  <c r="K170" i="7"/>
  <c r="J170" i="7"/>
  <c r="I170" i="7"/>
  <c r="O178" i="7" s="1"/>
  <c r="H170" i="7"/>
  <c r="F170" i="7"/>
  <c r="V169" i="7"/>
  <c r="T169" i="7"/>
  <c r="K174" i="7" s="1"/>
  <c r="R169" i="7"/>
  <c r="U169" i="7"/>
  <c r="S169" i="7"/>
  <c r="I174" i="7" s="1"/>
  <c r="Q169" i="7"/>
  <c r="I173" i="7" s="1"/>
  <c r="E169" i="7"/>
  <c r="D169" i="7"/>
  <c r="B169" i="7"/>
  <c r="P167" i="7"/>
  <c r="K166" i="7"/>
  <c r="J167" i="7" s="1"/>
  <c r="J166" i="7"/>
  <c r="I166" i="7"/>
  <c r="O167" i="7" s="1"/>
  <c r="H166" i="7"/>
  <c r="F166" i="7"/>
  <c r="V166" i="7"/>
  <c r="T166" i="7"/>
  <c r="R166" i="7"/>
  <c r="U166" i="7"/>
  <c r="S166" i="7"/>
  <c r="Q166" i="7"/>
  <c r="E166" i="7"/>
  <c r="D166" i="7"/>
  <c r="B166" i="7"/>
  <c r="H163" i="7"/>
  <c r="J163" i="7"/>
  <c r="I161" i="7"/>
  <c r="H161" i="7"/>
  <c r="E161" i="7"/>
  <c r="J160" i="7"/>
  <c r="E160" i="7"/>
  <c r="J159" i="7"/>
  <c r="E159" i="7"/>
  <c r="K158" i="7"/>
  <c r="J158" i="7"/>
  <c r="I158" i="7"/>
  <c r="H158" i="7"/>
  <c r="F158" i="7"/>
  <c r="K157" i="7"/>
  <c r="J157" i="7"/>
  <c r="I157" i="7"/>
  <c r="H157" i="7"/>
  <c r="F157" i="7"/>
  <c r="K156" i="7"/>
  <c r="J156" i="7"/>
  <c r="I156" i="7"/>
  <c r="H156" i="7"/>
  <c r="F156" i="7"/>
  <c r="K155" i="7"/>
  <c r="P164" i="7" s="1"/>
  <c r="J155" i="7"/>
  <c r="I155" i="7"/>
  <c r="H155" i="7"/>
  <c r="F155" i="7"/>
  <c r="V154" i="7"/>
  <c r="T154" i="7"/>
  <c r="K160" i="7" s="1"/>
  <c r="R154" i="7"/>
  <c r="K159" i="7" s="1"/>
  <c r="U154" i="7"/>
  <c r="S154" i="7"/>
  <c r="I160" i="7" s="1"/>
  <c r="Q154" i="7"/>
  <c r="I159" i="7" s="1"/>
  <c r="E154" i="7"/>
  <c r="D154" i="7"/>
  <c r="B154" i="7"/>
  <c r="A153" i="7"/>
  <c r="I151" i="7"/>
  <c r="J151" i="7"/>
  <c r="I150" i="7"/>
  <c r="J150" i="7"/>
  <c r="AQ149" i="7"/>
  <c r="A149" i="7"/>
  <c r="H145" i="7"/>
  <c r="J145" i="7"/>
  <c r="I143" i="7"/>
  <c r="H143" i="7"/>
  <c r="E143" i="7"/>
  <c r="K142" i="7"/>
  <c r="J142" i="7"/>
  <c r="E142" i="7"/>
  <c r="K141" i="7"/>
  <c r="J141" i="7"/>
  <c r="I141" i="7"/>
  <c r="E141" i="7"/>
  <c r="K140" i="7"/>
  <c r="J140" i="7"/>
  <c r="I140" i="7"/>
  <c r="H140" i="7"/>
  <c r="F140" i="7"/>
  <c r="K139" i="7"/>
  <c r="J139" i="7"/>
  <c r="I139" i="7"/>
  <c r="H139" i="7"/>
  <c r="F139" i="7"/>
  <c r="K138" i="7"/>
  <c r="J146" i="7" s="1"/>
  <c r="J138" i="7"/>
  <c r="I138" i="7"/>
  <c r="O146" i="7" s="1"/>
  <c r="H138" i="7"/>
  <c r="F138" i="7"/>
  <c r="C137" i="7"/>
  <c r="V136" i="7"/>
  <c r="T136" i="7"/>
  <c r="R136" i="7"/>
  <c r="U136" i="7"/>
  <c r="S136" i="7"/>
  <c r="I142" i="7" s="1"/>
  <c r="Q136" i="7"/>
  <c r="E136" i="7"/>
  <c r="D136" i="7"/>
  <c r="B136" i="7"/>
  <c r="H133" i="7"/>
  <c r="J133" i="7"/>
  <c r="I131" i="7"/>
  <c r="H131" i="7"/>
  <c r="E131" i="7"/>
  <c r="J130" i="7"/>
  <c r="E130" i="7"/>
  <c r="K129" i="7"/>
  <c r="J129" i="7"/>
  <c r="E129" i="7"/>
  <c r="K128" i="7"/>
  <c r="J128" i="7"/>
  <c r="I128" i="7"/>
  <c r="H128" i="7"/>
  <c r="F128" i="7"/>
  <c r="K127" i="7"/>
  <c r="J132" i="7" s="1"/>
  <c r="J127" i="7"/>
  <c r="I127" i="7"/>
  <c r="H127" i="7"/>
  <c r="F127" i="7"/>
  <c r="C126" i="7"/>
  <c r="V125" i="7"/>
  <c r="T125" i="7"/>
  <c r="K130" i="7" s="1"/>
  <c r="R125" i="7"/>
  <c r="U125" i="7"/>
  <c r="S125" i="7"/>
  <c r="I130" i="7" s="1"/>
  <c r="Q125" i="7"/>
  <c r="I129" i="7" s="1"/>
  <c r="H132" i="7" s="1"/>
  <c r="E125" i="7"/>
  <c r="D125" i="7"/>
  <c r="B125" i="7"/>
  <c r="H122" i="7"/>
  <c r="J122" i="7"/>
  <c r="I120" i="7"/>
  <c r="H120" i="7"/>
  <c r="E120" i="7"/>
  <c r="J119" i="7"/>
  <c r="E119" i="7"/>
  <c r="J118" i="7"/>
  <c r="E118" i="7"/>
  <c r="K117" i="7"/>
  <c r="P123" i="7" s="1"/>
  <c r="J117" i="7"/>
  <c r="I117" i="7"/>
  <c r="H117" i="7"/>
  <c r="F117" i="7"/>
  <c r="C116" i="7"/>
  <c r="V115" i="7"/>
  <c r="T115" i="7"/>
  <c r="K119" i="7" s="1"/>
  <c r="R115" i="7"/>
  <c r="K118" i="7" s="1"/>
  <c r="U115" i="7"/>
  <c r="S115" i="7"/>
  <c r="I119" i="7" s="1"/>
  <c r="Q115" i="7"/>
  <c r="I118" i="7" s="1"/>
  <c r="O123" i="7" s="1"/>
  <c r="E115" i="7"/>
  <c r="D115" i="7"/>
  <c r="B115" i="7"/>
  <c r="H112" i="7"/>
  <c r="J112" i="7"/>
  <c r="I110" i="7"/>
  <c r="H110" i="7"/>
  <c r="E110" i="7"/>
  <c r="J109" i="7"/>
  <c r="I109" i="7"/>
  <c r="E109" i="7"/>
  <c r="J108" i="7"/>
  <c r="E108" i="7"/>
  <c r="K107" i="7"/>
  <c r="J107" i="7"/>
  <c r="I107" i="7"/>
  <c r="H107" i="7"/>
  <c r="F107" i="7"/>
  <c r="C106" i="7"/>
  <c r="V105" i="7"/>
  <c r="T105" i="7"/>
  <c r="K109" i="7" s="1"/>
  <c r="R105" i="7"/>
  <c r="K108" i="7" s="1"/>
  <c r="U105" i="7"/>
  <c r="S105" i="7"/>
  <c r="Q105" i="7"/>
  <c r="I108" i="7" s="1"/>
  <c r="H113" i="7" s="1"/>
  <c r="E105" i="7"/>
  <c r="D105" i="7"/>
  <c r="B105" i="7"/>
  <c r="H102" i="7"/>
  <c r="J102" i="7"/>
  <c r="I100" i="7"/>
  <c r="H100" i="7"/>
  <c r="E100" i="7"/>
  <c r="J99" i="7"/>
  <c r="E99" i="7"/>
  <c r="K98" i="7"/>
  <c r="J98" i="7"/>
  <c r="E98" i="7"/>
  <c r="K97" i="7"/>
  <c r="J97" i="7"/>
  <c r="I97" i="7"/>
  <c r="H97" i="7"/>
  <c r="F97" i="7"/>
  <c r="K96" i="7"/>
  <c r="J96" i="7"/>
  <c r="I96" i="7"/>
  <c r="H96" i="7"/>
  <c r="F96" i="7"/>
  <c r="K95" i="7"/>
  <c r="J101" i="7" s="1"/>
  <c r="J95" i="7"/>
  <c r="I95" i="7"/>
  <c r="H95" i="7"/>
  <c r="F95" i="7"/>
  <c r="C94" i="7"/>
  <c r="V93" i="7"/>
  <c r="T93" i="7"/>
  <c r="K99" i="7" s="1"/>
  <c r="P103" i="7" s="1"/>
  <c r="R93" i="7"/>
  <c r="U93" i="7"/>
  <c r="S93" i="7"/>
  <c r="I99" i="7" s="1"/>
  <c r="Q93" i="7"/>
  <c r="I98" i="7" s="1"/>
  <c r="E93" i="7"/>
  <c r="D93" i="7"/>
  <c r="B93" i="7"/>
  <c r="H90" i="7"/>
  <c r="J90" i="7"/>
  <c r="I88" i="7"/>
  <c r="H88" i="7"/>
  <c r="E88" i="7"/>
  <c r="J87" i="7"/>
  <c r="E87" i="7"/>
  <c r="J86" i="7"/>
  <c r="E86" i="7"/>
  <c r="K85" i="7"/>
  <c r="J85" i="7"/>
  <c r="I85" i="7"/>
  <c r="H85" i="7"/>
  <c r="F85" i="7"/>
  <c r="K84" i="7"/>
  <c r="J84" i="7"/>
  <c r="I84" i="7"/>
  <c r="H84" i="7"/>
  <c r="F84" i="7"/>
  <c r="C83" i="7"/>
  <c r="V82" i="7"/>
  <c r="T82" i="7"/>
  <c r="K87" i="7" s="1"/>
  <c r="R82" i="7"/>
  <c r="K86" i="7" s="1"/>
  <c r="U82" i="7"/>
  <c r="S82" i="7"/>
  <c r="I87" i="7" s="1"/>
  <c r="Q82" i="7"/>
  <c r="I86" i="7" s="1"/>
  <c r="E82" i="7"/>
  <c r="D82" i="7"/>
  <c r="B82" i="7"/>
  <c r="H79" i="7"/>
  <c r="J79" i="7"/>
  <c r="I77" i="7"/>
  <c r="H77" i="7"/>
  <c r="E77" i="7"/>
  <c r="J76" i="7"/>
  <c r="E76" i="7"/>
  <c r="J75" i="7"/>
  <c r="I75" i="7"/>
  <c r="E75" i="7"/>
  <c r="K74" i="7"/>
  <c r="J74" i="7"/>
  <c r="I74" i="7"/>
  <c r="H74" i="7"/>
  <c r="F74" i="7"/>
  <c r="K73" i="7"/>
  <c r="J73" i="7"/>
  <c r="I73" i="7"/>
  <c r="H73" i="7"/>
  <c r="F73" i="7"/>
  <c r="K72" i="7"/>
  <c r="J72" i="7"/>
  <c r="I72" i="7"/>
  <c r="H72" i="7"/>
  <c r="F72" i="7"/>
  <c r="V71" i="7"/>
  <c r="T71" i="7"/>
  <c r="K76" i="7" s="1"/>
  <c r="R71" i="7"/>
  <c r="K75" i="7" s="1"/>
  <c r="U71" i="7"/>
  <c r="S71" i="7"/>
  <c r="I76" i="7" s="1"/>
  <c r="Q71" i="7"/>
  <c r="E71" i="7"/>
  <c r="D71" i="7"/>
  <c r="B71" i="7"/>
  <c r="H68" i="7"/>
  <c r="J68" i="7"/>
  <c r="I66" i="7"/>
  <c r="H66" i="7"/>
  <c r="E66" i="7"/>
  <c r="J65" i="7"/>
  <c r="E65" i="7"/>
  <c r="J64" i="7"/>
  <c r="I64" i="7"/>
  <c r="E64" i="7"/>
  <c r="K63" i="7"/>
  <c r="J63" i="7"/>
  <c r="I63" i="7"/>
  <c r="H63" i="7"/>
  <c r="F63" i="7"/>
  <c r="K62" i="7"/>
  <c r="J62" i="7"/>
  <c r="I62" i="7"/>
  <c r="H62" i="7"/>
  <c r="F62" i="7"/>
  <c r="K61" i="7"/>
  <c r="J61" i="7"/>
  <c r="I61" i="7"/>
  <c r="H61" i="7"/>
  <c r="F61" i="7"/>
  <c r="V60" i="7"/>
  <c r="T60" i="7"/>
  <c r="K65" i="7" s="1"/>
  <c r="R60" i="7"/>
  <c r="K64" i="7" s="1"/>
  <c r="U60" i="7"/>
  <c r="S60" i="7"/>
  <c r="I65" i="7" s="1"/>
  <c r="Q60" i="7"/>
  <c r="E60" i="7"/>
  <c r="D60" i="7"/>
  <c r="B60" i="7"/>
  <c r="H57" i="7"/>
  <c r="J57" i="7"/>
  <c r="I55" i="7"/>
  <c r="H55" i="7"/>
  <c r="E55" i="7"/>
  <c r="J54" i="7"/>
  <c r="E54" i="7"/>
  <c r="K53" i="7"/>
  <c r="J53" i="7"/>
  <c r="E53" i="7"/>
  <c r="K52" i="7"/>
  <c r="J52" i="7"/>
  <c r="I52" i="7"/>
  <c r="H52" i="7"/>
  <c r="F52" i="7"/>
  <c r="K51" i="7"/>
  <c r="J51" i="7"/>
  <c r="I51" i="7"/>
  <c r="H51" i="7"/>
  <c r="F51" i="7"/>
  <c r="V50" i="7"/>
  <c r="T50" i="7"/>
  <c r="K54" i="7" s="1"/>
  <c r="R50" i="7"/>
  <c r="U50" i="7"/>
  <c r="S50" i="7"/>
  <c r="I54" i="7" s="1"/>
  <c r="Q50" i="7"/>
  <c r="I53" i="7" s="1"/>
  <c r="H56" i="7" s="1"/>
  <c r="E50" i="7"/>
  <c r="D50" i="7"/>
  <c r="B50" i="7"/>
  <c r="H47" i="7"/>
  <c r="J47" i="7"/>
  <c r="I45" i="7"/>
  <c r="H45" i="7"/>
  <c r="E45" i="7"/>
  <c r="J44" i="7"/>
  <c r="I44" i="7"/>
  <c r="E44" i="7"/>
  <c r="J43" i="7"/>
  <c r="E43" i="7"/>
  <c r="K42" i="7"/>
  <c r="J42" i="7"/>
  <c r="I42" i="7"/>
  <c r="H42" i="7"/>
  <c r="F42" i="7"/>
  <c r="K41" i="7"/>
  <c r="J41" i="7"/>
  <c r="I41" i="7"/>
  <c r="H41" i="7"/>
  <c r="F41" i="7"/>
  <c r="K40" i="7"/>
  <c r="J40" i="7"/>
  <c r="I40" i="7"/>
  <c r="O48" i="7" s="1"/>
  <c r="H40" i="7"/>
  <c r="F40" i="7"/>
  <c r="V39" i="7"/>
  <c r="T39" i="7"/>
  <c r="K44" i="7" s="1"/>
  <c r="R39" i="7"/>
  <c r="K43" i="7" s="1"/>
  <c r="J46" i="7" s="1"/>
  <c r="U39" i="7"/>
  <c r="S39" i="7"/>
  <c r="Q39" i="7"/>
  <c r="I43" i="7" s="1"/>
  <c r="H48" i="7" s="1"/>
  <c r="E39" i="7"/>
  <c r="D39" i="7"/>
  <c r="B39" i="7"/>
  <c r="AP38" i="7"/>
  <c r="A38" i="7"/>
  <c r="A36" i="7"/>
  <c r="A18" i="7"/>
  <c r="A13" i="7"/>
  <c r="G6" i="7"/>
  <c r="B6" i="7"/>
  <c r="A1" i="7"/>
  <c r="A1" i="4"/>
  <c r="A2" i="4"/>
  <c r="A3" i="4"/>
  <c r="A4" i="4"/>
  <c r="A5" i="4"/>
  <c r="A6" i="4"/>
  <c r="A7" i="4"/>
  <c r="A8" i="4"/>
  <c r="A9" i="4"/>
  <c r="A10" i="4"/>
  <c r="A11" i="4"/>
  <c r="A12" i="4"/>
  <c r="A13" i="4"/>
  <c r="A14" i="4"/>
  <c r="A15" i="4"/>
  <c r="A16" i="4"/>
  <c r="A17" i="4"/>
  <c r="A18" i="4"/>
  <c r="A19" i="4"/>
  <c r="A20" i="4"/>
  <c r="A21" i="4"/>
  <c r="A22" i="4"/>
  <c r="A23" i="4"/>
  <c r="A24" i="4"/>
  <c r="A25" i="4"/>
  <c r="A26" i="4"/>
  <c r="A27" i="4"/>
  <c r="A28" i="4"/>
  <c r="A29" i="4"/>
  <c r="A30" i="4"/>
  <c r="A31" i="4"/>
  <c r="A32" i="4"/>
  <c r="A33" i="4"/>
  <c r="A34" i="4"/>
  <c r="A35" i="4"/>
  <c r="A36" i="4"/>
  <c r="A37" i="4"/>
  <c r="A38" i="4"/>
  <c r="A39" i="4"/>
  <c r="A40" i="4"/>
  <c r="A41" i="4"/>
  <c r="A42" i="4"/>
  <c r="A43" i="4"/>
  <c r="A44" i="4"/>
  <c r="A45" i="4"/>
  <c r="A46" i="4"/>
  <c r="A47" i="4"/>
  <c r="A48" i="4"/>
  <c r="A49" i="4"/>
  <c r="A50" i="4"/>
  <c r="A51" i="4"/>
  <c r="A52" i="4"/>
  <c r="A53" i="4"/>
  <c r="A54" i="4"/>
  <c r="A55" i="4"/>
  <c r="A56" i="4"/>
  <c r="A57" i="4"/>
  <c r="A58" i="4"/>
  <c r="A59" i="4"/>
  <c r="A60" i="4"/>
  <c r="A61" i="4"/>
  <c r="A62" i="4"/>
  <c r="A63" i="4"/>
  <c r="A64" i="4"/>
  <c r="A65" i="4"/>
  <c r="A66" i="4"/>
  <c r="A67" i="4"/>
  <c r="A68" i="4"/>
  <c r="A69" i="4"/>
  <c r="A70" i="4"/>
  <c r="A71" i="4"/>
  <c r="A72" i="4"/>
  <c r="A73" i="4"/>
  <c r="A74" i="4"/>
  <c r="A75" i="4"/>
  <c r="A76" i="4"/>
  <c r="A77" i="4"/>
  <c r="A78" i="4"/>
  <c r="A79" i="4"/>
  <c r="A80" i="4"/>
  <c r="A81" i="4"/>
  <c r="A82" i="4"/>
  <c r="A83" i="4"/>
  <c r="A84" i="4"/>
  <c r="A85" i="4"/>
  <c r="A86" i="4"/>
  <c r="A87" i="4"/>
  <c r="A88" i="4"/>
  <c r="A89" i="4"/>
  <c r="A90" i="4"/>
  <c r="A91" i="4"/>
  <c r="A92" i="4"/>
  <c r="A93" i="4"/>
  <c r="A94" i="4"/>
  <c r="A95" i="4"/>
  <c r="A96" i="4"/>
  <c r="A97" i="4"/>
  <c r="A98" i="4"/>
  <c r="A99" i="4"/>
  <c r="A100" i="4"/>
  <c r="A101" i="4"/>
  <c r="A102" i="4"/>
  <c r="A103" i="4"/>
  <c r="A104" i="4"/>
  <c r="A105" i="4"/>
  <c r="A106" i="4"/>
  <c r="A107" i="4"/>
  <c r="A108" i="4"/>
  <c r="A109" i="4"/>
  <c r="A110" i="4"/>
  <c r="A111" i="4"/>
  <c r="A112" i="4"/>
  <c r="A113" i="4"/>
  <c r="A114" i="4"/>
  <c r="A115" i="4"/>
  <c r="A116" i="4"/>
  <c r="A117" i="4"/>
  <c r="A118" i="4"/>
  <c r="A119" i="4"/>
  <c r="A120" i="4"/>
  <c r="A121" i="4"/>
  <c r="A122" i="4"/>
  <c r="A123" i="4"/>
  <c r="A124" i="4"/>
  <c r="A125" i="4"/>
  <c r="A126" i="4"/>
  <c r="A127" i="4"/>
  <c r="A128" i="4"/>
  <c r="A129" i="4"/>
  <c r="A130" i="4"/>
  <c r="A131" i="4"/>
  <c r="A132" i="4"/>
  <c r="A133" i="4"/>
  <c r="A134" i="4"/>
  <c r="A135" i="4"/>
  <c r="A136" i="4"/>
  <c r="A137" i="4"/>
  <c r="A138" i="4"/>
  <c r="A139" i="4"/>
  <c r="A140" i="4"/>
  <c r="A141" i="4"/>
  <c r="A142" i="4"/>
  <c r="A143" i="4"/>
  <c r="A144" i="4"/>
  <c r="A145" i="4"/>
  <c r="A146" i="4"/>
  <c r="A147" i="4"/>
  <c r="A148" i="4"/>
  <c r="A149" i="4"/>
  <c r="A150" i="4"/>
  <c r="A151" i="4"/>
  <c r="A152" i="4"/>
  <c r="A153" i="4"/>
  <c r="A154" i="4"/>
  <c r="A155" i="4"/>
  <c r="A156" i="4"/>
  <c r="A157" i="4"/>
  <c r="A158" i="4"/>
  <c r="A159" i="4"/>
  <c r="A160" i="4"/>
  <c r="A161" i="4"/>
  <c r="A162" i="4"/>
  <c r="A163" i="4"/>
  <c r="A164" i="4"/>
  <c r="A165" i="4"/>
  <c r="A166" i="4"/>
  <c r="A167" i="4"/>
  <c r="A168" i="4"/>
  <c r="A169" i="4"/>
  <c r="A170" i="4"/>
  <c r="A171" i="4"/>
  <c r="A172" i="4"/>
  <c r="A173" i="4"/>
  <c r="A174" i="4"/>
  <c r="A175" i="4"/>
  <c r="A176" i="4"/>
  <c r="A177" i="4"/>
  <c r="A178" i="4"/>
  <c r="A179" i="4"/>
  <c r="A180" i="4"/>
  <c r="A181" i="4"/>
  <c r="A182" i="4"/>
  <c r="A183" i="4"/>
  <c r="A184" i="4"/>
  <c r="A185" i="4"/>
  <c r="A186" i="4"/>
  <c r="A187" i="4"/>
  <c r="A188" i="4"/>
  <c r="A189" i="4"/>
  <c r="A190" i="4"/>
  <c r="A191" i="4"/>
  <c r="A192" i="4"/>
  <c r="A193" i="4"/>
  <c r="A194" i="4"/>
  <c r="A195" i="4"/>
  <c r="A196" i="4"/>
  <c r="A197" i="4"/>
  <c r="A198" i="4"/>
  <c r="A199" i="4"/>
  <c r="A200" i="4"/>
  <c r="A201" i="4"/>
  <c r="A202" i="4"/>
  <c r="A203" i="4"/>
  <c r="A204" i="4"/>
  <c r="A205" i="4"/>
  <c r="A206" i="4"/>
  <c r="A207" i="4"/>
  <c r="A208" i="4"/>
  <c r="A209" i="4"/>
  <c r="A210" i="4"/>
  <c r="A211" i="4"/>
  <c r="A212" i="4"/>
  <c r="A213" i="4"/>
  <c r="A214" i="4"/>
  <c r="A215" i="4"/>
  <c r="A216" i="4"/>
  <c r="A217" i="4"/>
  <c r="A218" i="4"/>
  <c r="A219" i="4"/>
  <c r="A220" i="4"/>
  <c r="A221" i="4"/>
  <c r="A222" i="4"/>
  <c r="A223" i="4"/>
  <c r="A224" i="4"/>
  <c r="A225" i="4"/>
  <c r="A226" i="4"/>
  <c r="A227" i="4"/>
  <c r="A228" i="4"/>
  <c r="A229" i="4"/>
  <c r="A230" i="4"/>
  <c r="A231" i="4"/>
  <c r="A232" i="4"/>
  <c r="A233" i="4"/>
  <c r="A234" i="4"/>
  <c r="A235" i="4"/>
  <c r="A236" i="4"/>
  <c r="A237" i="4"/>
  <c r="A238" i="4"/>
  <c r="A239" i="4"/>
  <c r="A240" i="4"/>
  <c r="A241" i="4"/>
  <c r="A242" i="4"/>
  <c r="A243" i="4"/>
  <c r="A244" i="4"/>
  <c r="A245" i="4"/>
  <c r="A246" i="4"/>
  <c r="A247" i="4"/>
  <c r="A248" i="4"/>
  <c r="A249" i="4"/>
  <c r="A250" i="4"/>
  <c r="A251" i="4"/>
  <c r="A252" i="4"/>
  <c r="A253" i="4"/>
  <c r="A254" i="4"/>
  <c r="A255" i="4"/>
  <c r="A256" i="4"/>
  <c r="A257" i="4"/>
  <c r="A258" i="4"/>
  <c r="A259" i="4"/>
  <c r="A260" i="4"/>
  <c r="A261" i="4"/>
  <c r="A262" i="4"/>
  <c r="A263" i="4"/>
  <c r="A264" i="4"/>
  <c r="A265" i="4"/>
  <c r="A266" i="4"/>
  <c r="A267" i="4"/>
  <c r="A268" i="4"/>
  <c r="A269" i="4"/>
  <c r="A270" i="4"/>
  <c r="A271" i="4"/>
  <c r="A272" i="4"/>
  <c r="A273" i="4"/>
  <c r="A274" i="4"/>
  <c r="A275" i="4"/>
  <c r="A276" i="4"/>
  <c r="A277" i="4"/>
  <c r="A278" i="4"/>
  <c r="A279" i="4"/>
  <c r="A280" i="4"/>
  <c r="A281" i="4"/>
  <c r="A282" i="4"/>
  <c r="A283" i="4"/>
  <c r="A284" i="4"/>
  <c r="A285" i="4"/>
  <c r="A286" i="4"/>
  <c r="A287" i="4"/>
  <c r="A288" i="4"/>
  <c r="A289" i="4"/>
  <c r="A290" i="4"/>
  <c r="A291" i="4"/>
  <c r="A292" i="4"/>
  <c r="A293" i="4"/>
  <c r="A294" i="4"/>
  <c r="A295" i="4"/>
  <c r="A296" i="4"/>
  <c r="A297" i="4"/>
  <c r="A298" i="4"/>
  <c r="A299" i="4"/>
  <c r="A300" i="4"/>
  <c r="A301" i="4"/>
  <c r="A302" i="4"/>
  <c r="A303" i="4"/>
  <c r="A304" i="4"/>
  <c r="A305" i="4"/>
  <c r="A306" i="4"/>
  <c r="A307" i="4"/>
  <c r="A308" i="4"/>
  <c r="A309" i="4"/>
  <c r="A310" i="4"/>
  <c r="A311" i="4"/>
  <c r="A312" i="4"/>
  <c r="A313" i="4"/>
  <c r="A314" i="4"/>
  <c r="A315" i="4"/>
  <c r="A316" i="4"/>
  <c r="A1" i="3"/>
  <c r="Y1" i="3"/>
  <c r="CX1" i="3" s="1"/>
  <c r="DI1" i="3" s="1"/>
  <c r="DJ1" i="3" s="1"/>
  <c r="CU1" i="3"/>
  <c r="CV1" i="3"/>
  <c r="CY1" i="3"/>
  <c r="CZ1" i="3"/>
  <c r="DA1" i="3"/>
  <c r="DB1" i="3"/>
  <c r="DC1" i="3"/>
  <c r="DF1" i="3"/>
  <c r="DG1" i="3"/>
  <c r="DH1" i="3"/>
  <c r="A2" i="3"/>
  <c r="Y2" i="3"/>
  <c r="CW2" i="3"/>
  <c r="CX2" i="3"/>
  <c r="CY2" i="3"/>
  <c r="CZ2" i="3"/>
  <c r="DA2" i="3"/>
  <c r="DB2" i="3"/>
  <c r="DC2" i="3"/>
  <c r="DF2" i="3"/>
  <c r="A3" i="3"/>
  <c r="Y3" i="3"/>
  <c r="CW3" i="3" s="1"/>
  <c r="CY3" i="3"/>
  <c r="CZ3" i="3"/>
  <c r="DB3" i="3" s="1"/>
  <c r="DA3" i="3"/>
  <c r="DC3" i="3"/>
  <c r="A4" i="3"/>
  <c r="Y4" i="3"/>
  <c r="CX4" i="3" s="1"/>
  <c r="CY4" i="3"/>
  <c r="CZ4" i="3"/>
  <c r="DB4" i="3" s="1"/>
  <c r="DA4" i="3"/>
  <c r="DC4" i="3"/>
  <c r="DF4" i="3"/>
  <c r="DJ4" i="3" s="1"/>
  <c r="DI4" i="3"/>
  <c r="A5" i="3"/>
  <c r="Y5" i="3"/>
  <c r="CX5" i="3"/>
  <c r="CY5" i="3"/>
  <c r="CZ5" i="3"/>
  <c r="DB5" i="3" s="1"/>
  <c r="DA5" i="3"/>
  <c r="DC5" i="3"/>
  <c r="A6" i="3"/>
  <c r="Y6" i="3"/>
  <c r="CX6" i="3" s="1"/>
  <c r="CU6" i="3"/>
  <c r="CY6" i="3"/>
  <c r="CZ6" i="3"/>
  <c r="DB6" i="3" s="1"/>
  <c r="DA6" i="3"/>
  <c r="DC6" i="3"/>
  <c r="A7" i="3"/>
  <c r="Y7" i="3"/>
  <c r="CW7" i="3" s="1"/>
  <c r="CX7" i="3"/>
  <c r="DF7" i="3" s="1"/>
  <c r="CY7" i="3"/>
  <c r="CZ7" i="3"/>
  <c r="DB7" i="3" s="1"/>
  <c r="DA7" i="3"/>
  <c r="DC7" i="3"/>
  <c r="DG7" i="3"/>
  <c r="DJ7" i="3" s="1"/>
  <c r="DH7" i="3"/>
  <c r="A8" i="3"/>
  <c r="Y8" i="3"/>
  <c r="CY8" i="3"/>
  <c r="CZ8" i="3"/>
  <c r="DA8" i="3"/>
  <c r="DB8" i="3"/>
  <c r="DC8" i="3"/>
  <c r="A9" i="3"/>
  <c r="Y9" i="3"/>
  <c r="CX9" i="3"/>
  <c r="CY9" i="3"/>
  <c r="CZ9" i="3"/>
  <c r="DA9" i="3"/>
  <c r="DB9" i="3"/>
  <c r="DC9" i="3"/>
  <c r="DF9" i="3"/>
  <c r="DJ9" i="3" s="1"/>
  <c r="DI9" i="3"/>
  <c r="A10" i="3"/>
  <c r="Y10" i="3"/>
  <c r="CX10" i="3" s="1"/>
  <c r="DH10" i="3" s="1"/>
  <c r="CY10" i="3"/>
  <c r="CZ10" i="3"/>
  <c r="DA10" i="3"/>
  <c r="DB10" i="3"/>
  <c r="DC10" i="3"/>
  <c r="A11" i="3"/>
  <c r="Y11" i="3"/>
  <c r="CU11" i="3"/>
  <c r="CV11" i="3"/>
  <c r="CX11" i="3"/>
  <c r="CY11" i="3"/>
  <c r="CZ11" i="3"/>
  <c r="DB11" i="3" s="1"/>
  <c r="DA11" i="3"/>
  <c r="DC11" i="3"/>
  <c r="A12" i="3"/>
  <c r="Y12" i="3"/>
  <c r="CX12" i="3" s="1"/>
  <c r="CW12" i="3"/>
  <c r="CY12" i="3"/>
  <c r="CZ12" i="3"/>
  <c r="DB12" i="3" s="1"/>
  <c r="DA12" i="3"/>
  <c r="DC12" i="3"/>
  <c r="A13" i="3"/>
  <c r="Y13" i="3"/>
  <c r="CX13" i="3" s="1"/>
  <c r="CY13" i="3"/>
  <c r="CZ13" i="3"/>
  <c r="DB13" i="3" s="1"/>
  <c r="DA13" i="3"/>
  <c r="DC13" i="3"/>
  <c r="DG13" i="3"/>
  <c r="DI13" i="3"/>
  <c r="A14" i="3"/>
  <c r="Y14" i="3"/>
  <c r="CX14" i="3" s="1"/>
  <c r="DI14" i="3" s="1"/>
  <c r="DJ14" i="3" s="1"/>
  <c r="CU14" i="3"/>
  <c r="CV14" i="3"/>
  <c r="CY14" i="3"/>
  <c r="CZ14" i="3"/>
  <c r="DB14" i="3" s="1"/>
  <c r="DA14" i="3"/>
  <c r="DC14" i="3"/>
  <c r="DF14" i="3"/>
  <c r="DG14" i="3"/>
  <c r="DH14" i="3"/>
  <c r="A15" i="3"/>
  <c r="Y15" i="3"/>
  <c r="CW15" i="3"/>
  <c r="CX15" i="3"/>
  <c r="CY15" i="3"/>
  <c r="CZ15" i="3"/>
  <c r="DB15" i="3" s="1"/>
  <c r="DA15" i="3"/>
  <c r="DC15" i="3"/>
  <c r="DF15" i="3"/>
  <c r="DI15" i="3"/>
  <c r="A16" i="3"/>
  <c r="Y16" i="3"/>
  <c r="CX16" i="3" s="1"/>
  <c r="CY16" i="3"/>
  <c r="CZ16" i="3"/>
  <c r="DA16" i="3"/>
  <c r="DB16" i="3"/>
  <c r="DC16" i="3"/>
  <c r="DH16" i="3"/>
  <c r="A17" i="3"/>
  <c r="Y17" i="3"/>
  <c r="CU17" i="3"/>
  <c r="CV17" i="3"/>
  <c r="CX17" i="3"/>
  <c r="DH17" i="3" s="1"/>
  <c r="CY17" i="3"/>
  <c r="CZ17" i="3"/>
  <c r="DB17" i="3" s="1"/>
  <c r="DA17" i="3"/>
  <c r="DC17" i="3"/>
  <c r="A18" i="3"/>
  <c r="Y18" i="3"/>
  <c r="CX18" i="3" s="1"/>
  <c r="CU18" i="3"/>
  <c r="CV18" i="3"/>
  <c r="CY18" i="3"/>
  <c r="CZ18" i="3"/>
  <c r="DB18" i="3" s="1"/>
  <c r="DA18" i="3"/>
  <c r="DC18" i="3"/>
  <c r="A19" i="3"/>
  <c r="Y19" i="3"/>
  <c r="CX19" i="3" s="1"/>
  <c r="DI19" i="3" s="1"/>
  <c r="DJ19" i="3" s="1"/>
  <c r="CU19" i="3"/>
  <c r="CV19" i="3"/>
  <c r="CY19" i="3"/>
  <c r="CZ19" i="3"/>
  <c r="DB19" i="3" s="1"/>
  <c r="DA19" i="3"/>
  <c r="DC19" i="3"/>
  <c r="A20" i="3"/>
  <c r="Y20" i="3"/>
  <c r="CW20" i="3"/>
  <c r="CX20" i="3"/>
  <c r="CY20" i="3"/>
  <c r="CZ20" i="3"/>
  <c r="DB20" i="3" s="1"/>
  <c r="DA20" i="3"/>
  <c r="DC20" i="3"/>
  <c r="A21" i="3"/>
  <c r="Y21" i="3"/>
  <c r="CX21" i="3" s="1"/>
  <c r="CY21" i="3"/>
  <c r="CZ21" i="3"/>
  <c r="DA21" i="3"/>
  <c r="DB21" i="3"/>
  <c r="DC21" i="3"/>
  <c r="DH21" i="3"/>
  <c r="A22" i="3"/>
  <c r="Y22" i="3"/>
  <c r="CX22" i="3"/>
  <c r="CY22" i="3"/>
  <c r="CZ22" i="3"/>
  <c r="DA22" i="3"/>
  <c r="DB22" i="3"/>
  <c r="DC22" i="3"/>
  <c r="DG22" i="3"/>
  <c r="A23" i="3"/>
  <c r="Y23" i="3"/>
  <c r="CV23" i="3" s="1"/>
  <c r="CU23" i="3"/>
  <c r="CY23" i="3"/>
  <c r="CZ23" i="3"/>
  <c r="DA23" i="3"/>
  <c r="DB23" i="3"/>
  <c r="DC23" i="3"/>
  <c r="A24" i="3"/>
  <c r="Y24" i="3"/>
  <c r="CX24" i="3" s="1"/>
  <c r="DG24" i="3" s="1"/>
  <c r="DJ24" i="3" s="1"/>
  <c r="CY24" i="3"/>
  <c r="CZ24" i="3"/>
  <c r="DB24" i="3" s="1"/>
  <c r="DA24" i="3"/>
  <c r="DC24" i="3"/>
  <c r="A25" i="3"/>
  <c r="Y25" i="3"/>
  <c r="CX25" i="3" s="1"/>
  <c r="CY25" i="3"/>
  <c r="CZ25" i="3"/>
  <c r="DA25" i="3"/>
  <c r="DB25" i="3"/>
  <c r="DC25" i="3"/>
  <c r="A26" i="3"/>
  <c r="Y26" i="3"/>
  <c r="CX26" i="3"/>
  <c r="CY26" i="3"/>
  <c r="CZ26" i="3"/>
  <c r="DB26" i="3" s="1"/>
  <c r="DA26" i="3"/>
  <c r="DC26" i="3"/>
  <c r="A27" i="3"/>
  <c r="Y27" i="3"/>
  <c r="CY27" i="3"/>
  <c r="CZ27" i="3"/>
  <c r="DB27" i="3" s="1"/>
  <c r="DA27" i="3"/>
  <c r="DC27" i="3"/>
  <c r="A28" i="3"/>
  <c r="Y28" i="3"/>
  <c r="CY28" i="3"/>
  <c r="CZ28" i="3"/>
  <c r="DA28" i="3"/>
  <c r="DB28" i="3"/>
  <c r="DC28" i="3"/>
  <c r="A29" i="3"/>
  <c r="Y29" i="3"/>
  <c r="CY29" i="3"/>
  <c r="CZ29" i="3"/>
  <c r="DB29" i="3" s="1"/>
  <c r="DA29" i="3"/>
  <c r="DC29" i="3"/>
  <c r="A30" i="3"/>
  <c r="Y30" i="3"/>
  <c r="CY30" i="3"/>
  <c r="CZ30" i="3"/>
  <c r="DA30" i="3"/>
  <c r="DB30" i="3"/>
  <c r="DC30" i="3"/>
  <c r="A31" i="3"/>
  <c r="Y31" i="3"/>
  <c r="CY31" i="3"/>
  <c r="CZ31" i="3"/>
  <c r="DB31" i="3" s="1"/>
  <c r="DA31" i="3"/>
  <c r="DC31" i="3"/>
  <c r="A32" i="3"/>
  <c r="Y32" i="3"/>
  <c r="CY32" i="3"/>
  <c r="CZ32" i="3"/>
  <c r="DB32" i="3" s="1"/>
  <c r="DA32" i="3"/>
  <c r="DC32" i="3"/>
  <c r="A33" i="3"/>
  <c r="Y33" i="3"/>
  <c r="CY33" i="3"/>
  <c r="CZ33" i="3"/>
  <c r="DA33" i="3"/>
  <c r="DB33" i="3"/>
  <c r="DC33" i="3"/>
  <c r="A34" i="3"/>
  <c r="Y34" i="3"/>
  <c r="CY34" i="3"/>
  <c r="CZ34" i="3"/>
  <c r="DA34" i="3"/>
  <c r="DB34" i="3"/>
  <c r="DC34" i="3"/>
  <c r="A35" i="3"/>
  <c r="Y35" i="3"/>
  <c r="CY35" i="3"/>
  <c r="CZ35" i="3"/>
  <c r="DA35" i="3"/>
  <c r="DB35" i="3"/>
  <c r="DC35" i="3"/>
  <c r="A36" i="3"/>
  <c r="Y36" i="3"/>
  <c r="CY36" i="3"/>
  <c r="CZ36" i="3"/>
  <c r="DB36" i="3" s="1"/>
  <c r="DA36" i="3"/>
  <c r="DC36" i="3"/>
  <c r="A37" i="3"/>
  <c r="Y37" i="3"/>
  <c r="CY37" i="3"/>
  <c r="CZ37" i="3"/>
  <c r="DB37" i="3" s="1"/>
  <c r="DA37" i="3"/>
  <c r="DC37" i="3"/>
  <c r="A38" i="3"/>
  <c r="Y38" i="3"/>
  <c r="CY38" i="3"/>
  <c r="CZ38" i="3"/>
  <c r="DA38" i="3"/>
  <c r="DB38" i="3"/>
  <c r="DC38" i="3"/>
  <c r="A39" i="3"/>
  <c r="Y39" i="3"/>
  <c r="CY39" i="3"/>
  <c r="CZ39" i="3"/>
  <c r="DA39" i="3"/>
  <c r="DB39" i="3"/>
  <c r="DC39" i="3"/>
  <c r="A40" i="3"/>
  <c r="Y40" i="3"/>
  <c r="CY40" i="3"/>
  <c r="CZ40" i="3"/>
  <c r="DA40" i="3"/>
  <c r="DB40" i="3"/>
  <c r="DC40" i="3"/>
  <c r="A41" i="3"/>
  <c r="Y41" i="3"/>
  <c r="CY41" i="3"/>
  <c r="CZ41" i="3"/>
  <c r="DA41" i="3"/>
  <c r="DB41" i="3"/>
  <c r="DC41" i="3"/>
  <c r="A42" i="3"/>
  <c r="Y42" i="3"/>
  <c r="CY42" i="3"/>
  <c r="CZ42" i="3"/>
  <c r="DB42" i="3" s="1"/>
  <c r="DA42" i="3"/>
  <c r="DC42" i="3"/>
  <c r="A43" i="3"/>
  <c r="Y43" i="3"/>
  <c r="CY43" i="3"/>
  <c r="CZ43" i="3"/>
  <c r="DB43" i="3" s="1"/>
  <c r="DA43" i="3"/>
  <c r="DC43" i="3"/>
  <c r="A44" i="3"/>
  <c r="Y44" i="3"/>
  <c r="CY44" i="3"/>
  <c r="CZ44" i="3"/>
  <c r="DA44" i="3"/>
  <c r="DB44" i="3"/>
  <c r="DC44" i="3"/>
  <c r="A45" i="3"/>
  <c r="Y45" i="3"/>
  <c r="CY45" i="3"/>
  <c r="CZ45" i="3"/>
  <c r="DA45" i="3"/>
  <c r="DB45" i="3"/>
  <c r="DC45" i="3"/>
  <c r="A46" i="3"/>
  <c r="Y46" i="3"/>
  <c r="CY46" i="3"/>
  <c r="CZ46" i="3"/>
  <c r="DB46" i="3" s="1"/>
  <c r="DA46" i="3"/>
  <c r="DC46" i="3"/>
  <c r="A47" i="3"/>
  <c r="Y47" i="3"/>
  <c r="CY47" i="3"/>
  <c r="CZ47" i="3"/>
  <c r="DB47" i="3" s="1"/>
  <c r="DA47" i="3"/>
  <c r="DC47" i="3"/>
  <c r="A48" i="3"/>
  <c r="Y48" i="3"/>
  <c r="CY48" i="3"/>
  <c r="CZ48" i="3"/>
  <c r="DA48" i="3"/>
  <c r="DB48" i="3"/>
  <c r="DC48" i="3"/>
  <c r="A49" i="3"/>
  <c r="Y49" i="3"/>
  <c r="CY49" i="3"/>
  <c r="CZ49" i="3"/>
  <c r="DA49" i="3"/>
  <c r="DB49" i="3"/>
  <c r="DC49" i="3"/>
  <c r="A50" i="3"/>
  <c r="Y50" i="3"/>
  <c r="CY50" i="3"/>
  <c r="CZ50" i="3"/>
  <c r="DB50" i="3" s="1"/>
  <c r="DA50" i="3"/>
  <c r="DC50" i="3"/>
  <c r="A51" i="3"/>
  <c r="Y51" i="3"/>
  <c r="CY51" i="3"/>
  <c r="CZ51" i="3"/>
  <c r="DB51" i="3" s="1"/>
  <c r="DA51" i="3"/>
  <c r="DC51" i="3"/>
  <c r="A52" i="3"/>
  <c r="Y52" i="3"/>
  <c r="CY52" i="3"/>
  <c r="CZ52" i="3"/>
  <c r="DA52" i="3"/>
  <c r="DB52" i="3"/>
  <c r="DC52" i="3"/>
  <c r="A53" i="3"/>
  <c r="Y53" i="3"/>
  <c r="CY53" i="3"/>
  <c r="CZ53" i="3"/>
  <c r="DA53" i="3"/>
  <c r="DB53" i="3"/>
  <c r="DC53" i="3"/>
  <c r="A54" i="3"/>
  <c r="Y54" i="3"/>
  <c r="CY54" i="3"/>
  <c r="CZ54" i="3"/>
  <c r="DB54" i="3" s="1"/>
  <c r="DA54" i="3"/>
  <c r="DC54" i="3"/>
  <c r="A55" i="3"/>
  <c r="Y55" i="3"/>
  <c r="CY55" i="3"/>
  <c r="CZ55" i="3"/>
  <c r="DB55" i="3" s="1"/>
  <c r="DA55" i="3"/>
  <c r="DC55" i="3"/>
  <c r="A56" i="3"/>
  <c r="Y56" i="3"/>
  <c r="CY56" i="3"/>
  <c r="CZ56" i="3"/>
  <c r="DA56" i="3"/>
  <c r="DB56" i="3"/>
  <c r="DC56" i="3"/>
  <c r="A57" i="3"/>
  <c r="Y57" i="3"/>
  <c r="CY57" i="3"/>
  <c r="CZ57" i="3"/>
  <c r="DA57" i="3"/>
  <c r="DB57" i="3"/>
  <c r="DC57" i="3"/>
  <c r="A58" i="3"/>
  <c r="Y58" i="3"/>
  <c r="CY58" i="3"/>
  <c r="CZ58" i="3"/>
  <c r="DA58" i="3"/>
  <c r="DB58" i="3"/>
  <c r="DC58" i="3"/>
  <c r="A59" i="3"/>
  <c r="Y59" i="3"/>
  <c r="CY59" i="3"/>
  <c r="CZ59" i="3"/>
  <c r="DB59" i="3" s="1"/>
  <c r="DA59" i="3"/>
  <c r="DC59" i="3"/>
  <c r="A60" i="3"/>
  <c r="Y60" i="3"/>
  <c r="CY60" i="3"/>
  <c r="CZ60" i="3"/>
  <c r="DB60" i="3" s="1"/>
  <c r="DA60" i="3"/>
  <c r="DC60" i="3"/>
  <c r="A61" i="3"/>
  <c r="Y61" i="3"/>
  <c r="CY61" i="3"/>
  <c r="CZ61" i="3"/>
  <c r="DA61" i="3"/>
  <c r="DB61" i="3"/>
  <c r="DC61" i="3"/>
  <c r="A62" i="3"/>
  <c r="Y62" i="3"/>
  <c r="CY62" i="3"/>
  <c r="CZ62" i="3"/>
  <c r="DA62" i="3"/>
  <c r="DB62" i="3"/>
  <c r="DC62" i="3"/>
  <c r="A63" i="3"/>
  <c r="Y63" i="3"/>
  <c r="CY63" i="3"/>
  <c r="CZ63" i="3"/>
  <c r="DB63" i="3" s="1"/>
  <c r="DA63" i="3"/>
  <c r="DC63" i="3"/>
  <c r="A64" i="3"/>
  <c r="Y64" i="3"/>
  <c r="CY64" i="3"/>
  <c r="CZ64" i="3"/>
  <c r="DB64" i="3" s="1"/>
  <c r="DA64" i="3"/>
  <c r="DC64" i="3"/>
  <c r="A65" i="3"/>
  <c r="Y65" i="3"/>
  <c r="CY65" i="3"/>
  <c r="CZ65" i="3"/>
  <c r="DB65" i="3" s="1"/>
  <c r="DA65" i="3"/>
  <c r="DC65" i="3"/>
  <c r="A66" i="3"/>
  <c r="Y66" i="3"/>
  <c r="CY66" i="3"/>
  <c r="CZ66" i="3"/>
  <c r="DA66" i="3"/>
  <c r="DB66" i="3"/>
  <c r="DC66" i="3"/>
  <c r="A67" i="3"/>
  <c r="Y67" i="3"/>
  <c r="CY67" i="3"/>
  <c r="CZ67" i="3"/>
  <c r="DA67" i="3"/>
  <c r="DB67" i="3"/>
  <c r="DC67" i="3"/>
  <c r="A68" i="3"/>
  <c r="Y68" i="3"/>
  <c r="CY68" i="3"/>
  <c r="CZ68" i="3"/>
  <c r="DA68" i="3"/>
  <c r="DB68" i="3"/>
  <c r="DC68" i="3"/>
  <c r="A69" i="3"/>
  <c r="Y69" i="3"/>
  <c r="CY69" i="3"/>
  <c r="CZ69" i="3"/>
  <c r="DA69" i="3"/>
  <c r="DB69" i="3"/>
  <c r="DC69" i="3"/>
  <c r="A70" i="3"/>
  <c r="Y70" i="3"/>
  <c r="CY70" i="3"/>
  <c r="CZ70" i="3"/>
  <c r="DA70" i="3"/>
  <c r="DB70" i="3"/>
  <c r="DC70" i="3"/>
  <c r="A71" i="3"/>
  <c r="Y71" i="3"/>
  <c r="CY71" i="3"/>
  <c r="CZ71" i="3"/>
  <c r="DB71" i="3" s="1"/>
  <c r="DA71" i="3"/>
  <c r="DC71" i="3"/>
  <c r="A72" i="3"/>
  <c r="Y72" i="3"/>
  <c r="CY72" i="3"/>
  <c r="CZ72" i="3"/>
  <c r="DB72" i="3" s="1"/>
  <c r="DA72" i="3"/>
  <c r="DC72" i="3"/>
  <c r="A73" i="3"/>
  <c r="Y73" i="3"/>
  <c r="CY73" i="3"/>
  <c r="CZ73" i="3"/>
  <c r="DB73" i="3" s="1"/>
  <c r="DA73" i="3"/>
  <c r="DC73" i="3"/>
  <c r="A74" i="3"/>
  <c r="Y74" i="3"/>
  <c r="CY74" i="3"/>
  <c r="CZ74" i="3"/>
  <c r="DA74" i="3"/>
  <c r="DB74" i="3"/>
  <c r="DC74" i="3"/>
  <c r="A75" i="3"/>
  <c r="Y75" i="3"/>
  <c r="CY75" i="3"/>
  <c r="CZ75" i="3"/>
  <c r="DA75" i="3"/>
  <c r="DB75" i="3"/>
  <c r="DC75" i="3"/>
  <c r="A76" i="3"/>
  <c r="Y76" i="3"/>
  <c r="CY76" i="3"/>
  <c r="CZ76" i="3"/>
  <c r="DA76" i="3"/>
  <c r="DB76" i="3"/>
  <c r="DC76" i="3"/>
  <c r="A77" i="3"/>
  <c r="Y77" i="3"/>
  <c r="CY77" i="3"/>
  <c r="CZ77" i="3"/>
  <c r="DB77" i="3" s="1"/>
  <c r="DA77" i="3"/>
  <c r="DC77" i="3"/>
  <c r="A78" i="3"/>
  <c r="Y78" i="3"/>
  <c r="CY78" i="3"/>
  <c r="CZ78" i="3"/>
  <c r="DB78" i="3" s="1"/>
  <c r="DA78" i="3"/>
  <c r="DC78" i="3"/>
  <c r="A79" i="3"/>
  <c r="Y79" i="3"/>
  <c r="CY79" i="3"/>
  <c r="CZ79" i="3"/>
  <c r="DB79" i="3" s="1"/>
  <c r="DA79" i="3"/>
  <c r="DC79" i="3"/>
  <c r="A80" i="3"/>
  <c r="Y80" i="3"/>
  <c r="CY80" i="3"/>
  <c r="CZ80" i="3"/>
  <c r="DA80" i="3"/>
  <c r="DB80" i="3"/>
  <c r="DC80" i="3"/>
  <c r="A81" i="3"/>
  <c r="Y81" i="3"/>
  <c r="CY81" i="3"/>
  <c r="CZ81" i="3"/>
  <c r="DA81" i="3"/>
  <c r="DB81" i="3"/>
  <c r="DC81" i="3"/>
  <c r="A82" i="3"/>
  <c r="Y82" i="3"/>
  <c r="CY82" i="3"/>
  <c r="CZ82" i="3"/>
  <c r="DA82" i="3"/>
  <c r="DB82" i="3"/>
  <c r="DC82" i="3"/>
  <c r="A83" i="3"/>
  <c r="Y83" i="3"/>
  <c r="CY83" i="3"/>
  <c r="CZ83" i="3"/>
  <c r="DA83" i="3"/>
  <c r="DB83" i="3"/>
  <c r="DC83" i="3"/>
  <c r="A84" i="3"/>
  <c r="Y84" i="3"/>
  <c r="CY84" i="3"/>
  <c r="CZ84" i="3"/>
  <c r="DB84" i="3" s="1"/>
  <c r="DA84" i="3"/>
  <c r="DC84" i="3"/>
  <c r="A85" i="3"/>
  <c r="Y85" i="3"/>
  <c r="CY85" i="3"/>
  <c r="CZ85" i="3"/>
  <c r="DB85" i="3" s="1"/>
  <c r="DA85" i="3"/>
  <c r="DC85" i="3"/>
  <c r="A86" i="3"/>
  <c r="Y86" i="3"/>
  <c r="CY86" i="3"/>
  <c r="CZ86" i="3"/>
  <c r="DA86" i="3"/>
  <c r="DB86" i="3"/>
  <c r="DC86" i="3"/>
  <c r="A87" i="3"/>
  <c r="Y87" i="3"/>
  <c r="CU87" i="3"/>
  <c r="CY87" i="3"/>
  <c r="CZ87" i="3"/>
  <c r="DA87" i="3"/>
  <c r="DB87" i="3"/>
  <c r="DC87" i="3"/>
  <c r="A88" i="3"/>
  <c r="Y88" i="3"/>
  <c r="CX88" i="3" s="1"/>
  <c r="DI88" i="3" s="1"/>
  <c r="CW88" i="3"/>
  <c r="CY88" i="3"/>
  <c r="CZ88" i="3"/>
  <c r="DB88" i="3" s="1"/>
  <c r="DA88" i="3"/>
  <c r="DC88" i="3"/>
  <c r="DF88" i="3"/>
  <c r="DG88" i="3"/>
  <c r="DJ88" i="3" s="1"/>
  <c r="DH88" i="3"/>
  <c r="A89" i="3"/>
  <c r="Y89" i="3"/>
  <c r="CW89" i="3"/>
  <c r="CX89" i="3"/>
  <c r="CY89" i="3"/>
  <c r="CZ89" i="3"/>
  <c r="DB89" i="3" s="1"/>
  <c r="DA89" i="3"/>
  <c r="DC89" i="3"/>
  <c r="A90" i="3"/>
  <c r="Y90" i="3"/>
  <c r="CX90" i="3" s="1"/>
  <c r="CY90" i="3"/>
  <c r="CZ90" i="3"/>
  <c r="DA90" i="3"/>
  <c r="DB90" i="3"/>
  <c r="DC90" i="3"/>
  <c r="DH90" i="3"/>
  <c r="A91" i="3"/>
  <c r="Y91" i="3"/>
  <c r="CX91" i="3"/>
  <c r="CY91" i="3"/>
  <c r="CZ91" i="3"/>
  <c r="DB91" i="3" s="1"/>
  <c r="DA91" i="3"/>
  <c r="DC91" i="3"/>
  <c r="DG91" i="3"/>
  <c r="DI91" i="3"/>
  <c r="A92" i="3"/>
  <c r="Y92" i="3"/>
  <c r="CU92" i="3"/>
  <c r="CV92" i="3"/>
  <c r="CX92" i="3"/>
  <c r="DH92" i="3" s="1"/>
  <c r="CY92" i="3"/>
  <c r="CZ92" i="3"/>
  <c r="DA92" i="3"/>
  <c r="DB92" i="3"/>
  <c r="DC92" i="3"/>
  <c r="DF92" i="3"/>
  <c r="DG92" i="3"/>
  <c r="A93" i="3"/>
  <c r="Y93" i="3"/>
  <c r="CX93" i="3" s="1"/>
  <c r="DF93" i="3" s="1"/>
  <c r="CW93" i="3"/>
  <c r="CY93" i="3"/>
  <c r="CZ93" i="3"/>
  <c r="DB93" i="3" s="1"/>
  <c r="DA93" i="3"/>
  <c r="DC93" i="3"/>
  <c r="DG93" i="3"/>
  <c r="DJ93" i="3" s="1"/>
  <c r="DH93" i="3"/>
  <c r="A94" i="3"/>
  <c r="Y94" i="3"/>
  <c r="CW94" i="3" s="1"/>
  <c r="CX94" i="3"/>
  <c r="DG94" i="3" s="1"/>
  <c r="DJ94" i="3" s="1"/>
  <c r="CY94" i="3"/>
  <c r="CZ94" i="3"/>
  <c r="DB94" i="3" s="1"/>
  <c r="DA94" i="3"/>
  <c r="DC94" i="3"/>
  <c r="DF94" i="3"/>
  <c r="DH94" i="3"/>
  <c r="A95" i="3"/>
  <c r="Y95" i="3"/>
  <c r="CX95" i="3" s="1"/>
  <c r="DI95" i="3" s="1"/>
  <c r="CY95" i="3"/>
  <c r="CZ95" i="3"/>
  <c r="DA95" i="3"/>
  <c r="DB95" i="3"/>
  <c r="DC95" i="3"/>
  <c r="DF95" i="3"/>
  <c r="DJ95" i="3" s="1"/>
  <c r="DG95" i="3"/>
  <c r="DH95" i="3"/>
  <c r="A96" i="3"/>
  <c r="Y96" i="3"/>
  <c r="CX96" i="3"/>
  <c r="DF96" i="3" s="1"/>
  <c r="DJ96" i="3" s="1"/>
  <c r="CY96" i="3"/>
  <c r="CZ96" i="3"/>
  <c r="DA96" i="3"/>
  <c r="DB96" i="3"/>
  <c r="DC96" i="3"/>
  <c r="DG96" i="3"/>
  <c r="A97" i="3"/>
  <c r="Y97" i="3"/>
  <c r="CU97" i="3"/>
  <c r="CY97" i="3"/>
  <c r="CZ97" i="3"/>
  <c r="DA97" i="3"/>
  <c r="DB97" i="3"/>
  <c r="DC97" i="3"/>
  <c r="A98" i="3"/>
  <c r="Y98" i="3"/>
  <c r="CY98" i="3"/>
  <c r="CZ98" i="3"/>
  <c r="DB98" i="3" s="1"/>
  <c r="DA98" i="3"/>
  <c r="DC98" i="3"/>
  <c r="A99" i="3"/>
  <c r="Y99" i="3"/>
  <c r="CX99" i="3" s="1"/>
  <c r="DF99" i="3" s="1"/>
  <c r="CU99" i="3"/>
  <c r="CY99" i="3"/>
  <c r="CZ99" i="3"/>
  <c r="DA99" i="3"/>
  <c r="DB99" i="3"/>
  <c r="DC99" i="3"/>
  <c r="DG99" i="3"/>
  <c r="DI99" i="3"/>
  <c r="DJ99" i="3"/>
  <c r="A100" i="3"/>
  <c r="Y100" i="3"/>
  <c r="CW100" i="3" s="1"/>
  <c r="CX100" i="3"/>
  <c r="CY100" i="3"/>
  <c r="CZ100" i="3"/>
  <c r="DB100" i="3" s="1"/>
  <c r="DA100" i="3"/>
  <c r="DC100" i="3"/>
  <c r="DF100" i="3"/>
  <c r="DG100" i="3"/>
  <c r="DJ100" i="3" s="1"/>
  <c r="DH100" i="3"/>
  <c r="DI100" i="3"/>
  <c r="A101" i="3"/>
  <c r="Y101" i="3"/>
  <c r="CV101" i="3" s="1"/>
  <c r="CU101" i="3"/>
  <c r="CY101" i="3"/>
  <c r="CZ101" i="3"/>
  <c r="DA101" i="3"/>
  <c r="DB101" i="3"/>
  <c r="DC101" i="3"/>
  <c r="A102" i="3"/>
  <c r="Y102" i="3"/>
  <c r="CX102" i="3" s="1"/>
  <c r="DH102" i="3" s="1"/>
  <c r="CY102" i="3"/>
  <c r="CZ102" i="3"/>
  <c r="DA102" i="3"/>
  <c r="DB102" i="3"/>
  <c r="DC102" i="3"/>
  <c r="A103" i="3"/>
  <c r="Y103" i="3"/>
  <c r="CX103" i="3"/>
  <c r="CY103" i="3"/>
  <c r="CZ103" i="3"/>
  <c r="DB103" i="3" s="1"/>
  <c r="DA103" i="3"/>
  <c r="DC103" i="3"/>
  <c r="A104" i="3"/>
  <c r="Y104" i="3"/>
  <c r="CX104" i="3" s="1"/>
  <c r="CY104" i="3"/>
  <c r="CZ104" i="3"/>
  <c r="DB104" i="3" s="1"/>
  <c r="DA104" i="3"/>
  <c r="DC104" i="3"/>
  <c r="A105" i="3"/>
  <c r="Y105" i="3"/>
  <c r="CX105" i="3" s="1"/>
  <c r="CU105" i="3"/>
  <c r="CV105" i="3"/>
  <c r="CY105" i="3"/>
  <c r="CZ105" i="3"/>
  <c r="DA105" i="3"/>
  <c r="DB105" i="3"/>
  <c r="DC105" i="3"/>
  <c r="A106" i="3"/>
  <c r="Y106" i="3"/>
  <c r="CX106" i="3" s="1"/>
  <c r="CY106" i="3"/>
  <c r="CZ106" i="3"/>
  <c r="DB106" i="3" s="1"/>
  <c r="DA106" i="3"/>
  <c r="DC106" i="3"/>
  <c r="A107" i="3"/>
  <c r="Y107" i="3"/>
  <c r="CX107" i="3" s="1"/>
  <c r="DG107" i="3" s="1"/>
  <c r="CY107" i="3"/>
  <c r="CZ107" i="3"/>
  <c r="DA107" i="3"/>
  <c r="DB107" i="3"/>
  <c r="DC107" i="3"/>
  <c r="DF107" i="3"/>
  <c r="DJ107" i="3" s="1"/>
  <c r="A108" i="3"/>
  <c r="Y108" i="3"/>
  <c r="CX108" i="3"/>
  <c r="CY108" i="3"/>
  <c r="CZ108" i="3"/>
  <c r="DB108" i="3" s="1"/>
  <c r="DA108" i="3"/>
  <c r="DC108" i="3"/>
  <c r="DF108" i="3"/>
  <c r="DJ108" i="3" s="1"/>
  <c r="A109" i="3"/>
  <c r="Y109" i="3"/>
  <c r="CX109" i="3" s="1"/>
  <c r="CU109" i="3"/>
  <c r="CV109" i="3"/>
  <c r="CY109" i="3"/>
  <c r="CZ109" i="3"/>
  <c r="DB109" i="3" s="1"/>
  <c r="DA109" i="3"/>
  <c r="DC109" i="3"/>
  <c r="A110" i="3"/>
  <c r="Y110" i="3"/>
  <c r="CW110" i="3" s="1"/>
  <c r="CY110" i="3"/>
  <c r="CZ110" i="3"/>
  <c r="DA110" i="3"/>
  <c r="DB110" i="3"/>
  <c r="DC110" i="3"/>
  <c r="A111" i="3"/>
  <c r="Y111" i="3"/>
  <c r="CU111" i="3"/>
  <c r="CV111" i="3"/>
  <c r="CX111" i="3"/>
  <c r="CY111" i="3"/>
  <c r="CZ111" i="3"/>
  <c r="DA111" i="3"/>
  <c r="DB111" i="3"/>
  <c r="DC111" i="3"/>
  <c r="A112" i="3"/>
  <c r="Y112" i="3"/>
  <c r="CY112" i="3"/>
  <c r="CZ112" i="3"/>
  <c r="DA112" i="3"/>
  <c r="DB112" i="3"/>
  <c r="DC112" i="3"/>
  <c r="A113" i="3"/>
  <c r="Y113" i="3"/>
  <c r="CX113" i="3" s="1"/>
  <c r="DI113" i="3" s="1"/>
  <c r="DJ113" i="3" s="1"/>
  <c r="CU113" i="3"/>
  <c r="CV113" i="3"/>
  <c r="CY113" i="3"/>
  <c r="CZ113" i="3"/>
  <c r="DB113" i="3" s="1"/>
  <c r="DA113" i="3"/>
  <c r="DC113" i="3"/>
  <c r="DF113" i="3"/>
  <c r="DG113" i="3"/>
  <c r="DH113" i="3"/>
  <c r="A114" i="3"/>
  <c r="Y114" i="3"/>
  <c r="CU114" i="3"/>
  <c r="CV114" i="3"/>
  <c r="CX114" i="3"/>
  <c r="CY114" i="3"/>
  <c r="CZ114" i="3"/>
  <c r="DA114" i="3"/>
  <c r="DB114" i="3"/>
  <c r="DC114" i="3"/>
  <c r="DH114" i="3"/>
  <c r="A115" i="3"/>
  <c r="Y115" i="3"/>
  <c r="CU115" i="3"/>
  <c r="CV115" i="3"/>
  <c r="CX115" i="3"/>
  <c r="DF115" i="3" s="1"/>
  <c r="CY115" i="3"/>
  <c r="CZ115" i="3"/>
  <c r="DB115" i="3" s="1"/>
  <c r="DA115" i="3"/>
  <c r="DC115" i="3"/>
  <c r="A116" i="3"/>
  <c r="Y116" i="3"/>
  <c r="CX116" i="3" s="1"/>
  <c r="CW116" i="3"/>
  <c r="CY116" i="3"/>
  <c r="CZ116" i="3"/>
  <c r="DA116" i="3"/>
  <c r="DB116" i="3"/>
  <c r="DC116" i="3"/>
  <c r="DH116" i="3"/>
  <c r="A117" i="3"/>
  <c r="Y117" i="3"/>
  <c r="CY117" i="3"/>
  <c r="CZ117" i="3"/>
  <c r="DA117" i="3"/>
  <c r="DB117" i="3"/>
  <c r="DC117" i="3"/>
  <c r="A118" i="3"/>
  <c r="Y118" i="3"/>
  <c r="CX118" i="3"/>
  <c r="CY118" i="3"/>
  <c r="CZ118" i="3"/>
  <c r="DA118" i="3"/>
  <c r="DB118" i="3"/>
  <c r="DC118" i="3"/>
  <c r="DG118" i="3"/>
  <c r="DI118" i="3"/>
  <c r="A119" i="3"/>
  <c r="Y119" i="3"/>
  <c r="CX119" i="3" s="1"/>
  <c r="DI119" i="3" s="1"/>
  <c r="CY119" i="3"/>
  <c r="CZ119" i="3"/>
  <c r="DA119" i="3"/>
  <c r="DB119" i="3"/>
  <c r="DC119" i="3"/>
  <c r="DH119" i="3"/>
  <c r="A120" i="3"/>
  <c r="Y120" i="3"/>
  <c r="CX120" i="3"/>
  <c r="CY120" i="3"/>
  <c r="CZ120" i="3"/>
  <c r="DB120" i="3" s="1"/>
  <c r="DA120" i="3"/>
  <c r="DC120" i="3"/>
  <c r="A121" i="3"/>
  <c r="Y121" i="3"/>
  <c r="CU121" i="3"/>
  <c r="CV121" i="3"/>
  <c r="CX121" i="3"/>
  <c r="CY121" i="3"/>
  <c r="CZ121" i="3"/>
  <c r="DA121" i="3"/>
  <c r="DB121" i="3"/>
  <c r="DC121" i="3"/>
  <c r="DF121" i="3"/>
  <c r="A122" i="3"/>
  <c r="Y122" i="3"/>
  <c r="CW122" i="3"/>
  <c r="CX122" i="3"/>
  <c r="CY122" i="3"/>
  <c r="CZ122" i="3"/>
  <c r="DA122" i="3"/>
  <c r="DB122" i="3"/>
  <c r="DC122" i="3"/>
  <c r="DH122" i="3"/>
  <c r="A123" i="3"/>
  <c r="Y123" i="3"/>
  <c r="CX123" i="3" s="1"/>
  <c r="DG123" i="3" s="1"/>
  <c r="CY123" i="3"/>
  <c r="CZ123" i="3"/>
  <c r="DB123" i="3" s="1"/>
  <c r="DA123" i="3"/>
  <c r="DC123" i="3"/>
  <c r="DI123" i="3"/>
  <c r="DJ123" i="3"/>
  <c r="A124" i="3"/>
  <c r="Y124" i="3"/>
  <c r="CX124" i="3" s="1"/>
  <c r="DG124" i="3" s="1"/>
  <c r="CY124" i="3"/>
  <c r="CZ124" i="3"/>
  <c r="DA124" i="3"/>
  <c r="DB124" i="3"/>
  <c r="DC124" i="3"/>
  <c r="A125" i="3"/>
  <c r="Y125" i="3"/>
  <c r="CX125" i="3"/>
  <c r="DG125" i="3" s="1"/>
  <c r="CY125" i="3"/>
  <c r="CZ125" i="3"/>
  <c r="DA125" i="3"/>
  <c r="DB125" i="3"/>
  <c r="DC125" i="3"/>
  <c r="DF125" i="3"/>
  <c r="DJ125" i="3" s="1"/>
  <c r="DH125" i="3"/>
  <c r="DI125" i="3"/>
  <c r="A126" i="3"/>
  <c r="Y126" i="3"/>
  <c r="CX126" i="3" s="1"/>
  <c r="CY126" i="3"/>
  <c r="CZ126" i="3"/>
  <c r="DA126" i="3"/>
  <c r="DB126" i="3"/>
  <c r="DC126" i="3"/>
  <c r="A127" i="3"/>
  <c r="Y127" i="3"/>
  <c r="CU127" i="3"/>
  <c r="CV127" i="3"/>
  <c r="CX127" i="3"/>
  <c r="DG127" i="3" s="1"/>
  <c r="CY127" i="3"/>
  <c r="CZ127" i="3"/>
  <c r="DB127" i="3" s="1"/>
  <c r="DA127" i="3"/>
  <c r="DC127" i="3"/>
  <c r="DF127" i="3"/>
  <c r="DH127" i="3"/>
  <c r="DI127" i="3"/>
  <c r="DJ127" i="3" s="1"/>
  <c r="A128" i="3"/>
  <c r="Y128" i="3"/>
  <c r="CW128" i="3"/>
  <c r="CX128" i="3"/>
  <c r="DH128" i="3" s="1"/>
  <c r="CY128" i="3"/>
  <c r="CZ128" i="3"/>
  <c r="DB128" i="3" s="1"/>
  <c r="DA128" i="3"/>
  <c r="DC128" i="3"/>
  <c r="DF128" i="3"/>
  <c r="DG128" i="3"/>
  <c r="DJ128" i="3" s="1"/>
  <c r="DI128" i="3"/>
  <c r="A129" i="3"/>
  <c r="Y129" i="3"/>
  <c r="CU129" i="3"/>
  <c r="CV129" i="3"/>
  <c r="CX129" i="3"/>
  <c r="DG129" i="3" s="1"/>
  <c r="CY129" i="3"/>
  <c r="CZ129" i="3"/>
  <c r="DA129" i="3"/>
  <c r="DB129" i="3"/>
  <c r="DC129" i="3"/>
  <c r="DF129" i="3"/>
  <c r="A130" i="3"/>
  <c r="Y130" i="3"/>
  <c r="CX130" i="3" s="1"/>
  <c r="DF130" i="3" s="1"/>
  <c r="CW130" i="3"/>
  <c r="CY130" i="3"/>
  <c r="CZ130" i="3"/>
  <c r="DB130" i="3" s="1"/>
  <c r="DA130" i="3"/>
  <c r="DC130" i="3"/>
  <c r="A131" i="3"/>
  <c r="Y131" i="3"/>
  <c r="CX131" i="3" s="1"/>
  <c r="CU131" i="3"/>
  <c r="CV131" i="3"/>
  <c r="CY131" i="3"/>
  <c r="CZ131" i="3"/>
  <c r="DB131" i="3" s="1"/>
  <c r="DA131" i="3"/>
  <c r="DC131" i="3"/>
  <c r="DH131" i="3"/>
  <c r="A132" i="3"/>
  <c r="Y132" i="3"/>
  <c r="CW132" i="3"/>
  <c r="CX132" i="3"/>
  <c r="CY132" i="3"/>
  <c r="CZ132" i="3"/>
  <c r="DB132" i="3" s="1"/>
  <c r="DA132" i="3"/>
  <c r="DC132" i="3"/>
  <c r="DH132" i="3"/>
  <c r="DI132" i="3"/>
  <c r="A133" i="3"/>
  <c r="Y133" i="3"/>
  <c r="CX133" i="3"/>
  <c r="CY133" i="3"/>
  <c r="CZ133" i="3"/>
  <c r="DB133" i="3" s="1"/>
  <c r="DA133" i="3"/>
  <c r="DC133" i="3"/>
  <c r="A134" i="3"/>
  <c r="Y134" i="3"/>
  <c r="CU134" i="3"/>
  <c r="CV134" i="3"/>
  <c r="CX134" i="3"/>
  <c r="CY134" i="3"/>
  <c r="CZ134" i="3"/>
  <c r="DB134" i="3" s="1"/>
  <c r="DA134" i="3"/>
  <c r="DC134" i="3"/>
  <c r="A135" i="3"/>
  <c r="Y135" i="3"/>
  <c r="CW135" i="3" s="1"/>
  <c r="CX135" i="3"/>
  <c r="CY135" i="3"/>
  <c r="CZ135" i="3"/>
  <c r="DA135" i="3"/>
  <c r="DB135" i="3"/>
  <c r="DC135" i="3"/>
  <c r="A136" i="3"/>
  <c r="Y136" i="3"/>
  <c r="CX136" i="3"/>
  <c r="CY136" i="3"/>
  <c r="CZ136" i="3"/>
  <c r="DA136" i="3"/>
  <c r="DB136" i="3"/>
  <c r="DC136" i="3"/>
  <c r="A137" i="3"/>
  <c r="Y137" i="3"/>
  <c r="CU137" i="3"/>
  <c r="CY137" i="3"/>
  <c r="CZ137" i="3"/>
  <c r="DB137" i="3" s="1"/>
  <c r="DA137" i="3"/>
  <c r="DC137" i="3"/>
  <c r="A138" i="3"/>
  <c r="Y138" i="3"/>
  <c r="CW138" i="3"/>
  <c r="CX138" i="3"/>
  <c r="CY138" i="3"/>
  <c r="CZ138" i="3"/>
  <c r="DB138" i="3" s="1"/>
  <c r="DA138" i="3"/>
  <c r="DC138" i="3"/>
  <c r="A139" i="3"/>
  <c r="Y139" i="3"/>
  <c r="CX139" i="3" s="1"/>
  <c r="CU139" i="3"/>
  <c r="CV139" i="3"/>
  <c r="CY139" i="3"/>
  <c r="CZ139" i="3"/>
  <c r="DB139" i="3" s="1"/>
  <c r="DA139" i="3"/>
  <c r="DC139" i="3"/>
  <c r="A140" i="3"/>
  <c r="Y140" i="3"/>
  <c r="CW140" i="3"/>
  <c r="CX140" i="3"/>
  <c r="CY140" i="3"/>
  <c r="CZ140" i="3"/>
  <c r="DB140" i="3" s="1"/>
  <c r="DA140" i="3"/>
  <c r="DC140" i="3"/>
  <c r="A141" i="3"/>
  <c r="Y141" i="3"/>
  <c r="CY141" i="3"/>
  <c r="CZ141" i="3"/>
  <c r="DA141" i="3"/>
  <c r="DB141" i="3"/>
  <c r="DC141" i="3"/>
  <c r="A142" i="3"/>
  <c r="Y142" i="3"/>
  <c r="CY142" i="3"/>
  <c r="CZ142" i="3"/>
  <c r="DB142" i="3" s="1"/>
  <c r="DA142" i="3"/>
  <c r="DC142" i="3"/>
  <c r="A143" i="3"/>
  <c r="Y143" i="3"/>
  <c r="CY143" i="3"/>
  <c r="CZ143" i="3"/>
  <c r="DB143" i="3" s="1"/>
  <c r="DA143" i="3"/>
  <c r="DC143" i="3"/>
  <c r="A144" i="3"/>
  <c r="Y144" i="3"/>
  <c r="CY144" i="3"/>
  <c r="CZ144" i="3"/>
  <c r="DA144" i="3"/>
  <c r="DB144" i="3"/>
  <c r="DC144" i="3"/>
  <c r="A145" i="3"/>
  <c r="Y145" i="3"/>
  <c r="CY145" i="3"/>
  <c r="CZ145" i="3"/>
  <c r="DA145" i="3"/>
  <c r="DB145" i="3"/>
  <c r="DC145" i="3"/>
  <c r="A146" i="3"/>
  <c r="Y146" i="3"/>
  <c r="CY146" i="3"/>
  <c r="CZ146" i="3"/>
  <c r="DA146" i="3"/>
  <c r="DB146" i="3"/>
  <c r="DC146" i="3"/>
  <c r="A147" i="3"/>
  <c r="Y147" i="3"/>
  <c r="CY147" i="3"/>
  <c r="CZ147" i="3"/>
  <c r="DA147" i="3"/>
  <c r="DB147" i="3"/>
  <c r="DC147" i="3"/>
  <c r="A148" i="3"/>
  <c r="Y148" i="3"/>
  <c r="CY148" i="3"/>
  <c r="CZ148" i="3"/>
  <c r="DA148" i="3"/>
  <c r="DB148" i="3"/>
  <c r="DC148" i="3"/>
  <c r="A149" i="3"/>
  <c r="Y149" i="3"/>
  <c r="CY149" i="3"/>
  <c r="CZ149" i="3"/>
  <c r="DA149" i="3"/>
  <c r="DB149" i="3"/>
  <c r="DC149" i="3"/>
  <c r="A150" i="3"/>
  <c r="Y150" i="3"/>
  <c r="CY150" i="3"/>
  <c r="CZ150" i="3"/>
  <c r="DB150" i="3" s="1"/>
  <c r="DA150" i="3"/>
  <c r="DC150" i="3"/>
  <c r="A151" i="3"/>
  <c r="Y151" i="3"/>
  <c r="CY151" i="3"/>
  <c r="CZ151" i="3"/>
  <c r="DB151" i="3" s="1"/>
  <c r="DA151" i="3"/>
  <c r="DC151" i="3"/>
  <c r="A152" i="3"/>
  <c r="Y152" i="3"/>
  <c r="CY152" i="3"/>
  <c r="CZ152" i="3"/>
  <c r="DA152" i="3"/>
  <c r="DB152" i="3"/>
  <c r="DC152" i="3"/>
  <c r="A153" i="3"/>
  <c r="Y153" i="3"/>
  <c r="CV153" i="3" s="1"/>
  <c r="CU153" i="3"/>
  <c r="CX153" i="3"/>
  <c r="CY153" i="3"/>
  <c r="CZ153" i="3"/>
  <c r="DB153" i="3" s="1"/>
  <c r="DA153" i="3"/>
  <c r="DC153" i="3"/>
  <c r="A154" i="3"/>
  <c r="Y154" i="3"/>
  <c r="CW154" i="3" s="1"/>
  <c r="CX154" i="3"/>
  <c r="CY154" i="3"/>
  <c r="CZ154" i="3"/>
  <c r="DA154" i="3"/>
  <c r="DB154" i="3"/>
  <c r="DC154" i="3"/>
  <c r="A155" i="3"/>
  <c r="Y155" i="3"/>
  <c r="CX155" i="3"/>
  <c r="CY155" i="3"/>
  <c r="CZ155" i="3"/>
  <c r="DA155" i="3"/>
  <c r="DB155" i="3"/>
  <c r="DC155" i="3"/>
  <c r="A156" i="3"/>
  <c r="Y156" i="3"/>
  <c r="CU156" i="3"/>
  <c r="CY156" i="3"/>
  <c r="CZ156" i="3"/>
  <c r="DB156" i="3" s="1"/>
  <c r="DA156" i="3"/>
  <c r="DC156" i="3"/>
  <c r="A157" i="3"/>
  <c r="Y157" i="3"/>
  <c r="CW157" i="3"/>
  <c r="CX157" i="3"/>
  <c r="CY157" i="3"/>
  <c r="CZ157" i="3"/>
  <c r="DA157" i="3"/>
  <c r="DB157" i="3"/>
  <c r="DC157" i="3"/>
  <c r="A158" i="3"/>
  <c r="Y158" i="3"/>
  <c r="CX158" i="3" s="1"/>
  <c r="CY158" i="3"/>
  <c r="CZ158" i="3"/>
  <c r="DA158" i="3"/>
  <c r="DB158" i="3"/>
  <c r="DC158" i="3"/>
  <c r="A159" i="3"/>
  <c r="Y159" i="3"/>
  <c r="CV159" i="3" s="1"/>
  <c r="CU159" i="3"/>
  <c r="CY159" i="3"/>
  <c r="CZ159" i="3"/>
  <c r="DB159" i="3" s="1"/>
  <c r="DA159" i="3"/>
  <c r="DC159" i="3"/>
  <c r="A160" i="3"/>
  <c r="Y160" i="3"/>
  <c r="CW160" i="3" s="1"/>
  <c r="CY160" i="3"/>
  <c r="CZ160" i="3"/>
  <c r="DA160" i="3"/>
  <c r="DB160" i="3"/>
  <c r="DC160" i="3"/>
  <c r="A161" i="3"/>
  <c r="Y161" i="3"/>
  <c r="CX161" i="3" s="1"/>
  <c r="CY161" i="3"/>
  <c r="CZ161" i="3"/>
  <c r="DA161" i="3"/>
  <c r="DB161" i="3"/>
  <c r="DC161" i="3"/>
  <c r="A162" i="3"/>
  <c r="Y162" i="3"/>
  <c r="CU162" i="3"/>
  <c r="CY162" i="3"/>
  <c r="CZ162" i="3"/>
  <c r="DB162" i="3" s="1"/>
  <c r="DA162" i="3"/>
  <c r="DC162" i="3"/>
  <c r="A163" i="3"/>
  <c r="Y163" i="3"/>
  <c r="CW163" i="3"/>
  <c r="CX163" i="3"/>
  <c r="CY163" i="3"/>
  <c r="CZ163" i="3"/>
  <c r="DB163" i="3" s="1"/>
  <c r="DA163" i="3"/>
  <c r="DC163" i="3"/>
  <c r="DF163" i="3"/>
  <c r="A164" i="3"/>
  <c r="Y164" i="3"/>
  <c r="CX164" i="3" s="1"/>
  <c r="CY164" i="3"/>
  <c r="CZ164" i="3"/>
  <c r="DA164" i="3"/>
  <c r="DB164" i="3"/>
  <c r="DC164" i="3"/>
  <c r="A165" i="3"/>
  <c r="Y165" i="3"/>
  <c r="CV165" i="3" s="1"/>
  <c r="CU165" i="3"/>
  <c r="CX165" i="3"/>
  <c r="DF165" i="3" s="1"/>
  <c r="CY165" i="3"/>
  <c r="CZ165" i="3"/>
  <c r="DB165" i="3" s="1"/>
  <c r="DA165" i="3"/>
  <c r="DC165" i="3"/>
  <c r="DG165" i="3"/>
  <c r="DH165" i="3"/>
  <c r="DI165" i="3"/>
  <c r="DJ165" i="3" s="1"/>
  <c r="A166" i="3"/>
  <c r="Y166" i="3"/>
  <c r="CU166" i="3"/>
  <c r="CV166" i="3"/>
  <c r="CX166" i="3"/>
  <c r="DH166" i="3" s="1"/>
  <c r="CY166" i="3"/>
  <c r="CZ166" i="3"/>
  <c r="DA166" i="3"/>
  <c r="DB166" i="3"/>
  <c r="DC166" i="3"/>
  <c r="DF166" i="3"/>
  <c r="DI166" i="3"/>
  <c r="DJ166" i="3" s="1"/>
  <c r="A167" i="3"/>
  <c r="Y167" i="3"/>
  <c r="CU167" i="3"/>
  <c r="CY167" i="3"/>
  <c r="CZ167" i="3"/>
  <c r="DA167" i="3"/>
  <c r="DB167" i="3"/>
  <c r="DC167" i="3"/>
  <c r="A168" i="3"/>
  <c r="Y168" i="3"/>
  <c r="CU168" i="3"/>
  <c r="CV168" i="3"/>
  <c r="CX168" i="3"/>
  <c r="CY168" i="3"/>
  <c r="CZ168" i="3"/>
  <c r="DA168" i="3"/>
  <c r="DB168" i="3"/>
  <c r="DC168" i="3"/>
  <c r="DF168" i="3"/>
  <c r="A169" i="3"/>
  <c r="Y169" i="3"/>
  <c r="CV169" i="3" s="1"/>
  <c r="CU169" i="3"/>
  <c r="CY169" i="3"/>
  <c r="CZ169" i="3"/>
  <c r="DB169" i="3" s="1"/>
  <c r="DA169" i="3"/>
  <c r="DC169" i="3"/>
  <c r="A170" i="3"/>
  <c r="Y170" i="3"/>
  <c r="CW170" i="3" s="1"/>
  <c r="CY170" i="3"/>
  <c r="CZ170" i="3"/>
  <c r="DA170" i="3"/>
  <c r="DB170" i="3"/>
  <c r="DC170" i="3"/>
  <c r="A171" i="3"/>
  <c r="Y171" i="3"/>
  <c r="CX171" i="3" s="1"/>
  <c r="CY171" i="3"/>
  <c r="CZ171" i="3"/>
  <c r="DA171" i="3"/>
  <c r="DB171" i="3"/>
  <c r="DC171" i="3"/>
  <c r="A172" i="3"/>
  <c r="Y172" i="3"/>
  <c r="CX172" i="3" s="1"/>
  <c r="DG172" i="3" s="1"/>
  <c r="CY172" i="3"/>
  <c r="CZ172" i="3"/>
  <c r="DA172" i="3"/>
  <c r="DB172" i="3"/>
  <c r="DC172" i="3"/>
  <c r="DF172" i="3"/>
  <c r="DJ172" i="3" s="1"/>
  <c r="DI172" i="3"/>
  <c r="A173" i="3"/>
  <c r="Y173" i="3"/>
  <c r="CU173" i="3"/>
  <c r="CV173" i="3"/>
  <c r="CX173" i="3"/>
  <c r="DI173" i="3" s="1"/>
  <c r="DJ173" i="3" s="1"/>
  <c r="CY173" i="3"/>
  <c r="CZ173" i="3"/>
  <c r="DB173" i="3" s="1"/>
  <c r="DA173" i="3"/>
  <c r="DC173" i="3"/>
  <c r="DG173" i="3"/>
  <c r="A174" i="3"/>
  <c r="Y174" i="3"/>
  <c r="CW174" i="3" s="1"/>
  <c r="CY174" i="3"/>
  <c r="CZ174" i="3"/>
  <c r="DA174" i="3"/>
  <c r="DB174" i="3"/>
  <c r="DC174" i="3"/>
  <c r="A175" i="3"/>
  <c r="Y175" i="3"/>
  <c r="CX175" i="3" s="1"/>
  <c r="CY175" i="3"/>
  <c r="CZ175" i="3"/>
  <c r="DA175" i="3"/>
  <c r="DB175" i="3"/>
  <c r="DC175" i="3"/>
  <c r="A176" i="3"/>
  <c r="Y176" i="3"/>
  <c r="CX176" i="3" s="1"/>
  <c r="DF176" i="3" s="1"/>
  <c r="DJ176" i="3" s="1"/>
  <c r="CY176" i="3"/>
  <c r="CZ176" i="3"/>
  <c r="DB176" i="3" s="1"/>
  <c r="DA176" i="3"/>
  <c r="DC176" i="3"/>
  <c r="DG176" i="3"/>
  <c r="DH176" i="3"/>
  <c r="DI176" i="3"/>
  <c r="A177" i="3"/>
  <c r="Y177" i="3"/>
  <c r="CY177" i="3"/>
  <c r="CZ177" i="3"/>
  <c r="DA177" i="3"/>
  <c r="DB177" i="3"/>
  <c r="DC177" i="3"/>
  <c r="A178" i="3"/>
  <c r="Y178" i="3"/>
  <c r="CY178" i="3"/>
  <c r="CZ178" i="3"/>
  <c r="DB178" i="3" s="1"/>
  <c r="DA178" i="3"/>
  <c r="DC178" i="3"/>
  <c r="A179" i="3"/>
  <c r="Y179" i="3"/>
  <c r="CY179" i="3"/>
  <c r="CZ179" i="3"/>
  <c r="DB179" i="3" s="1"/>
  <c r="DA179" i="3"/>
  <c r="DC179" i="3"/>
  <c r="A180" i="3"/>
  <c r="Y180" i="3"/>
  <c r="CY180" i="3"/>
  <c r="CZ180" i="3"/>
  <c r="DA180" i="3"/>
  <c r="DB180" i="3"/>
  <c r="DC180" i="3"/>
  <c r="A181" i="3"/>
  <c r="Y181" i="3"/>
  <c r="CY181" i="3"/>
  <c r="CZ181" i="3"/>
  <c r="DB181" i="3" s="1"/>
  <c r="DA181" i="3"/>
  <c r="DC181" i="3"/>
  <c r="A182" i="3"/>
  <c r="Y182" i="3"/>
  <c r="CY182" i="3"/>
  <c r="CZ182" i="3"/>
  <c r="DA182" i="3"/>
  <c r="DB182" i="3"/>
  <c r="DC182" i="3"/>
  <c r="A183" i="3"/>
  <c r="Y183" i="3"/>
  <c r="CY183" i="3"/>
  <c r="CZ183" i="3"/>
  <c r="DB183" i="3" s="1"/>
  <c r="DA183" i="3"/>
  <c r="DC183" i="3"/>
  <c r="A184" i="3"/>
  <c r="Y184" i="3"/>
  <c r="CY184" i="3"/>
  <c r="CZ184" i="3"/>
  <c r="DA184" i="3"/>
  <c r="DB184" i="3"/>
  <c r="DC184" i="3"/>
  <c r="A185" i="3"/>
  <c r="Y185" i="3"/>
  <c r="CY185" i="3"/>
  <c r="CZ185" i="3"/>
  <c r="DB185" i="3" s="1"/>
  <c r="DA185" i="3"/>
  <c r="DC185" i="3"/>
  <c r="A186" i="3"/>
  <c r="Y186" i="3"/>
  <c r="CY186" i="3"/>
  <c r="CZ186" i="3"/>
  <c r="DB186" i="3" s="1"/>
  <c r="DA186" i="3"/>
  <c r="DC186" i="3"/>
  <c r="A187" i="3"/>
  <c r="Y187" i="3"/>
  <c r="CY187" i="3"/>
  <c r="CZ187" i="3"/>
  <c r="DB187" i="3" s="1"/>
  <c r="DA187" i="3"/>
  <c r="DC187" i="3"/>
  <c r="A188" i="3"/>
  <c r="Y188" i="3"/>
  <c r="CY188" i="3"/>
  <c r="CZ188" i="3"/>
  <c r="DA188" i="3"/>
  <c r="DB188" i="3"/>
  <c r="DC188" i="3"/>
  <c r="A189" i="3"/>
  <c r="Y189" i="3"/>
  <c r="CY189" i="3"/>
  <c r="CZ189" i="3"/>
  <c r="DB189" i="3" s="1"/>
  <c r="DA189" i="3"/>
  <c r="DC189" i="3"/>
  <c r="A190" i="3"/>
  <c r="Y190" i="3"/>
  <c r="CY190" i="3"/>
  <c r="CZ190" i="3"/>
  <c r="DB190" i="3" s="1"/>
  <c r="DA190" i="3"/>
  <c r="DC190" i="3"/>
  <c r="A191" i="3"/>
  <c r="Y191" i="3"/>
  <c r="CY191" i="3"/>
  <c r="CZ191" i="3"/>
  <c r="DA191" i="3"/>
  <c r="DB191" i="3"/>
  <c r="DC191" i="3"/>
  <c r="A192" i="3"/>
  <c r="Y192" i="3"/>
  <c r="CY192" i="3"/>
  <c r="CZ192" i="3"/>
  <c r="DA192" i="3"/>
  <c r="DB192" i="3"/>
  <c r="DC192" i="3"/>
  <c r="A193" i="3"/>
  <c r="Y193" i="3"/>
  <c r="CY193" i="3"/>
  <c r="CZ193" i="3"/>
  <c r="DB193" i="3" s="1"/>
  <c r="DA193" i="3"/>
  <c r="DC193" i="3"/>
  <c r="A194" i="3"/>
  <c r="Y194" i="3"/>
  <c r="CY194" i="3"/>
  <c r="CZ194" i="3"/>
  <c r="DB194" i="3" s="1"/>
  <c r="DA194" i="3"/>
  <c r="DC194" i="3"/>
  <c r="A195" i="3"/>
  <c r="Y195" i="3"/>
  <c r="CY195" i="3"/>
  <c r="CZ195" i="3"/>
  <c r="DB195" i="3" s="1"/>
  <c r="DA195" i="3"/>
  <c r="DC195" i="3"/>
  <c r="A196" i="3"/>
  <c r="Y196" i="3"/>
  <c r="CY196" i="3"/>
  <c r="CZ196" i="3"/>
  <c r="DA196" i="3"/>
  <c r="DB196" i="3"/>
  <c r="DC196" i="3"/>
  <c r="A197" i="3"/>
  <c r="Y197" i="3"/>
  <c r="CY197" i="3"/>
  <c r="CZ197" i="3"/>
  <c r="DB197" i="3" s="1"/>
  <c r="DA197" i="3"/>
  <c r="DC197" i="3"/>
  <c r="A198" i="3"/>
  <c r="Y198" i="3"/>
  <c r="CY198" i="3"/>
  <c r="CZ198" i="3"/>
  <c r="DA198" i="3"/>
  <c r="DB198" i="3"/>
  <c r="DC198" i="3"/>
  <c r="A199" i="3"/>
  <c r="Y199" i="3"/>
  <c r="CY199" i="3"/>
  <c r="CZ199" i="3"/>
  <c r="DA199" i="3"/>
  <c r="DB199" i="3"/>
  <c r="DC199" i="3"/>
  <c r="A200" i="3"/>
  <c r="Y200" i="3"/>
  <c r="CY200" i="3"/>
  <c r="CZ200" i="3"/>
  <c r="DA200" i="3"/>
  <c r="DB200" i="3"/>
  <c r="DC200" i="3"/>
  <c r="A201" i="3"/>
  <c r="Y201" i="3"/>
  <c r="CY201" i="3"/>
  <c r="CZ201" i="3"/>
  <c r="DB201" i="3" s="1"/>
  <c r="DA201" i="3"/>
  <c r="DC201" i="3"/>
  <c r="A202" i="3"/>
  <c r="Y202" i="3"/>
  <c r="CY202" i="3"/>
  <c r="CZ202" i="3"/>
  <c r="DA202" i="3"/>
  <c r="DB202" i="3"/>
  <c r="DC202" i="3"/>
  <c r="A203" i="3"/>
  <c r="Y203" i="3"/>
  <c r="CU203" i="3"/>
  <c r="CV203" i="3"/>
  <c r="CX203" i="3"/>
  <c r="DI203" i="3" s="1"/>
  <c r="CY203" i="3"/>
  <c r="CZ203" i="3"/>
  <c r="DB203" i="3" s="1"/>
  <c r="DA203" i="3"/>
  <c r="DC203" i="3"/>
  <c r="DF203" i="3"/>
  <c r="DG203" i="3"/>
  <c r="DH203" i="3"/>
  <c r="DJ203" i="3"/>
  <c r="A204" i="3"/>
  <c r="Y204" i="3"/>
  <c r="CX204" i="3" s="1"/>
  <c r="CU204" i="3"/>
  <c r="CV204" i="3"/>
  <c r="CY204" i="3"/>
  <c r="CZ204" i="3"/>
  <c r="DA204" i="3"/>
  <c r="DB204" i="3"/>
  <c r="DC204" i="3"/>
  <c r="DG204" i="3"/>
  <c r="A205" i="3"/>
  <c r="Y205" i="3"/>
  <c r="CU205" i="3"/>
  <c r="CV205" i="3"/>
  <c r="CX205" i="3"/>
  <c r="CY205" i="3"/>
  <c r="CZ205" i="3"/>
  <c r="DA205" i="3"/>
  <c r="DB205" i="3"/>
  <c r="DC205" i="3"/>
  <c r="DG205" i="3"/>
  <c r="A206" i="3"/>
  <c r="Y206" i="3"/>
  <c r="CU206" i="3"/>
  <c r="CY206" i="3"/>
  <c r="CZ206" i="3"/>
  <c r="DA206" i="3"/>
  <c r="DB206" i="3"/>
  <c r="DC206" i="3"/>
  <c r="A207" i="3"/>
  <c r="Y207" i="3"/>
  <c r="CU207" i="3"/>
  <c r="CV207" i="3"/>
  <c r="CX207" i="3"/>
  <c r="DI207" i="3" s="1"/>
  <c r="DJ207" i="3" s="1"/>
  <c r="CY207" i="3"/>
  <c r="CZ207" i="3"/>
  <c r="DB207" i="3" s="1"/>
  <c r="DA207" i="3"/>
  <c r="DC207" i="3"/>
  <c r="DF207" i="3"/>
  <c r="DG207" i="3"/>
  <c r="DH207" i="3"/>
  <c r="A208" i="3"/>
  <c r="Y208" i="3"/>
  <c r="CX208" i="3" s="1"/>
  <c r="CU208" i="3"/>
  <c r="CV208" i="3"/>
  <c r="CY208" i="3"/>
  <c r="CZ208" i="3"/>
  <c r="DA208" i="3"/>
  <c r="DB208" i="3"/>
  <c r="DC208" i="3"/>
  <c r="A209" i="3"/>
  <c r="Y209" i="3"/>
  <c r="CY209" i="3"/>
  <c r="CZ209" i="3"/>
  <c r="DB209" i="3" s="1"/>
  <c r="DA209" i="3"/>
  <c r="DC209" i="3"/>
  <c r="A210" i="3"/>
  <c r="Y210" i="3"/>
  <c r="CY210" i="3"/>
  <c r="CZ210" i="3"/>
  <c r="DA210" i="3"/>
  <c r="DB210" i="3"/>
  <c r="DC210" i="3"/>
  <c r="A211" i="3"/>
  <c r="Y211" i="3"/>
  <c r="CY211" i="3"/>
  <c r="CZ211" i="3"/>
  <c r="DB211" i="3" s="1"/>
  <c r="DA211" i="3"/>
  <c r="DC211" i="3"/>
  <c r="A212" i="3"/>
  <c r="Y212" i="3"/>
  <c r="CY212" i="3"/>
  <c r="CZ212" i="3"/>
  <c r="DA212" i="3"/>
  <c r="DB212" i="3"/>
  <c r="DC212" i="3"/>
  <c r="A213" i="3"/>
  <c r="Y213" i="3"/>
  <c r="CY213" i="3"/>
  <c r="CZ213" i="3"/>
  <c r="DB213" i="3" s="1"/>
  <c r="DA213" i="3"/>
  <c r="DC213" i="3"/>
  <c r="A214" i="3"/>
  <c r="Y214" i="3"/>
  <c r="CY214" i="3"/>
  <c r="CZ214" i="3"/>
  <c r="DA214" i="3"/>
  <c r="DB214" i="3"/>
  <c r="DC214" i="3"/>
  <c r="A215" i="3"/>
  <c r="Y215" i="3"/>
  <c r="CY215" i="3"/>
  <c r="CZ215" i="3"/>
  <c r="DA215" i="3"/>
  <c r="DB215" i="3"/>
  <c r="DC215" i="3"/>
  <c r="A216" i="3"/>
  <c r="Y216" i="3"/>
  <c r="CY216" i="3"/>
  <c r="CZ216" i="3"/>
  <c r="DB216" i="3" s="1"/>
  <c r="DA216" i="3"/>
  <c r="DC216" i="3"/>
  <c r="A217" i="3"/>
  <c r="Y217" i="3"/>
  <c r="CU217" i="3"/>
  <c r="CV217" i="3"/>
  <c r="CX217" i="3"/>
  <c r="CY217" i="3"/>
  <c r="CZ217" i="3"/>
  <c r="DB217" i="3" s="1"/>
  <c r="DA217" i="3"/>
  <c r="DC217" i="3"/>
  <c r="A218" i="3"/>
  <c r="Y218" i="3"/>
  <c r="CX218" i="3" s="1"/>
  <c r="CU218" i="3"/>
  <c r="CV218" i="3"/>
  <c r="CY218" i="3"/>
  <c r="CZ218" i="3"/>
  <c r="DA218" i="3"/>
  <c r="DB218" i="3"/>
  <c r="DC218" i="3"/>
  <c r="DH218" i="3"/>
  <c r="DI218" i="3"/>
  <c r="DJ218" i="3" s="1"/>
  <c r="A219" i="3"/>
  <c r="Y219" i="3"/>
  <c r="CY219" i="3"/>
  <c r="CZ219" i="3"/>
  <c r="DB219" i="3" s="1"/>
  <c r="DA219" i="3"/>
  <c r="DC219" i="3"/>
  <c r="A220" i="3"/>
  <c r="Y220" i="3"/>
  <c r="CY220" i="3"/>
  <c r="CZ220" i="3"/>
  <c r="DA220" i="3"/>
  <c r="DB220" i="3"/>
  <c r="DC220" i="3"/>
  <c r="A221" i="3"/>
  <c r="Y221" i="3"/>
  <c r="CY221" i="3"/>
  <c r="CZ221" i="3"/>
  <c r="DA221" i="3"/>
  <c r="DB221" i="3"/>
  <c r="DC221" i="3"/>
  <c r="A222" i="3"/>
  <c r="Y222" i="3"/>
  <c r="CY222" i="3"/>
  <c r="CZ222" i="3"/>
  <c r="DA222" i="3"/>
  <c r="DB222" i="3"/>
  <c r="DC222" i="3"/>
  <c r="A223" i="3"/>
  <c r="Y223" i="3"/>
  <c r="CY223" i="3"/>
  <c r="CZ223" i="3"/>
  <c r="DB223" i="3" s="1"/>
  <c r="DA223" i="3"/>
  <c r="DC223" i="3"/>
  <c r="A224" i="3"/>
  <c r="Y224" i="3"/>
  <c r="CY224" i="3"/>
  <c r="CZ224" i="3"/>
  <c r="DB224" i="3" s="1"/>
  <c r="DA224" i="3"/>
  <c r="DC224" i="3"/>
  <c r="A225" i="3"/>
  <c r="Y225" i="3"/>
  <c r="CY225" i="3"/>
  <c r="CZ225" i="3"/>
  <c r="DB225" i="3" s="1"/>
  <c r="DA225" i="3"/>
  <c r="DC225" i="3"/>
  <c r="A226" i="3"/>
  <c r="Y226" i="3"/>
  <c r="CY226" i="3"/>
  <c r="CZ226" i="3"/>
  <c r="DA226" i="3"/>
  <c r="DB226" i="3"/>
  <c r="DC226" i="3"/>
  <c r="A227" i="3"/>
  <c r="Y227" i="3"/>
  <c r="CY227" i="3"/>
  <c r="CZ227" i="3"/>
  <c r="DA227" i="3"/>
  <c r="DB227" i="3"/>
  <c r="DC227" i="3"/>
  <c r="A228" i="3"/>
  <c r="Y228" i="3"/>
  <c r="CY228" i="3"/>
  <c r="CZ228" i="3"/>
  <c r="DB228" i="3" s="1"/>
  <c r="DA228" i="3"/>
  <c r="DC228" i="3"/>
  <c r="A229" i="3"/>
  <c r="Y229" i="3"/>
  <c r="CY229" i="3"/>
  <c r="CZ229" i="3"/>
  <c r="DA229" i="3"/>
  <c r="DB229" i="3"/>
  <c r="DC229" i="3"/>
  <c r="A230" i="3"/>
  <c r="Y230" i="3"/>
  <c r="CY230" i="3"/>
  <c r="CZ230" i="3"/>
  <c r="DA230" i="3"/>
  <c r="DB230" i="3"/>
  <c r="DC230" i="3"/>
  <c r="A231" i="3"/>
  <c r="Y231" i="3"/>
  <c r="CY231" i="3"/>
  <c r="CZ231" i="3"/>
  <c r="DA231" i="3"/>
  <c r="DB231" i="3"/>
  <c r="DC231" i="3"/>
  <c r="A232" i="3"/>
  <c r="Y232" i="3"/>
  <c r="CY232" i="3"/>
  <c r="CZ232" i="3"/>
  <c r="DA232" i="3"/>
  <c r="DB232" i="3"/>
  <c r="DC232" i="3"/>
  <c r="A233" i="3"/>
  <c r="Y233" i="3"/>
  <c r="CY233" i="3"/>
  <c r="CZ233" i="3"/>
  <c r="DA233" i="3"/>
  <c r="DB233" i="3"/>
  <c r="DC233" i="3"/>
  <c r="A234" i="3"/>
  <c r="Y234" i="3"/>
  <c r="CY234" i="3"/>
  <c r="CZ234" i="3"/>
  <c r="DA234" i="3"/>
  <c r="DB234" i="3"/>
  <c r="DC234" i="3"/>
  <c r="A235" i="3"/>
  <c r="Y235" i="3"/>
  <c r="CY235" i="3"/>
  <c r="CZ235" i="3"/>
  <c r="DB235" i="3" s="1"/>
  <c r="DA235" i="3"/>
  <c r="DC235" i="3"/>
  <c r="A236" i="3"/>
  <c r="Y236" i="3"/>
  <c r="CY236" i="3"/>
  <c r="CZ236" i="3"/>
  <c r="DA236" i="3"/>
  <c r="DB236" i="3"/>
  <c r="DC236" i="3"/>
  <c r="A237" i="3"/>
  <c r="Y237" i="3"/>
  <c r="CY237" i="3"/>
  <c r="CZ237" i="3"/>
  <c r="DB237" i="3" s="1"/>
  <c r="DA237" i="3"/>
  <c r="DC237" i="3"/>
  <c r="A238" i="3"/>
  <c r="Y238" i="3"/>
  <c r="CY238" i="3"/>
  <c r="CZ238" i="3"/>
  <c r="DB238" i="3" s="1"/>
  <c r="DA238" i="3"/>
  <c r="DC238" i="3"/>
  <c r="A239" i="3"/>
  <c r="Y239" i="3"/>
  <c r="CY239" i="3"/>
  <c r="CZ239" i="3"/>
  <c r="DA239" i="3"/>
  <c r="DB239" i="3"/>
  <c r="DC239" i="3"/>
  <c r="A240" i="3"/>
  <c r="Y240" i="3"/>
  <c r="CY240" i="3"/>
  <c r="CZ240" i="3"/>
  <c r="DA240" i="3"/>
  <c r="DB240" i="3"/>
  <c r="DC240" i="3"/>
  <c r="A241" i="3"/>
  <c r="Y241" i="3"/>
  <c r="CV241" i="3" s="1"/>
  <c r="CU241" i="3"/>
  <c r="CX241" i="3"/>
  <c r="DF241" i="3" s="1"/>
  <c r="CY241" i="3"/>
  <c r="CZ241" i="3"/>
  <c r="DB241" i="3" s="1"/>
  <c r="DA241" i="3"/>
  <c r="DC241" i="3"/>
  <c r="DG241" i="3"/>
  <c r="A242" i="3"/>
  <c r="Y242" i="3"/>
  <c r="CU242" i="3"/>
  <c r="CV242" i="3"/>
  <c r="CX242" i="3"/>
  <c r="DH242" i="3" s="1"/>
  <c r="CY242" i="3"/>
  <c r="CZ242" i="3"/>
  <c r="DA242" i="3"/>
  <c r="DB242" i="3"/>
  <c r="DC242" i="3"/>
  <c r="DF242" i="3"/>
  <c r="DI242" i="3"/>
  <c r="DJ242" i="3" s="1"/>
  <c r="A243" i="3"/>
  <c r="Y243" i="3"/>
  <c r="CY243" i="3"/>
  <c r="CZ243" i="3"/>
  <c r="DA243" i="3"/>
  <c r="DB243" i="3"/>
  <c r="DC243" i="3"/>
  <c r="A244" i="3"/>
  <c r="Y244" i="3"/>
  <c r="CY244" i="3"/>
  <c r="CZ244" i="3"/>
  <c r="DA244" i="3"/>
  <c r="DB244" i="3"/>
  <c r="DC244" i="3"/>
  <c r="D12" i="1"/>
  <c r="E18" i="1"/>
  <c r="Z18" i="1"/>
  <c r="AA18" i="1"/>
  <c r="AB18" i="1"/>
  <c r="AC18" i="1"/>
  <c r="AD18" i="1"/>
  <c r="AE18" i="1"/>
  <c r="AF18" i="1"/>
  <c r="AG18" i="1"/>
  <c r="AH18" i="1"/>
  <c r="AI18" i="1"/>
  <c r="AJ18" i="1"/>
  <c r="AK18" i="1"/>
  <c r="AL18" i="1"/>
  <c r="AM18" i="1"/>
  <c r="AN18" i="1"/>
  <c r="BE18" i="1"/>
  <c r="BF18" i="1"/>
  <c r="BG18" i="1"/>
  <c r="BH18" i="1"/>
  <c r="BI18" i="1"/>
  <c r="BJ18" i="1"/>
  <c r="BK18" i="1"/>
  <c r="BL18" i="1"/>
  <c r="BM18" i="1"/>
  <c r="BN18" i="1"/>
  <c r="BO18" i="1"/>
  <c r="BP18" i="1"/>
  <c r="BQ18" i="1"/>
  <c r="BR18" i="1"/>
  <c r="BS18" i="1"/>
  <c r="BT18" i="1"/>
  <c r="BU18" i="1"/>
  <c r="BV18" i="1"/>
  <c r="BW18" i="1"/>
  <c r="BX18" i="1"/>
  <c r="BY18" i="1"/>
  <c r="BZ18" i="1"/>
  <c r="CA18" i="1"/>
  <c r="CB18" i="1"/>
  <c r="CC18" i="1"/>
  <c r="CD18" i="1"/>
  <c r="CE18" i="1"/>
  <c r="CF18" i="1"/>
  <c r="CG18" i="1"/>
  <c r="CH18" i="1"/>
  <c r="CI18" i="1"/>
  <c r="CJ18" i="1"/>
  <c r="CK18" i="1"/>
  <c r="CL18" i="1"/>
  <c r="CM18" i="1"/>
  <c r="CN18" i="1"/>
  <c r="CO18" i="1"/>
  <c r="CP18" i="1"/>
  <c r="CQ18" i="1"/>
  <c r="CR18" i="1"/>
  <c r="CS18" i="1"/>
  <c r="CT18" i="1"/>
  <c r="CU18" i="1"/>
  <c r="CV18" i="1"/>
  <c r="CW18" i="1"/>
  <c r="CX18" i="1"/>
  <c r="CY18" i="1"/>
  <c r="CZ18" i="1"/>
  <c r="DA18" i="1"/>
  <c r="DB18" i="1"/>
  <c r="DC18" i="1"/>
  <c r="DD18" i="1"/>
  <c r="DE18" i="1"/>
  <c r="DF18" i="1"/>
  <c r="DR18" i="1"/>
  <c r="DS18" i="1"/>
  <c r="DT18" i="1"/>
  <c r="DU18" i="1"/>
  <c r="DV18" i="1"/>
  <c r="DW18" i="1"/>
  <c r="DX18" i="1"/>
  <c r="DY18" i="1"/>
  <c r="DZ18" i="1"/>
  <c r="EA18" i="1"/>
  <c r="EB18" i="1"/>
  <c r="EC18" i="1"/>
  <c r="ED18" i="1"/>
  <c r="EE18" i="1"/>
  <c r="EF18" i="1"/>
  <c r="EW18" i="1"/>
  <c r="EX18" i="1"/>
  <c r="EY18" i="1"/>
  <c r="EZ18" i="1"/>
  <c r="FA18" i="1"/>
  <c r="FB18" i="1"/>
  <c r="FC18" i="1"/>
  <c r="FD18" i="1"/>
  <c r="FE18" i="1"/>
  <c r="FF18" i="1"/>
  <c r="FG18" i="1"/>
  <c r="FH18" i="1"/>
  <c r="FI18" i="1"/>
  <c r="FJ18" i="1"/>
  <c r="FK18" i="1"/>
  <c r="FL18" i="1"/>
  <c r="FM18" i="1"/>
  <c r="FN18" i="1"/>
  <c r="FO18" i="1"/>
  <c r="FP18" i="1"/>
  <c r="FQ18" i="1"/>
  <c r="FR18" i="1"/>
  <c r="FS18" i="1"/>
  <c r="FT18" i="1"/>
  <c r="FU18" i="1"/>
  <c r="FV18" i="1"/>
  <c r="FW18" i="1"/>
  <c r="FX18" i="1"/>
  <c r="FY18" i="1"/>
  <c r="FZ18" i="1"/>
  <c r="GA18" i="1"/>
  <c r="GB18" i="1"/>
  <c r="GC18" i="1"/>
  <c r="GD18" i="1"/>
  <c r="GE18" i="1"/>
  <c r="GF18" i="1"/>
  <c r="GG18" i="1"/>
  <c r="GH18" i="1"/>
  <c r="GI18" i="1"/>
  <c r="GJ18" i="1"/>
  <c r="GK18" i="1"/>
  <c r="GL18" i="1"/>
  <c r="GM18" i="1"/>
  <c r="GN18" i="1"/>
  <c r="GO18" i="1"/>
  <c r="GP18" i="1"/>
  <c r="GQ18" i="1"/>
  <c r="GR18" i="1"/>
  <c r="GS18" i="1"/>
  <c r="GT18" i="1"/>
  <c r="GU18" i="1"/>
  <c r="GV18" i="1"/>
  <c r="GW18" i="1"/>
  <c r="GX18" i="1"/>
  <c r="D20" i="1"/>
  <c r="E22" i="1"/>
  <c r="Z22" i="1"/>
  <c r="AA22" i="1"/>
  <c r="AB22" i="1"/>
  <c r="AC22" i="1"/>
  <c r="AD22" i="1"/>
  <c r="AE22" i="1"/>
  <c r="AF22" i="1"/>
  <c r="AG22" i="1"/>
  <c r="AH22" i="1"/>
  <c r="AI22" i="1"/>
  <c r="AJ22" i="1"/>
  <c r="AK22" i="1"/>
  <c r="AL22" i="1"/>
  <c r="AM22" i="1"/>
  <c r="AN22" i="1"/>
  <c r="BE22" i="1"/>
  <c r="BF22" i="1"/>
  <c r="BG22" i="1"/>
  <c r="BH22" i="1"/>
  <c r="BI22" i="1"/>
  <c r="BJ22" i="1"/>
  <c r="BK22" i="1"/>
  <c r="BL22" i="1"/>
  <c r="BM22" i="1"/>
  <c r="BN22" i="1"/>
  <c r="BO22" i="1"/>
  <c r="BP22" i="1"/>
  <c r="BQ22" i="1"/>
  <c r="BR22" i="1"/>
  <c r="BS22" i="1"/>
  <c r="BT22" i="1"/>
  <c r="BU22" i="1"/>
  <c r="BV22" i="1"/>
  <c r="BW22" i="1"/>
  <c r="BX22" i="1"/>
  <c r="BY22" i="1"/>
  <c r="BZ22" i="1"/>
  <c r="CA22" i="1"/>
  <c r="CB22" i="1"/>
  <c r="CC22" i="1"/>
  <c r="CD22" i="1"/>
  <c r="CE22" i="1"/>
  <c r="CF22" i="1"/>
  <c r="CG22" i="1"/>
  <c r="CH22" i="1"/>
  <c r="CI22" i="1"/>
  <c r="CJ22" i="1"/>
  <c r="CK22" i="1"/>
  <c r="CL22" i="1"/>
  <c r="CM22" i="1"/>
  <c r="CN22" i="1"/>
  <c r="CO22" i="1"/>
  <c r="CP22" i="1"/>
  <c r="CQ22" i="1"/>
  <c r="CR22" i="1"/>
  <c r="CS22" i="1"/>
  <c r="CT22" i="1"/>
  <c r="CU22" i="1"/>
  <c r="CV22" i="1"/>
  <c r="CW22" i="1"/>
  <c r="CX22" i="1"/>
  <c r="CY22" i="1"/>
  <c r="CZ22" i="1"/>
  <c r="DA22" i="1"/>
  <c r="DB22" i="1"/>
  <c r="DC22" i="1"/>
  <c r="DD22" i="1"/>
  <c r="DE22" i="1"/>
  <c r="DF22" i="1"/>
  <c r="DR22" i="1"/>
  <c r="DS22" i="1"/>
  <c r="DT22" i="1"/>
  <c r="DU22" i="1"/>
  <c r="DV22" i="1"/>
  <c r="DW22" i="1"/>
  <c r="DX22" i="1"/>
  <c r="DY22" i="1"/>
  <c r="DZ22" i="1"/>
  <c r="EA22" i="1"/>
  <c r="EB22" i="1"/>
  <c r="EC22" i="1"/>
  <c r="ED22" i="1"/>
  <c r="EE22" i="1"/>
  <c r="EF22" i="1"/>
  <c r="EW22" i="1"/>
  <c r="EX22" i="1"/>
  <c r="EY22" i="1"/>
  <c r="EZ22" i="1"/>
  <c r="FA22" i="1"/>
  <c r="FB22" i="1"/>
  <c r="FC22" i="1"/>
  <c r="FD22" i="1"/>
  <c r="FE22" i="1"/>
  <c r="FF22" i="1"/>
  <c r="FG22" i="1"/>
  <c r="FH22" i="1"/>
  <c r="FI22" i="1"/>
  <c r="FJ22" i="1"/>
  <c r="FK22" i="1"/>
  <c r="FL22" i="1"/>
  <c r="FM22" i="1"/>
  <c r="FN22" i="1"/>
  <c r="FO22" i="1"/>
  <c r="FP22" i="1"/>
  <c r="FQ22" i="1"/>
  <c r="FR22" i="1"/>
  <c r="FS22" i="1"/>
  <c r="FT22" i="1"/>
  <c r="FU22" i="1"/>
  <c r="FV22" i="1"/>
  <c r="FW22" i="1"/>
  <c r="FX22" i="1"/>
  <c r="FY22" i="1"/>
  <c r="FZ22" i="1"/>
  <c r="GA22" i="1"/>
  <c r="GB22" i="1"/>
  <c r="GC22" i="1"/>
  <c r="GD22" i="1"/>
  <c r="GE22" i="1"/>
  <c r="GF22" i="1"/>
  <c r="GG22" i="1"/>
  <c r="GH22" i="1"/>
  <c r="GI22" i="1"/>
  <c r="GJ22" i="1"/>
  <c r="GK22" i="1"/>
  <c r="GL22" i="1"/>
  <c r="GM22" i="1"/>
  <c r="GN22" i="1"/>
  <c r="GO22" i="1"/>
  <c r="GP22" i="1"/>
  <c r="GQ22" i="1"/>
  <c r="GR22" i="1"/>
  <c r="GS22" i="1"/>
  <c r="GT22" i="1"/>
  <c r="GU22" i="1"/>
  <c r="GV22" i="1"/>
  <c r="GW22" i="1"/>
  <c r="GX22" i="1"/>
  <c r="D24" i="1"/>
  <c r="C26" i="1"/>
  <c r="E26" i="1"/>
  <c r="Z26" i="1"/>
  <c r="AA26" i="1"/>
  <c r="AM26" i="1"/>
  <c r="AN26" i="1"/>
  <c r="BE26" i="1"/>
  <c r="BF26" i="1"/>
  <c r="BG26" i="1"/>
  <c r="BH26" i="1"/>
  <c r="BI26" i="1"/>
  <c r="BJ26" i="1"/>
  <c r="BK26" i="1"/>
  <c r="BL26" i="1"/>
  <c r="BM26" i="1"/>
  <c r="BN26" i="1"/>
  <c r="BO26" i="1"/>
  <c r="BP26" i="1"/>
  <c r="BQ26" i="1"/>
  <c r="BR26" i="1"/>
  <c r="BS26" i="1"/>
  <c r="BT26" i="1"/>
  <c r="BU26" i="1"/>
  <c r="BV26" i="1"/>
  <c r="BW26" i="1"/>
  <c r="CN26" i="1"/>
  <c r="CO26" i="1"/>
  <c r="CP26" i="1"/>
  <c r="CQ26" i="1"/>
  <c r="CR26" i="1"/>
  <c r="CS26" i="1"/>
  <c r="CT26" i="1"/>
  <c r="CU26" i="1"/>
  <c r="CV26" i="1"/>
  <c r="CW26" i="1"/>
  <c r="CX26" i="1"/>
  <c r="CY26" i="1"/>
  <c r="CZ26" i="1"/>
  <c r="DA26" i="1"/>
  <c r="DB26" i="1"/>
  <c r="DC26" i="1"/>
  <c r="DD26" i="1"/>
  <c r="DE26" i="1"/>
  <c r="DF26" i="1"/>
  <c r="DR26" i="1"/>
  <c r="DS26" i="1"/>
  <c r="EE26" i="1"/>
  <c r="EF26" i="1"/>
  <c r="EW26" i="1"/>
  <c r="EX26" i="1"/>
  <c r="EY26" i="1"/>
  <c r="EZ26" i="1"/>
  <c r="FA26" i="1"/>
  <c r="FB26" i="1"/>
  <c r="FC26" i="1"/>
  <c r="FD26" i="1"/>
  <c r="FE26" i="1"/>
  <c r="FF26" i="1"/>
  <c r="FG26" i="1"/>
  <c r="FH26" i="1"/>
  <c r="FI26" i="1"/>
  <c r="FJ26" i="1"/>
  <c r="FK26" i="1"/>
  <c r="FL26" i="1"/>
  <c r="FM26" i="1"/>
  <c r="FN26" i="1"/>
  <c r="FO26" i="1"/>
  <c r="GF26" i="1"/>
  <c r="GG26" i="1"/>
  <c r="GH26" i="1"/>
  <c r="GI26" i="1"/>
  <c r="GJ26" i="1"/>
  <c r="GK26" i="1"/>
  <c r="GL26" i="1"/>
  <c r="GM26" i="1"/>
  <c r="GN26" i="1"/>
  <c r="GO26" i="1"/>
  <c r="GP26" i="1"/>
  <c r="GQ26" i="1"/>
  <c r="GR26" i="1"/>
  <c r="GS26" i="1"/>
  <c r="GT26" i="1"/>
  <c r="GU26" i="1"/>
  <c r="GV26" i="1"/>
  <c r="GW26" i="1"/>
  <c r="GX26" i="1"/>
  <c r="C28" i="1"/>
  <c r="D28" i="1"/>
  <c r="R28" i="1"/>
  <c r="T28" i="1"/>
  <c r="U28" i="1"/>
  <c r="W28" i="1"/>
  <c r="AC28" i="1"/>
  <c r="AD28" i="1"/>
  <c r="AE28" i="1"/>
  <c r="CS28" i="1" s="1"/>
  <c r="AF28" i="1"/>
  <c r="S28" i="1" s="1"/>
  <c r="X28" i="1" s="1"/>
  <c r="AG28" i="1"/>
  <c r="AH28" i="1"/>
  <c r="CV28" i="1" s="1"/>
  <c r="AI28" i="1"/>
  <c r="AJ28" i="1"/>
  <c r="CX28" i="1" s="1"/>
  <c r="CR28" i="1"/>
  <c r="CU28" i="1"/>
  <c r="CW28" i="1"/>
  <c r="V28" i="1" s="1"/>
  <c r="GL28" i="1"/>
  <c r="GN28" i="1"/>
  <c r="GP28" i="1"/>
  <c r="GV28" i="1"/>
  <c r="HC28" i="1" s="1"/>
  <c r="GX28" i="1" s="1"/>
  <c r="C29" i="1"/>
  <c r="D29" i="1"/>
  <c r="P29" i="1"/>
  <c r="R29" i="1"/>
  <c r="V29" i="1"/>
  <c r="AC29" i="1"/>
  <c r="AD29" i="1"/>
  <c r="AE29" i="1"/>
  <c r="Q29" i="1" s="1"/>
  <c r="AF29" i="1"/>
  <c r="S29" i="1" s="1"/>
  <c r="AG29" i="1"/>
  <c r="AH29" i="1"/>
  <c r="CV29" i="1" s="1"/>
  <c r="U29" i="1" s="1"/>
  <c r="AI29" i="1"/>
  <c r="AJ29" i="1"/>
  <c r="CX29" i="1" s="1"/>
  <c r="W29" i="1" s="1"/>
  <c r="CR29" i="1"/>
  <c r="CU29" i="1"/>
  <c r="T29" i="1" s="1"/>
  <c r="CW29" i="1"/>
  <c r="GL29" i="1"/>
  <c r="GN29" i="1"/>
  <c r="GP29" i="1"/>
  <c r="GV29" i="1"/>
  <c r="HC29" i="1" s="1"/>
  <c r="GX29" i="1" s="1"/>
  <c r="C30" i="1"/>
  <c r="D30" i="1"/>
  <c r="T30" i="1"/>
  <c r="V30" i="1"/>
  <c r="W30" i="1"/>
  <c r="AC30" i="1"/>
  <c r="AE30" i="1"/>
  <c r="AF30" i="1"/>
  <c r="S30" i="1" s="1"/>
  <c r="Y30" i="1" s="1"/>
  <c r="AG30" i="1"/>
  <c r="CU30" i="1" s="1"/>
  <c r="AH30" i="1"/>
  <c r="CV30" i="1" s="1"/>
  <c r="U30" i="1" s="1"/>
  <c r="AI30" i="1"/>
  <c r="AJ30" i="1"/>
  <c r="CX30" i="1" s="1"/>
  <c r="CT30" i="1"/>
  <c r="CW30" i="1"/>
  <c r="GL30" i="1"/>
  <c r="BZ53" i="1" s="1"/>
  <c r="BZ26" i="1" s="1"/>
  <c r="GN30" i="1"/>
  <c r="GP30" i="1"/>
  <c r="GV30" i="1"/>
  <c r="HC30" i="1"/>
  <c r="GX30" i="1" s="1"/>
  <c r="C31" i="1"/>
  <c r="D31" i="1"/>
  <c r="Q31" i="1"/>
  <c r="R31" i="1"/>
  <c r="T31" i="1"/>
  <c r="AC31" i="1"/>
  <c r="CQ31" i="1" s="1"/>
  <c r="AE31" i="1"/>
  <c r="AF31" i="1"/>
  <c r="S31" i="1" s="1"/>
  <c r="AG31" i="1"/>
  <c r="CU31" i="1" s="1"/>
  <c r="AH31" i="1"/>
  <c r="AI31" i="1"/>
  <c r="AJ31" i="1"/>
  <c r="CX31" i="1" s="1"/>
  <c r="W31" i="1" s="1"/>
  <c r="CT31" i="1"/>
  <c r="CV31" i="1"/>
  <c r="U31" i="1" s="1"/>
  <c r="DZ53" i="1" s="1"/>
  <c r="CW31" i="1"/>
  <c r="V31" i="1" s="1"/>
  <c r="GL31" i="1"/>
  <c r="GN31" i="1"/>
  <c r="GP31" i="1"/>
  <c r="GV31" i="1"/>
  <c r="HC31" i="1" s="1"/>
  <c r="GX31" i="1" s="1"/>
  <c r="C32" i="1"/>
  <c r="D32" i="1"/>
  <c r="Q32" i="1"/>
  <c r="S32" i="1"/>
  <c r="V32" i="1"/>
  <c r="AC32" i="1"/>
  <c r="AE32" i="1"/>
  <c r="AF32" i="1"/>
  <c r="AG32" i="1"/>
  <c r="CU32" i="1" s="1"/>
  <c r="T32" i="1" s="1"/>
  <c r="AH32" i="1"/>
  <c r="AI32" i="1"/>
  <c r="CW32" i="1" s="1"/>
  <c r="AJ32" i="1"/>
  <c r="CQ32" i="1"/>
  <c r="CR32" i="1"/>
  <c r="CT32" i="1"/>
  <c r="CV32" i="1"/>
  <c r="U32" i="1" s="1"/>
  <c r="CX32" i="1"/>
  <c r="W32" i="1" s="1"/>
  <c r="GL32" i="1"/>
  <c r="GN32" i="1"/>
  <c r="GP32" i="1"/>
  <c r="GV32" i="1"/>
  <c r="HC32" i="1"/>
  <c r="GX32" i="1" s="1"/>
  <c r="C33" i="1"/>
  <c r="D33" i="1"/>
  <c r="Q33" i="1"/>
  <c r="S33" i="1"/>
  <c r="X33" i="1" s="1"/>
  <c r="AC33" i="1"/>
  <c r="P33" i="1" s="1"/>
  <c r="AE33" i="1"/>
  <c r="AF33" i="1"/>
  <c r="AG33" i="1"/>
  <c r="CU33" i="1" s="1"/>
  <c r="T33" i="1" s="1"/>
  <c r="AH33" i="1"/>
  <c r="CV33" i="1" s="1"/>
  <c r="U33" i="1" s="1"/>
  <c r="AI33" i="1"/>
  <c r="CW33" i="1" s="1"/>
  <c r="V33" i="1" s="1"/>
  <c r="AJ33" i="1"/>
  <c r="CX33" i="1" s="1"/>
  <c r="W33" i="1" s="1"/>
  <c r="CQ33" i="1"/>
  <c r="CT33" i="1"/>
  <c r="CY33" i="1"/>
  <c r="GL33" i="1"/>
  <c r="GN33" i="1"/>
  <c r="GP33" i="1"/>
  <c r="GV33" i="1"/>
  <c r="HC33" i="1"/>
  <c r="GX33" i="1" s="1"/>
  <c r="C34" i="1"/>
  <c r="D34" i="1"/>
  <c r="Q34" i="1"/>
  <c r="S34" i="1"/>
  <c r="X34" i="1"/>
  <c r="AC34" i="1"/>
  <c r="P34" i="1" s="1"/>
  <c r="AE34" i="1"/>
  <c r="AF34" i="1"/>
  <c r="AG34" i="1"/>
  <c r="CU34" i="1" s="1"/>
  <c r="T34" i="1" s="1"/>
  <c r="AH34" i="1"/>
  <c r="AI34" i="1"/>
  <c r="CW34" i="1" s="1"/>
  <c r="V34" i="1" s="1"/>
  <c r="AJ34" i="1"/>
  <c r="CQ34" i="1"/>
  <c r="CT34" i="1"/>
  <c r="CV34" i="1"/>
  <c r="U34" i="1" s="1"/>
  <c r="CX34" i="1"/>
  <c r="W34" i="1" s="1"/>
  <c r="CZ34" i="1"/>
  <c r="GL34" i="1"/>
  <c r="GN34" i="1"/>
  <c r="GP34" i="1"/>
  <c r="GV34" i="1"/>
  <c r="HC34" i="1" s="1"/>
  <c r="GX34" i="1" s="1"/>
  <c r="C35" i="1"/>
  <c r="D35" i="1"/>
  <c r="P35" i="1"/>
  <c r="S35" i="1"/>
  <c r="U35" i="1"/>
  <c r="V35" i="1"/>
  <c r="X35" i="1"/>
  <c r="AC35" i="1"/>
  <c r="AD35" i="1"/>
  <c r="AB35" i="1" s="1"/>
  <c r="AE35" i="1"/>
  <c r="CR35" i="1" s="1"/>
  <c r="AF35" i="1"/>
  <c r="CT35" i="1" s="1"/>
  <c r="AG35" i="1"/>
  <c r="AH35" i="1"/>
  <c r="AI35" i="1"/>
  <c r="CW35" i="1" s="1"/>
  <c r="AJ35" i="1"/>
  <c r="CQ35" i="1"/>
  <c r="CS35" i="1"/>
  <c r="CU35" i="1"/>
  <c r="T35" i="1" s="1"/>
  <c r="CV35" i="1"/>
  <c r="CX35" i="1"/>
  <c r="W35" i="1" s="1"/>
  <c r="CZ35" i="1"/>
  <c r="GL35" i="1"/>
  <c r="FR53" i="1" s="1"/>
  <c r="GN35" i="1"/>
  <c r="GP35" i="1"/>
  <c r="GV35" i="1"/>
  <c r="GX35" i="1"/>
  <c r="HC35" i="1"/>
  <c r="C36" i="1"/>
  <c r="D36" i="1"/>
  <c r="I36" i="1"/>
  <c r="CU27" i="3" s="1"/>
  <c r="K36" i="1"/>
  <c r="Q36" i="1"/>
  <c r="S36" i="1"/>
  <c r="U36" i="1"/>
  <c r="AC36" i="1"/>
  <c r="P36" i="1" s="1"/>
  <c r="AE36" i="1"/>
  <c r="AF36" i="1"/>
  <c r="AG36" i="1"/>
  <c r="CU36" i="1" s="1"/>
  <c r="T36" i="1" s="1"/>
  <c r="AH36" i="1"/>
  <c r="AI36" i="1"/>
  <c r="CW36" i="1" s="1"/>
  <c r="V36" i="1" s="1"/>
  <c r="AJ36" i="1"/>
  <c r="CQ36" i="1"/>
  <c r="CS36" i="1"/>
  <c r="CT36" i="1"/>
  <c r="CV36" i="1"/>
  <c r="CX36" i="1"/>
  <c r="W36" i="1" s="1"/>
  <c r="GL36" i="1"/>
  <c r="GN36" i="1"/>
  <c r="GP36" i="1"/>
  <c r="GV36" i="1"/>
  <c r="HC36" i="1" s="1"/>
  <c r="GX36" i="1" s="1"/>
  <c r="C37" i="1"/>
  <c r="D37" i="1"/>
  <c r="I37" i="1"/>
  <c r="K37" i="1"/>
  <c r="S37" i="1"/>
  <c r="CY37" i="1" s="1"/>
  <c r="X37" i="1"/>
  <c r="AC37" i="1"/>
  <c r="P37" i="1" s="1"/>
  <c r="AE37" i="1"/>
  <c r="AF37" i="1"/>
  <c r="AG37" i="1"/>
  <c r="CU37" i="1" s="1"/>
  <c r="T37" i="1" s="1"/>
  <c r="AH37" i="1"/>
  <c r="CV37" i="1" s="1"/>
  <c r="U37" i="1" s="1"/>
  <c r="AI37" i="1"/>
  <c r="CW37" i="1" s="1"/>
  <c r="V37" i="1" s="1"/>
  <c r="AJ37" i="1"/>
  <c r="CQ37" i="1"/>
  <c r="CT37" i="1"/>
  <c r="CX37" i="1"/>
  <c r="W37" i="1" s="1"/>
  <c r="GL37" i="1"/>
  <c r="GN37" i="1"/>
  <c r="GP37" i="1"/>
  <c r="GV37" i="1"/>
  <c r="HC37" i="1"/>
  <c r="GX37" i="1" s="1"/>
  <c r="C38" i="1"/>
  <c r="D38" i="1"/>
  <c r="I38" i="1"/>
  <c r="K38" i="1"/>
  <c r="S38" i="1"/>
  <c r="X38" i="1" s="1"/>
  <c r="V38" i="1"/>
  <c r="Y38" i="1"/>
  <c r="AC38" i="1"/>
  <c r="AE38" i="1"/>
  <c r="Q38" i="1" s="1"/>
  <c r="AF38" i="1"/>
  <c r="AG38" i="1"/>
  <c r="CU38" i="1" s="1"/>
  <c r="T38" i="1" s="1"/>
  <c r="AH38" i="1"/>
  <c r="AI38" i="1"/>
  <c r="CW38" i="1" s="1"/>
  <c r="AJ38" i="1"/>
  <c r="CT38" i="1"/>
  <c r="CV38" i="1"/>
  <c r="CX38" i="1"/>
  <c r="W38" i="1" s="1"/>
  <c r="GL38" i="1"/>
  <c r="GN38" i="1"/>
  <c r="GP38" i="1"/>
  <c r="GV38" i="1"/>
  <c r="HC38" i="1" s="1"/>
  <c r="GX38" i="1" s="1"/>
  <c r="C39" i="1"/>
  <c r="D39" i="1"/>
  <c r="I39" i="1"/>
  <c r="K39" i="1"/>
  <c r="Q39" i="1"/>
  <c r="R39" i="1"/>
  <c r="T39" i="1"/>
  <c r="AC39" i="1"/>
  <c r="AE39" i="1"/>
  <c r="AF39" i="1"/>
  <c r="S39" i="1" s="1"/>
  <c r="AG39" i="1"/>
  <c r="CU39" i="1" s="1"/>
  <c r="AH39" i="1"/>
  <c r="CV39" i="1" s="1"/>
  <c r="U39" i="1" s="1"/>
  <c r="AI39" i="1"/>
  <c r="AJ39" i="1"/>
  <c r="CX39" i="1" s="1"/>
  <c r="W39" i="1" s="1"/>
  <c r="CQ39" i="1"/>
  <c r="CR39" i="1"/>
  <c r="CW39" i="1"/>
  <c r="V39" i="1" s="1"/>
  <c r="GL39" i="1"/>
  <c r="GN39" i="1"/>
  <c r="GP39" i="1"/>
  <c r="GV39" i="1"/>
  <c r="HC39" i="1" s="1"/>
  <c r="GX39" i="1" s="1"/>
  <c r="GB53" i="1" s="1"/>
  <c r="C40" i="1"/>
  <c r="D40" i="1"/>
  <c r="I40" i="1"/>
  <c r="Q40" i="1" s="1"/>
  <c r="K40" i="1"/>
  <c r="T40" i="1"/>
  <c r="AC40" i="1"/>
  <c r="AE40" i="1"/>
  <c r="AF40" i="1"/>
  <c r="AG40" i="1"/>
  <c r="CU40" i="1" s="1"/>
  <c r="AH40" i="1"/>
  <c r="AI40" i="1"/>
  <c r="AJ40" i="1"/>
  <c r="CX40" i="1" s="1"/>
  <c r="CV40" i="1"/>
  <c r="CW40" i="1"/>
  <c r="GL40" i="1"/>
  <c r="GN40" i="1"/>
  <c r="GP40" i="1"/>
  <c r="GV40" i="1"/>
  <c r="HC40" i="1" s="1"/>
  <c r="GX40" i="1" s="1"/>
  <c r="C41" i="1"/>
  <c r="D41" i="1"/>
  <c r="I41" i="1"/>
  <c r="K41" i="1"/>
  <c r="P41" i="1"/>
  <c r="R41" i="1"/>
  <c r="T41" i="1"/>
  <c r="AC41" i="1"/>
  <c r="AD41" i="1"/>
  <c r="AE41" i="1"/>
  <c r="CS41" i="1" s="1"/>
  <c r="AF41" i="1"/>
  <c r="S41" i="1" s="1"/>
  <c r="AG41" i="1"/>
  <c r="AH41" i="1"/>
  <c r="CV41" i="1" s="1"/>
  <c r="U41" i="1" s="1"/>
  <c r="AI41" i="1"/>
  <c r="AJ41" i="1"/>
  <c r="CX41" i="1" s="1"/>
  <c r="W41" i="1" s="1"/>
  <c r="CR41" i="1"/>
  <c r="CT41" i="1"/>
  <c r="CU41" i="1"/>
  <c r="CW41" i="1"/>
  <c r="V41" i="1" s="1"/>
  <c r="CY41" i="1"/>
  <c r="GL41" i="1"/>
  <c r="GN41" i="1"/>
  <c r="GP41" i="1"/>
  <c r="GV41" i="1"/>
  <c r="HC41" i="1"/>
  <c r="GX41" i="1" s="1"/>
  <c r="C42" i="1"/>
  <c r="D42" i="1"/>
  <c r="I42" i="1"/>
  <c r="P42" i="1" s="1"/>
  <c r="K42" i="1"/>
  <c r="T42" i="1"/>
  <c r="U42" i="1"/>
  <c r="AC42" i="1"/>
  <c r="AD42" i="1"/>
  <c r="AE42" i="1"/>
  <c r="CS42" i="1" s="1"/>
  <c r="AF42" i="1"/>
  <c r="AG42" i="1"/>
  <c r="AH42" i="1"/>
  <c r="CV42" i="1" s="1"/>
  <c r="AI42" i="1"/>
  <c r="AJ42" i="1"/>
  <c r="CX42" i="1" s="1"/>
  <c r="W42" i="1" s="1"/>
  <c r="CR42" i="1"/>
  <c r="CU42" i="1"/>
  <c r="CW42" i="1"/>
  <c r="GL42" i="1"/>
  <c r="GN42" i="1"/>
  <c r="GP42" i="1"/>
  <c r="GV42" i="1"/>
  <c r="HC42" i="1" s="1"/>
  <c r="GX42" i="1" s="1"/>
  <c r="C43" i="1"/>
  <c r="D43" i="1"/>
  <c r="I43" i="1"/>
  <c r="K43" i="1"/>
  <c r="P43" i="1"/>
  <c r="R43" i="1"/>
  <c r="T43" i="1"/>
  <c r="W43" i="1"/>
  <c r="AC43" i="1"/>
  <c r="CQ43" i="1" s="1"/>
  <c r="AD43" i="1"/>
  <c r="AB43" i="1" s="1"/>
  <c r="AE43" i="1"/>
  <c r="AF43" i="1"/>
  <c r="AG43" i="1"/>
  <c r="AH43" i="1"/>
  <c r="CV43" i="1" s="1"/>
  <c r="U43" i="1" s="1"/>
  <c r="AI43" i="1"/>
  <c r="AJ43" i="1"/>
  <c r="CX43" i="1" s="1"/>
  <c r="CR43" i="1"/>
  <c r="CS43" i="1"/>
  <c r="CT43" i="1"/>
  <c r="CU43" i="1"/>
  <c r="CW43" i="1"/>
  <c r="V43" i="1" s="1"/>
  <c r="GL43" i="1"/>
  <c r="GN43" i="1"/>
  <c r="GP43" i="1"/>
  <c r="GV43" i="1"/>
  <c r="HC43" i="1" s="1"/>
  <c r="GX43" i="1"/>
  <c r="C44" i="1"/>
  <c r="D44" i="1"/>
  <c r="I44" i="1"/>
  <c r="P44" i="1" s="1"/>
  <c r="K44" i="1"/>
  <c r="R44" i="1"/>
  <c r="AB44" i="1"/>
  <c r="AC44" i="1"/>
  <c r="CQ44" i="1" s="1"/>
  <c r="AD44" i="1"/>
  <c r="AE44" i="1"/>
  <c r="AF44" i="1"/>
  <c r="CT44" i="1" s="1"/>
  <c r="AG44" i="1"/>
  <c r="AH44" i="1"/>
  <c r="CV44" i="1" s="1"/>
  <c r="U44" i="1" s="1"/>
  <c r="AI44" i="1"/>
  <c r="CW44" i="1" s="1"/>
  <c r="V44" i="1" s="1"/>
  <c r="AJ44" i="1"/>
  <c r="CR44" i="1"/>
  <c r="CS44" i="1"/>
  <c r="CU44" i="1"/>
  <c r="T44" i="1" s="1"/>
  <c r="CX44" i="1"/>
  <c r="GL44" i="1"/>
  <c r="GO44" i="1"/>
  <c r="GP44" i="1"/>
  <c r="GV44" i="1"/>
  <c r="HC44" i="1" s="1"/>
  <c r="GX44" i="1" s="1"/>
  <c r="C45" i="1"/>
  <c r="D45" i="1"/>
  <c r="I45" i="1"/>
  <c r="R45" i="1" s="1"/>
  <c r="K45" i="1"/>
  <c r="P45" i="1"/>
  <c r="U45" i="1"/>
  <c r="W45" i="1"/>
  <c r="AC45" i="1"/>
  <c r="AD45" i="1"/>
  <c r="AB45" i="1" s="1"/>
  <c r="AE45" i="1"/>
  <c r="AF45" i="1"/>
  <c r="CT45" i="1" s="1"/>
  <c r="AG45" i="1"/>
  <c r="AH45" i="1"/>
  <c r="CV45" i="1" s="1"/>
  <c r="AI45" i="1"/>
  <c r="AJ45" i="1"/>
  <c r="CQ45" i="1"/>
  <c r="CR45" i="1"/>
  <c r="CS45" i="1"/>
  <c r="CU45" i="1"/>
  <c r="T45" i="1" s="1"/>
  <c r="CW45" i="1"/>
  <c r="V45" i="1" s="1"/>
  <c r="CX45" i="1"/>
  <c r="GL45" i="1"/>
  <c r="GO45" i="1"/>
  <c r="GP45" i="1"/>
  <c r="GV45" i="1"/>
  <c r="HC45" i="1" s="1"/>
  <c r="GX45" i="1" s="1"/>
  <c r="C46" i="1"/>
  <c r="D46" i="1"/>
  <c r="I46" i="1"/>
  <c r="Q46" i="1" s="1"/>
  <c r="K46" i="1"/>
  <c r="P46" i="1"/>
  <c r="S46" i="1"/>
  <c r="CY46" i="1" s="1"/>
  <c r="AB46" i="1"/>
  <c r="AC46" i="1"/>
  <c r="AD46" i="1"/>
  <c r="AE46" i="1"/>
  <c r="AF46" i="1"/>
  <c r="CT46" i="1" s="1"/>
  <c r="AG46" i="1"/>
  <c r="AH46" i="1"/>
  <c r="AI46" i="1"/>
  <c r="CW46" i="1" s="1"/>
  <c r="V46" i="1" s="1"/>
  <c r="AJ46" i="1"/>
  <c r="CQ46" i="1"/>
  <c r="CR46" i="1"/>
  <c r="CS46" i="1"/>
  <c r="CU46" i="1"/>
  <c r="T46" i="1" s="1"/>
  <c r="CV46" i="1"/>
  <c r="U46" i="1" s="1"/>
  <c r="CX46" i="1"/>
  <c r="W46" i="1" s="1"/>
  <c r="GL46" i="1"/>
  <c r="GN46" i="1"/>
  <c r="GP46" i="1"/>
  <c r="GV46" i="1"/>
  <c r="HC46" i="1"/>
  <c r="GX46" i="1" s="1"/>
  <c r="CJ53" i="1" s="1"/>
  <c r="C47" i="1"/>
  <c r="D47" i="1"/>
  <c r="I47" i="1"/>
  <c r="K47" i="1"/>
  <c r="P47" i="1"/>
  <c r="Q47" i="1"/>
  <c r="CP47" i="1" s="1"/>
  <c r="O47" i="1" s="1"/>
  <c r="R47" i="1"/>
  <c r="S47" i="1"/>
  <c r="U47" i="1"/>
  <c r="W47" i="1"/>
  <c r="X47" i="1"/>
  <c r="AC47" i="1"/>
  <c r="AD47" i="1"/>
  <c r="AB47" i="1" s="1"/>
  <c r="AE47" i="1"/>
  <c r="CR47" i="1" s="1"/>
  <c r="AF47" i="1"/>
  <c r="CT47" i="1" s="1"/>
  <c r="AG47" i="1"/>
  <c r="CU47" i="1" s="1"/>
  <c r="T47" i="1" s="1"/>
  <c r="AH47" i="1"/>
  <c r="AI47" i="1"/>
  <c r="AJ47" i="1"/>
  <c r="CX47" i="1" s="1"/>
  <c r="CQ47" i="1"/>
  <c r="CS47" i="1"/>
  <c r="CV47" i="1"/>
  <c r="CW47" i="1"/>
  <c r="V47" i="1" s="1"/>
  <c r="GL47" i="1"/>
  <c r="GN47" i="1"/>
  <c r="GP47" i="1"/>
  <c r="GV47" i="1"/>
  <c r="GX47" i="1"/>
  <c r="HC47" i="1"/>
  <c r="C48" i="1"/>
  <c r="D48" i="1"/>
  <c r="I48" i="1"/>
  <c r="Q48" i="1" s="1"/>
  <c r="K48" i="1"/>
  <c r="P48" i="1"/>
  <c r="W48" i="1"/>
  <c r="AC48" i="1"/>
  <c r="AB48" i="1" s="1"/>
  <c r="AD48" i="1"/>
  <c r="AE48" i="1"/>
  <c r="CS48" i="1" s="1"/>
  <c r="AF48" i="1"/>
  <c r="AG48" i="1"/>
  <c r="CU48" i="1" s="1"/>
  <c r="T48" i="1" s="1"/>
  <c r="AH48" i="1"/>
  <c r="AI48" i="1"/>
  <c r="CW48" i="1" s="1"/>
  <c r="V48" i="1" s="1"/>
  <c r="AJ48" i="1"/>
  <c r="CQ48" i="1"/>
  <c r="CR48" i="1"/>
  <c r="CT48" i="1"/>
  <c r="CV48" i="1"/>
  <c r="CX48" i="1"/>
  <c r="GL48" i="1"/>
  <c r="GO48" i="1"/>
  <c r="GP48" i="1"/>
  <c r="GV48" i="1"/>
  <c r="HC48" i="1"/>
  <c r="GX48" i="1" s="1"/>
  <c r="C49" i="1"/>
  <c r="D49" i="1"/>
  <c r="I49" i="1"/>
  <c r="K49" i="1"/>
  <c r="R49" i="1"/>
  <c r="S49" i="1"/>
  <c r="AC49" i="1"/>
  <c r="CQ49" i="1" s="1"/>
  <c r="AE49" i="1"/>
  <c r="CR49" i="1" s="1"/>
  <c r="AF49" i="1"/>
  <c r="CT49" i="1" s="1"/>
  <c r="AG49" i="1"/>
  <c r="CU49" i="1" s="1"/>
  <c r="T49" i="1" s="1"/>
  <c r="AH49" i="1"/>
  <c r="CV49" i="1" s="1"/>
  <c r="U49" i="1" s="1"/>
  <c r="AI49" i="1"/>
  <c r="CW49" i="1" s="1"/>
  <c r="V49" i="1" s="1"/>
  <c r="AJ49" i="1"/>
  <c r="CS49" i="1"/>
  <c r="CX49" i="1"/>
  <c r="W49" i="1" s="1"/>
  <c r="GL49" i="1"/>
  <c r="GO49" i="1"/>
  <c r="GP49" i="1"/>
  <c r="GV49" i="1"/>
  <c r="HC49" i="1" s="1"/>
  <c r="GX49" i="1" s="1"/>
  <c r="C50" i="1"/>
  <c r="D50" i="1"/>
  <c r="I50" i="1"/>
  <c r="K50" i="1"/>
  <c r="Q50" i="1"/>
  <c r="S50" i="1"/>
  <c r="AC50" i="1"/>
  <c r="P50" i="1" s="1"/>
  <c r="AE50" i="1"/>
  <c r="AD50" i="1" s="1"/>
  <c r="AF50" i="1"/>
  <c r="AG50" i="1"/>
  <c r="CU50" i="1" s="1"/>
  <c r="T50" i="1" s="1"/>
  <c r="AH50" i="1"/>
  <c r="CV50" i="1" s="1"/>
  <c r="U50" i="1" s="1"/>
  <c r="AI50" i="1"/>
  <c r="CW50" i="1" s="1"/>
  <c r="V50" i="1" s="1"/>
  <c r="AJ50" i="1"/>
  <c r="CS50" i="1"/>
  <c r="CT50" i="1"/>
  <c r="CX50" i="1"/>
  <c r="CZ50" i="1"/>
  <c r="GL50" i="1"/>
  <c r="GO50" i="1"/>
  <c r="GP50" i="1"/>
  <c r="GV50" i="1"/>
  <c r="HC50" i="1" s="1"/>
  <c r="GX50" i="1" s="1"/>
  <c r="C51" i="1"/>
  <c r="D51" i="1"/>
  <c r="I51" i="1"/>
  <c r="K51" i="1"/>
  <c r="AC51" i="1"/>
  <c r="P51" i="1" s="1"/>
  <c r="AE51" i="1"/>
  <c r="AD51" i="1" s="1"/>
  <c r="AB51" i="1" s="1"/>
  <c r="AF51" i="1"/>
  <c r="AG51" i="1"/>
  <c r="CU51" i="1" s="1"/>
  <c r="T51" i="1" s="1"/>
  <c r="AH51" i="1"/>
  <c r="CV51" i="1" s="1"/>
  <c r="U51" i="1" s="1"/>
  <c r="AI51" i="1"/>
  <c r="CW51" i="1" s="1"/>
  <c r="V51" i="1" s="1"/>
  <c r="EA53" i="1" s="1"/>
  <c r="AJ51" i="1"/>
  <c r="CX51" i="1" s="1"/>
  <c r="CR51" i="1"/>
  <c r="CS51" i="1"/>
  <c r="CT51" i="1"/>
  <c r="GL51" i="1"/>
  <c r="GO51" i="1"/>
  <c r="GP51" i="1"/>
  <c r="FV53" i="1" s="1"/>
  <c r="GV51" i="1"/>
  <c r="HC51" i="1"/>
  <c r="GX51" i="1" s="1"/>
  <c r="B53" i="1"/>
  <c r="B26" i="1" s="1"/>
  <c r="C53" i="1"/>
  <c r="D53" i="1"/>
  <c r="D26" i="1" s="1"/>
  <c r="F53" i="1"/>
  <c r="F26" i="1" s="1"/>
  <c r="G53" i="1"/>
  <c r="G26" i="1" s="1"/>
  <c r="AQ53" i="1"/>
  <c r="BC53" i="1"/>
  <c r="BX53" i="1"/>
  <c r="BY53" i="1"/>
  <c r="CD53" i="1"/>
  <c r="CK53" i="1"/>
  <c r="CL53" i="1"/>
  <c r="CL26" i="1" s="1"/>
  <c r="CM53" i="1"/>
  <c r="ET53" i="1"/>
  <c r="EU53" i="1"/>
  <c r="EU26" i="1" s="1"/>
  <c r="EV53" i="1"/>
  <c r="P78" i="1" s="1"/>
  <c r="FP53" i="1"/>
  <c r="FY53" i="1" s="1"/>
  <c r="FQ53" i="1"/>
  <c r="EH53" i="1" s="1"/>
  <c r="GC53" i="1"/>
  <c r="GC26" i="1" s="1"/>
  <c r="GD53" i="1"/>
  <c r="GD26" i="1" s="1"/>
  <c r="GE53" i="1"/>
  <c r="GE26" i="1" s="1"/>
  <c r="P69" i="1"/>
  <c r="D83" i="1"/>
  <c r="E85" i="1"/>
  <c r="Z85" i="1"/>
  <c r="AA85" i="1"/>
  <c r="AM85" i="1"/>
  <c r="AN85" i="1"/>
  <c r="BE85" i="1"/>
  <c r="BF85" i="1"/>
  <c r="BG85" i="1"/>
  <c r="BH85" i="1"/>
  <c r="BI85" i="1"/>
  <c r="BJ85" i="1"/>
  <c r="BK85" i="1"/>
  <c r="BL85" i="1"/>
  <c r="BM85" i="1"/>
  <c r="BN85" i="1"/>
  <c r="BO85" i="1"/>
  <c r="BP85" i="1"/>
  <c r="BQ85" i="1"/>
  <c r="BR85" i="1"/>
  <c r="BS85" i="1"/>
  <c r="BT85" i="1"/>
  <c r="BU85" i="1"/>
  <c r="BV85" i="1"/>
  <c r="BW85" i="1"/>
  <c r="CN85" i="1"/>
  <c r="CO85" i="1"/>
  <c r="CP85" i="1"/>
  <c r="CQ85" i="1"/>
  <c r="CR85" i="1"/>
  <c r="CS85" i="1"/>
  <c r="CT85" i="1"/>
  <c r="CU85" i="1"/>
  <c r="CV85" i="1"/>
  <c r="CW85" i="1"/>
  <c r="CX85" i="1"/>
  <c r="CY85" i="1"/>
  <c r="CZ85" i="1"/>
  <c r="DA85" i="1"/>
  <c r="DB85" i="1"/>
  <c r="DC85" i="1"/>
  <c r="DD85" i="1"/>
  <c r="DE85" i="1"/>
  <c r="DF85" i="1"/>
  <c r="DR85" i="1"/>
  <c r="DS85" i="1"/>
  <c r="EE85" i="1"/>
  <c r="EF85" i="1"/>
  <c r="EW85" i="1"/>
  <c r="EX85" i="1"/>
  <c r="EY85" i="1"/>
  <c r="EZ85" i="1"/>
  <c r="FA85" i="1"/>
  <c r="FB85" i="1"/>
  <c r="FC85" i="1"/>
  <c r="FD85" i="1"/>
  <c r="FE85" i="1"/>
  <c r="FF85" i="1"/>
  <c r="FG85" i="1"/>
  <c r="FH85" i="1"/>
  <c r="FI85" i="1"/>
  <c r="FJ85" i="1"/>
  <c r="FK85" i="1"/>
  <c r="FL85" i="1"/>
  <c r="FM85" i="1"/>
  <c r="FN85" i="1"/>
  <c r="FO85" i="1"/>
  <c r="GF85" i="1"/>
  <c r="GG85" i="1"/>
  <c r="GH85" i="1"/>
  <c r="GI85" i="1"/>
  <c r="GJ85" i="1"/>
  <c r="GK85" i="1"/>
  <c r="GL85" i="1"/>
  <c r="GM85" i="1"/>
  <c r="GN85" i="1"/>
  <c r="GO85" i="1"/>
  <c r="GP85" i="1"/>
  <c r="GQ85" i="1"/>
  <c r="GR85" i="1"/>
  <c r="GS85" i="1"/>
  <c r="GT85" i="1"/>
  <c r="GU85" i="1"/>
  <c r="GV85" i="1"/>
  <c r="GW85" i="1"/>
  <c r="GX85" i="1"/>
  <c r="C87" i="1"/>
  <c r="D87" i="1"/>
  <c r="Q87" i="1"/>
  <c r="T87" i="1"/>
  <c r="AC87" i="1"/>
  <c r="P87" i="1" s="1"/>
  <c r="AE87" i="1"/>
  <c r="AF87" i="1"/>
  <c r="S87" i="1" s="1"/>
  <c r="Y87" i="1" s="1"/>
  <c r="AG87" i="1"/>
  <c r="CU87" i="1" s="1"/>
  <c r="AH87" i="1"/>
  <c r="CV87" i="1" s="1"/>
  <c r="U87" i="1" s="1"/>
  <c r="AI87" i="1"/>
  <c r="CW87" i="1" s="1"/>
  <c r="V87" i="1" s="1"/>
  <c r="AJ87" i="1"/>
  <c r="CQ87" i="1"/>
  <c r="CS87" i="1"/>
  <c r="CX87" i="1"/>
  <c r="W87" i="1" s="1"/>
  <c r="CZ87" i="1"/>
  <c r="GL87" i="1"/>
  <c r="GN87" i="1"/>
  <c r="GP87" i="1"/>
  <c r="GV87" i="1"/>
  <c r="HC87" i="1" s="1"/>
  <c r="GX87" i="1" s="1"/>
  <c r="C88" i="1"/>
  <c r="D88" i="1"/>
  <c r="R88" i="1"/>
  <c r="S88" i="1"/>
  <c r="CY88" i="1" s="1"/>
  <c r="U88" i="1"/>
  <c r="V88" i="1"/>
  <c r="Y88" i="1"/>
  <c r="AC88" i="1"/>
  <c r="AD88" i="1"/>
  <c r="AE88" i="1"/>
  <c r="Q88" i="1" s="1"/>
  <c r="AF88" i="1"/>
  <c r="AG88" i="1"/>
  <c r="AH88" i="1"/>
  <c r="AI88" i="1"/>
  <c r="CW88" i="1" s="1"/>
  <c r="AJ88" i="1"/>
  <c r="CR88" i="1"/>
  <c r="CS88" i="1"/>
  <c r="CT88" i="1"/>
  <c r="CU88" i="1"/>
  <c r="T88" i="1" s="1"/>
  <c r="CV88" i="1"/>
  <c r="CX88" i="1"/>
  <c r="W88" i="1" s="1"/>
  <c r="CZ88" i="1"/>
  <c r="GL88" i="1"/>
  <c r="GN88" i="1"/>
  <c r="GP88" i="1"/>
  <c r="GV88" i="1"/>
  <c r="HC88" i="1" s="1"/>
  <c r="GX88" i="1" s="1"/>
  <c r="P89" i="1"/>
  <c r="R89" i="1"/>
  <c r="S89" i="1"/>
  <c r="U89" i="1"/>
  <c r="W89" i="1"/>
  <c r="AC89" i="1"/>
  <c r="AD89" i="1"/>
  <c r="AE89" i="1"/>
  <c r="Q89" i="1" s="1"/>
  <c r="CP89" i="1" s="1"/>
  <c r="O89" i="1" s="1"/>
  <c r="AF89" i="1"/>
  <c r="CT89" i="1" s="1"/>
  <c r="AG89" i="1"/>
  <c r="CU89" i="1" s="1"/>
  <c r="T89" i="1" s="1"/>
  <c r="AH89" i="1"/>
  <c r="AI89" i="1"/>
  <c r="CW89" i="1" s="1"/>
  <c r="V89" i="1" s="1"/>
  <c r="AJ89" i="1"/>
  <c r="CQ89" i="1"/>
  <c r="CR89" i="1"/>
  <c r="CS89" i="1"/>
  <c r="CV89" i="1"/>
  <c r="CX89" i="1"/>
  <c r="FR89" i="1"/>
  <c r="GL89" i="1"/>
  <c r="GN89" i="1"/>
  <c r="GO89" i="1"/>
  <c r="GP89" i="1"/>
  <c r="GV89" i="1"/>
  <c r="HC89" i="1" s="1"/>
  <c r="GX89" i="1" s="1"/>
  <c r="Q90" i="1"/>
  <c r="R90" i="1"/>
  <c r="S90" i="1"/>
  <c r="Y90" i="1" s="1"/>
  <c r="T90" i="1"/>
  <c r="U90" i="1"/>
  <c r="AC90" i="1"/>
  <c r="P90" i="1" s="1"/>
  <c r="AE90" i="1"/>
  <c r="AF90" i="1"/>
  <c r="AG90" i="1"/>
  <c r="CU90" i="1" s="1"/>
  <c r="AH90" i="1"/>
  <c r="CV90" i="1" s="1"/>
  <c r="AI90" i="1"/>
  <c r="CW90" i="1" s="1"/>
  <c r="V90" i="1" s="1"/>
  <c r="AJ90" i="1"/>
  <c r="CS90" i="1"/>
  <c r="CT90" i="1"/>
  <c r="CX90" i="1"/>
  <c r="W90" i="1" s="1"/>
  <c r="GL90" i="1"/>
  <c r="GN90" i="1"/>
  <c r="GO90" i="1"/>
  <c r="GP90" i="1"/>
  <c r="GV90" i="1"/>
  <c r="GX90" i="1"/>
  <c r="HC90" i="1"/>
  <c r="S91" i="1"/>
  <c r="V91" i="1"/>
  <c r="W91" i="1"/>
  <c r="Y91" i="1"/>
  <c r="AC91" i="1"/>
  <c r="AD91" i="1"/>
  <c r="AE91" i="1"/>
  <c r="R91" i="1" s="1"/>
  <c r="AF91" i="1"/>
  <c r="AG91" i="1"/>
  <c r="AH91" i="1"/>
  <c r="AI91" i="1"/>
  <c r="AJ91" i="1"/>
  <c r="CX91" i="1" s="1"/>
  <c r="CR91" i="1"/>
  <c r="CS91" i="1"/>
  <c r="CT91" i="1"/>
  <c r="CU91" i="1"/>
  <c r="T91" i="1" s="1"/>
  <c r="CV91" i="1"/>
  <c r="U91" i="1" s="1"/>
  <c r="CW91" i="1"/>
  <c r="CY91" i="1"/>
  <c r="GL91" i="1"/>
  <c r="GN91" i="1"/>
  <c r="GP91" i="1"/>
  <c r="GV91" i="1"/>
  <c r="HC91" i="1" s="1"/>
  <c r="GX91" i="1" s="1"/>
  <c r="P92" i="1"/>
  <c r="Q92" i="1"/>
  <c r="CP92" i="1" s="1"/>
  <c r="O92" i="1" s="1"/>
  <c r="S92" i="1"/>
  <c r="X92" i="1" s="1"/>
  <c r="V92" i="1"/>
  <c r="AC92" i="1"/>
  <c r="AE92" i="1"/>
  <c r="AF92" i="1"/>
  <c r="AG92" i="1"/>
  <c r="CU92" i="1" s="1"/>
  <c r="T92" i="1" s="1"/>
  <c r="AH92" i="1"/>
  <c r="CV92" i="1" s="1"/>
  <c r="U92" i="1" s="1"/>
  <c r="AI92" i="1"/>
  <c r="AJ92" i="1"/>
  <c r="CX92" i="1" s="1"/>
  <c r="W92" i="1" s="1"/>
  <c r="CQ92" i="1"/>
  <c r="CT92" i="1"/>
  <c r="CW92" i="1"/>
  <c r="CY92" i="1"/>
  <c r="GL92" i="1"/>
  <c r="GN92" i="1"/>
  <c r="GP92" i="1"/>
  <c r="GV92" i="1"/>
  <c r="HC92" i="1"/>
  <c r="GX92" i="1" s="1"/>
  <c r="C93" i="1"/>
  <c r="D93" i="1"/>
  <c r="Q93" i="1"/>
  <c r="R93" i="1"/>
  <c r="S93" i="1"/>
  <c r="AC93" i="1"/>
  <c r="P93" i="1" s="1"/>
  <c r="AE93" i="1"/>
  <c r="AF93" i="1"/>
  <c r="AG93" i="1"/>
  <c r="CU93" i="1" s="1"/>
  <c r="T93" i="1" s="1"/>
  <c r="AH93" i="1"/>
  <c r="CV93" i="1" s="1"/>
  <c r="U93" i="1" s="1"/>
  <c r="AI93" i="1"/>
  <c r="CW93" i="1" s="1"/>
  <c r="V93" i="1" s="1"/>
  <c r="AJ93" i="1"/>
  <c r="CQ93" i="1"/>
  <c r="CS93" i="1"/>
  <c r="CT93" i="1"/>
  <c r="CX93" i="1"/>
  <c r="W93" i="1" s="1"/>
  <c r="GL93" i="1"/>
  <c r="GN93" i="1"/>
  <c r="GP93" i="1"/>
  <c r="GV93" i="1"/>
  <c r="HC93" i="1" s="1"/>
  <c r="GX93" i="1" s="1"/>
  <c r="C94" i="1"/>
  <c r="D94" i="1"/>
  <c r="R94" i="1"/>
  <c r="U94" i="1"/>
  <c r="V94" i="1"/>
  <c r="AB94" i="1"/>
  <c r="AC94" i="1"/>
  <c r="AD94" i="1"/>
  <c r="AE94" i="1"/>
  <c r="Q94" i="1" s="1"/>
  <c r="AF94" i="1"/>
  <c r="S94" i="1" s="1"/>
  <c r="AG94" i="1"/>
  <c r="AH94" i="1"/>
  <c r="AI94" i="1"/>
  <c r="AJ94" i="1"/>
  <c r="CR94" i="1"/>
  <c r="CS94" i="1"/>
  <c r="CT94" i="1"/>
  <c r="CU94" i="1"/>
  <c r="T94" i="1" s="1"/>
  <c r="CV94" i="1"/>
  <c r="CW94" i="1"/>
  <c r="CX94" i="1"/>
  <c r="W94" i="1" s="1"/>
  <c r="GL94" i="1"/>
  <c r="GN94" i="1"/>
  <c r="GP94" i="1"/>
  <c r="GV94" i="1"/>
  <c r="HC94" i="1" s="1"/>
  <c r="GX94" i="1" s="1"/>
  <c r="C95" i="1"/>
  <c r="D95" i="1"/>
  <c r="P95" i="1"/>
  <c r="S95" i="1"/>
  <c r="AC95" i="1"/>
  <c r="CQ95" i="1" s="1"/>
  <c r="AD95" i="1"/>
  <c r="AB95" i="1" s="1"/>
  <c r="AE95" i="1"/>
  <c r="AF95" i="1"/>
  <c r="AG95" i="1"/>
  <c r="CU95" i="1" s="1"/>
  <c r="T95" i="1" s="1"/>
  <c r="AH95" i="1"/>
  <c r="AI95" i="1"/>
  <c r="CW95" i="1" s="1"/>
  <c r="V95" i="1" s="1"/>
  <c r="AJ95" i="1"/>
  <c r="CT95" i="1"/>
  <c r="CV95" i="1"/>
  <c r="U95" i="1" s="1"/>
  <c r="CX95" i="1"/>
  <c r="W95" i="1" s="1"/>
  <c r="GL95" i="1"/>
  <c r="GN95" i="1"/>
  <c r="GP95" i="1"/>
  <c r="GV95" i="1"/>
  <c r="GX95" i="1"/>
  <c r="HC95" i="1"/>
  <c r="C96" i="1"/>
  <c r="D96" i="1"/>
  <c r="P96" i="1"/>
  <c r="W96" i="1"/>
  <c r="AC96" i="1"/>
  <c r="CQ96" i="1" s="1"/>
  <c r="AD96" i="1"/>
  <c r="AB96" i="1" s="1"/>
  <c r="AE96" i="1"/>
  <c r="AF96" i="1"/>
  <c r="S96" i="1" s="1"/>
  <c r="AG96" i="1"/>
  <c r="AH96" i="1"/>
  <c r="AI96" i="1"/>
  <c r="AJ96" i="1"/>
  <c r="CX96" i="1" s="1"/>
  <c r="CT96" i="1"/>
  <c r="CU96" i="1"/>
  <c r="T96" i="1" s="1"/>
  <c r="CV96" i="1"/>
  <c r="U96" i="1" s="1"/>
  <c r="CW96" i="1"/>
  <c r="V96" i="1" s="1"/>
  <c r="GL96" i="1"/>
  <c r="GN96" i="1"/>
  <c r="GP96" i="1"/>
  <c r="GV96" i="1"/>
  <c r="GX96" i="1"/>
  <c r="HC96" i="1"/>
  <c r="Q97" i="1"/>
  <c r="CP97" i="1" s="1"/>
  <c r="O97" i="1" s="1"/>
  <c r="R97" i="1"/>
  <c r="W97" i="1"/>
  <c r="AC97" i="1"/>
  <c r="P97" i="1" s="1"/>
  <c r="FR97" i="1" s="1"/>
  <c r="AE97" i="1"/>
  <c r="AD97" i="1" s="1"/>
  <c r="AF97" i="1"/>
  <c r="S97" i="1" s="1"/>
  <c r="X97" i="1" s="1"/>
  <c r="AG97" i="1"/>
  <c r="CU97" i="1" s="1"/>
  <c r="T97" i="1" s="1"/>
  <c r="AH97" i="1"/>
  <c r="CV97" i="1" s="1"/>
  <c r="U97" i="1" s="1"/>
  <c r="AI97" i="1"/>
  <c r="CW97" i="1" s="1"/>
  <c r="V97" i="1" s="1"/>
  <c r="AJ97" i="1"/>
  <c r="CQ97" i="1"/>
  <c r="CX97" i="1"/>
  <c r="CZ97" i="1"/>
  <c r="GL97" i="1"/>
  <c r="GN97" i="1"/>
  <c r="GO97" i="1"/>
  <c r="GP97" i="1"/>
  <c r="GV97" i="1"/>
  <c r="HC97" i="1"/>
  <c r="GX97" i="1" s="1"/>
  <c r="P98" i="1"/>
  <c r="CP98" i="1" s="1"/>
  <c r="O98" i="1" s="1"/>
  <c r="GM98" i="1" s="1"/>
  <c r="Q98" i="1"/>
  <c r="S98" i="1"/>
  <c r="X98" i="1" s="1"/>
  <c r="T98" i="1"/>
  <c r="U98" i="1"/>
  <c r="Y98" i="1"/>
  <c r="AC98" i="1"/>
  <c r="CQ98" i="1" s="1"/>
  <c r="AE98" i="1"/>
  <c r="R98" i="1" s="1"/>
  <c r="AF98" i="1"/>
  <c r="AG98" i="1"/>
  <c r="CU98" i="1" s="1"/>
  <c r="AH98" i="1"/>
  <c r="CV98" i="1" s="1"/>
  <c r="AI98" i="1"/>
  <c r="CW98" i="1" s="1"/>
  <c r="V98" i="1" s="1"/>
  <c r="AJ98" i="1"/>
  <c r="CX98" i="1" s="1"/>
  <c r="W98" i="1" s="1"/>
  <c r="CR98" i="1"/>
  <c r="CS98" i="1"/>
  <c r="CT98" i="1"/>
  <c r="CY98" i="1"/>
  <c r="CZ98" i="1"/>
  <c r="GL98" i="1"/>
  <c r="GN98" i="1"/>
  <c r="GO98" i="1"/>
  <c r="GP98" i="1"/>
  <c r="GV98" i="1"/>
  <c r="HC98" i="1" s="1"/>
  <c r="GX98" i="1" s="1"/>
  <c r="C99" i="1"/>
  <c r="D99" i="1"/>
  <c r="P99" i="1"/>
  <c r="CP99" i="1" s="1"/>
  <c r="O99" i="1" s="1"/>
  <c r="Q99" i="1"/>
  <c r="S99" i="1"/>
  <c r="X99" i="1" s="1"/>
  <c r="T99" i="1"/>
  <c r="Y99" i="1"/>
  <c r="AC99" i="1"/>
  <c r="CQ99" i="1" s="1"/>
  <c r="AE99" i="1"/>
  <c r="R99" i="1" s="1"/>
  <c r="AF99" i="1"/>
  <c r="AG99" i="1"/>
  <c r="CU99" i="1" s="1"/>
  <c r="AH99" i="1"/>
  <c r="CV99" i="1" s="1"/>
  <c r="U99" i="1" s="1"/>
  <c r="AI99" i="1"/>
  <c r="CW99" i="1" s="1"/>
  <c r="V99" i="1" s="1"/>
  <c r="AJ99" i="1"/>
  <c r="CX99" i="1" s="1"/>
  <c r="W99" i="1" s="1"/>
  <c r="CR99" i="1"/>
  <c r="CS99" i="1"/>
  <c r="CT99" i="1"/>
  <c r="CY99" i="1"/>
  <c r="CZ99" i="1"/>
  <c r="GL99" i="1"/>
  <c r="GN99" i="1"/>
  <c r="GP99" i="1"/>
  <c r="GV99" i="1"/>
  <c r="HC99" i="1" s="1"/>
  <c r="GX99" i="1" s="1"/>
  <c r="GM99" i="1" s="1"/>
  <c r="GO99" i="1" s="1"/>
  <c r="C100" i="1"/>
  <c r="D100" i="1"/>
  <c r="P100" i="1"/>
  <c r="R100" i="1"/>
  <c r="T100" i="1"/>
  <c r="W100" i="1"/>
  <c r="AC100" i="1"/>
  <c r="AE100" i="1"/>
  <c r="AF100" i="1"/>
  <c r="S100" i="1" s="1"/>
  <c r="AG100" i="1"/>
  <c r="CU100" i="1" s="1"/>
  <c r="AH100" i="1"/>
  <c r="CV100" i="1" s="1"/>
  <c r="U100" i="1" s="1"/>
  <c r="AI100" i="1"/>
  <c r="CW100" i="1" s="1"/>
  <c r="V100" i="1" s="1"/>
  <c r="AJ100" i="1"/>
  <c r="CQ100" i="1"/>
  <c r="CX100" i="1"/>
  <c r="CY100" i="1"/>
  <c r="GL100" i="1"/>
  <c r="GN100" i="1"/>
  <c r="GP100" i="1"/>
  <c r="GV100" i="1"/>
  <c r="HC100" i="1"/>
  <c r="GX100" i="1" s="1"/>
  <c r="C101" i="1"/>
  <c r="D101" i="1"/>
  <c r="P101" i="1"/>
  <c r="R101" i="1"/>
  <c r="X101" i="1"/>
  <c r="AC101" i="1"/>
  <c r="AD101" i="1"/>
  <c r="AE101" i="1"/>
  <c r="Q101" i="1" s="1"/>
  <c r="AF101" i="1"/>
  <c r="S101" i="1" s="1"/>
  <c r="AG101" i="1"/>
  <c r="AH101" i="1"/>
  <c r="AI101" i="1"/>
  <c r="AJ101" i="1"/>
  <c r="CQ101" i="1"/>
  <c r="CR101" i="1"/>
  <c r="CS101" i="1"/>
  <c r="CT101" i="1"/>
  <c r="CU101" i="1"/>
  <c r="T101" i="1" s="1"/>
  <c r="CV101" i="1"/>
  <c r="U101" i="1" s="1"/>
  <c r="CW101" i="1"/>
  <c r="V101" i="1" s="1"/>
  <c r="CX101" i="1"/>
  <c r="W101" i="1" s="1"/>
  <c r="GL101" i="1"/>
  <c r="GN101" i="1"/>
  <c r="GP101" i="1"/>
  <c r="GV101" i="1"/>
  <c r="HC101" i="1" s="1"/>
  <c r="GX101" i="1" s="1"/>
  <c r="C102" i="1"/>
  <c r="D102" i="1"/>
  <c r="R102" i="1"/>
  <c r="S102" i="1"/>
  <c r="CY102" i="1" s="1"/>
  <c r="V102" i="1"/>
  <c r="AB102" i="1"/>
  <c r="AC102" i="1"/>
  <c r="P102" i="1" s="1"/>
  <c r="AD102" i="1"/>
  <c r="AE102" i="1"/>
  <c r="Q102" i="1" s="1"/>
  <c r="AF102" i="1"/>
  <c r="CT102" i="1" s="1"/>
  <c r="AG102" i="1"/>
  <c r="CU102" i="1" s="1"/>
  <c r="T102" i="1" s="1"/>
  <c r="AH102" i="1"/>
  <c r="CV102" i="1" s="1"/>
  <c r="U102" i="1" s="1"/>
  <c r="AI102" i="1"/>
  <c r="CW102" i="1" s="1"/>
  <c r="AJ102" i="1"/>
  <c r="CQ102" i="1"/>
  <c r="CR102" i="1"/>
  <c r="CS102" i="1"/>
  <c r="CX102" i="1"/>
  <c r="W102" i="1" s="1"/>
  <c r="GL102" i="1"/>
  <c r="GN102" i="1"/>
  <c r="GP102" i="1"/>
  <c r="GV102" i="1"/>
  <c r="HC102" i="1" s="1"/>
  <c r="GX102" i="1" s="1"/>
  <c r="P103" i="1"/>
  <c r="S103" i="1"/>
  <c r="V103" i="1"/>
  <c r="AC103" i="1"/>
  <c r="CQ103" i="1" s="1"/>
  <c r="AE103" i="1"/>
  <c r="AF103" i="1"/>
  <c r="CT103" i="1" s="1"/>
  <c r="AG103" i="1"/>
  <c r="CU103" i="1" s="1"/>
  <c r="T103" i="1" s="1"/>
  <c r="AH103" i="1"/>
  <c r="CV103" i="1" s="1"/>
  <c r="U103" i="1" s="1"/>
  <c r="AI103" i="1"/>
  <c r="AJ103" i="1"/>
  <c r="CW103" i="1"/>
  <c r="CX103" i="1"/>
  <c r="W103" i="1" s="1"/>
  <c r="CY103" i="1"/>
  <c r="GL103" i="1"/>
  <c r="GN103" i="1"/>
  <c r="GO103" i="1"/>
  <c r="GP103" i="1"/>
  <c r="GV103" i="1"/>
  <c r="HC103" i="1" s="1"/>
  <c r="GX103" i="1" s="1"/>
  <c r="R104" i="1"/>
  <c r="Y104" i="1"/>
  <c r="AC104" i="1"/>
  <c r="AD104" i="1"/>
  <c r="AE104" i="1"/>
  <c r="Q104" i="1" s="1"/>
  <c r="AF104" i="1"/>
  <c r="S104" i="1" s="1"/>
  <c r="X104" i="1" s="1"/>
  <c r="AG104" i="1"/>
  <c r="AH104" i="1"/>
  <c r="AI104" i="1"/>
  <c r="AJ104" i="1"/>
  <c r="CR104" i="1"/>
  <c r="CS104" i="1"/>
  <c r="CT104" i="1"/>
  <c r="CU104" i="1"/>
  <c r="T104" i="1" s="1"/>
  <c r="CV104" i="1"/>
  <c r="U104" i="1" s="1"/>
  <c r="CW104" i="1"/>
  <c r="V104" i="1" s="1"/>
  <c r="CX104" i="1"/>
  <c r="W104" i="1" s="1"/>
  <c r="GL104" i="1"/>
  <c r="GN104" i="1"/>
  <c r="GO104" i="1"/>
  <c r="GP104" i="1"/>
  <c r="GV104" i="1"/>
  <c r="HC104" i="1" s="1"/>
  <c r="GX104" i="1" s="1"/>
  <c r="C105" i="1"/>
  <c r="D105" i="1"/>
  <c r="R105" i="1"/>
  <c r="S105" i="1"/>
  <c r="U105" i="1"/>
  <c r="V105" i="1"/>
  <c r="AC105" i="1"/>
  <c r="AE105" i="1"/>
  <c r="CS105" i="1" s="1"/>
  <c r="AF105" i="1"/>
  <c r="CT105" i="1" s="1"/>
  <c r="AG105" i="1"/>
  <c r="CU105" i="1" s="1"/>
  <c r="T105" i="1" s="1"/>
  <c r="AH105" i="1"/>
  <c r="CV105" i="1" s="1"/>
  <c r="AI105" i="1"/>
  <c r="AJ105" i="1"/>
  <c r="CQ105" i="1"/>
  <c r="CR105" i="1"/>
  <c r="CW105" i="1"/>
  <c r="CX105" i="1"/>
  <c r="W105" i="1" s="1"/>
  <c r="CZ105" i="1"/>
  <c r="GL105" i="1"/>
  <c r="GN105" i="1"/>
  <c r="GP105" i="1"/>
  <c r="GV105" i="1"/>
  <c r="HC105" i="1"/>
  <c r="GX105" i="1" s="1"/>
  <c r="C106" i="1"/>
  <c r="D106" i="1"/>
  <c r="P106" i="1"/>
  <c r="Q106" i="1"/>
  <c r="S106" i="1"/>
  <c r="CY106" i="1" s="1"/>
  <c r="Y106" i="1"/>
  <c r="AC106" i="1"/>
  <c r="CQ106" i="1" s="1"/>
  <c r="AD106" i="1"/>
  <c r="AB106" i="1" s="1"/>
  <c r="AE106" i="1"/>
  <c r="R106" i="1" s="1"/>
  <c r="AF106" i="1"/>
  <c r="AG106" i="1"/>
  <c r="AH106" i="1"/>
  <c r="AI106" i="1"/>
  <c r="AJ106" i="1"/>
  <c r="CR106" i="1"/>
  <c r="CS106" i="1"/>
  <c r="CT106" i="1"/>
  <c r="CU106" i="1"/>
  <c r="T106" i="1" s="1"/>
  <c r="CV106" i="1"/>
  <c r="U106" i="1" s="1"/>
  <c r="CW106" i="1"/>
  <c r="V106" i="1" s="1"/>
  <c r="CX106" i="1"/>
  <c r="W106" i="1" s="1"/>
  <c r="GL106" i="1"/>
  <c r="GN106" i="1"/>
  <c r="GP106" i="1"/>
  <c r="GV106" i="1"/>
  <c r="GX106" i="1"/>
  <c r="HC106" i="1"/>
  <c r="P107" i="1"/>
  <c r="Q107" i="1"/>
  <c r="W107" i="1"/>
  <c r="AC107" i="1"/>
  <c r="AE107" i="1"/>
  <c r="R107" i="1" s="1"/>
  <c r="AF107" i="1"/>
  <c r="S107" i="1" s="1"/>
  <c r="AG107" i="1"/>
  <c r="AH107" i="1"/>
  <c r="AI107" i="1"/>
  <c r="CW107" i="1" s="1"/>
  <c r="V107" i="1" s="1"/>
  <c r="AJ107" i="1"/>
  <c r="CX107" i="1" s="1"/>
  <c r="CQ107" i="1"/>
  <c r="CS107" i="1"/>
  <c r="CT107" i="1"/>
  <c r="CU107" i="1"/>
  <c r="T107" i="1" s="1"/>
  <c r="CV107" i="1"/>
  <c r="U107" i="1" s="1"/>
  <c r="GL107" i="1"/>
  <c r="GN107" i="1"/>
  <c r="GO107" i="1"/>
  <c r="GP107" i="1"/>
  <c r="GV107" i="1"/>
  <c r="HC107" i="1" s="1"/>
  <c r="GX107" i="1"/>
  <c r="R108" i="1"/>
  <c r="AC108" i="1"/>
  <c r="AE108" i="1"/>
  <c r="CS108" i="1" s="1"/>
  <c r="AF108" i="1"/>
  <c r="AG108" i="1"/>
  <c r="CU108" i="1" s="1"/>
  <c r="T108" i="1" s="1"/>
  <c r="AH108" i="1"/>
  <c r="CV108" i="1" s="1"/>
  <c r="U108" i="1" s="1"/>
  <c r="AI108" i="1"/>
  <c r="CW108" i="1" s="1"/>
  <c r="V108" i="1" s="1"/>
  <c r="AJ108" i="1"/>
  <c r="CQ108" i="1"/>
  <c r="CR108" i="1"/>
  <c r="CX108" i="1"/>
  <c r="W108" i="1" s="1"/>
  <c r="GL108" i="1"/>
  <c r="GN108" i="1"/>
  <c r="GO108" i="1"/>
  <c r="GP108" i="1"/>
  <c r="GV108" i="1"/>
  <c r="HC108" i="1"/>
  <c r="GX108" i="1" s="1"/>
  <c r="C109" i="1"/>
  <c r="D109" i="1"/>
  <c r="P109" i="1"/>
  <c r="R109" i="1"/>
  <c r="AC109" i="1"/>
  <c r="AD109" i="1"/>
  <c r="AE109" i="1"/>
  <c r="Q109" i="1" s="1"/>
  <c r="AF109" i="1"/>
  <c r="CT109" i="1" s="1"/>
  <c r="AG109" i="1"/>
  <c r="AH109" i="1"/>
  <c r="AI109" i="1"/>
  <c r="AJ109" i="1"/>
  <c r="CQ109" i="1"/>
  <c r="CR109" i="1"/>
  <c r="CS109" i="1"/>
  <c r="CU109" i="1"/>
  <c r="T109" i="1" s="1"/>
  <c r="CV109" i="1"/>
  <c r="U109" i="1" s="1"/>
  <c r="CW109" i="1"/>
  <c r="V109" i="1" s="1"/>
  <c r="CX109" i="1"/>
  <c r="W109" i="1" s="1"/>
  <c r="GL109" i="1"/>
  <c r="GN109" i="1"/>
  <c r="GP109" i="1"/>
  <c r="GV109" i="1"/>
  <c r="HC109" i="1" s="1"/>
  <c r="GX109" i="1" s="1"/>
  <c r="C110" i="1"/>
  <c r="D110" i="1"/>
  <c r="R110" i="1"/>
  <c r="S110" i="1"/>
  <c r="Y110" i="1" s="1"/>
  <c r="V110" i="1"/>
  <c r="AC110" i="1"/>
  <c r="P110" i="1" s="1"/>
  <c r="AE110" i="1"/>
  <c r="AD110" i="1" s="1"/>
  <c r="AB110" i="1" s="1"/>
  <c r="AF110" i="1"/>
  <c r="CT110" i="1" s="1"/>
  <c r="AG110" i="1"/>
  <c r="CU110" i="1" s="1"/>
  <c r="T110" i="1" s="1"/>
  <c r="AH110" i="1"/>
  <c r="CV110" i="1" s="1"/>
  <c r="U110" i="1" s="1"/>
  <c r="AI110" i="1"/>
  <c r="CW110" i="1" s="1"/>
  <c r="AJ110" i="1"/>
  <c r="CX110" i="1" s="1"/>
  <c r="W110" i="1" s="1"/>
  <c r="CQ110" i="1"/>
  <c r="CR110" i="1"/>
  <c r="CS110" i="1"/>
  <c r="GL110" i="1"/>
  <c r="GN110" i="1"/>
  <c r="GP110" i="1"/>
  <c r="GV110" i="1"/>
  <c r="HC110" i="1" s="1"/>
  <c r="GX110" i="1" s="1"/>
  <c r="C111" i="1"/>
  <c r="D111" i="1"/>
  <c r="T111" i="1"/>
  <c r="U111" i="1"/>
  <c r="AC111" i="1"/>
  <c r="AE111" i="1"/>
  <c r="CZ111" i="1" s="1"/>
  <c r="AF111" i="1"/>
  <c r="S111" i="1" s="1"/>
  <c r="AG111" i="1"/>
  <c r="AH111" i="1"/>
  <c r="AI111" i="1"/>
  <c r="CW111" i="1" s="1"/>
  <c r="V111" i="1" s="1"/>
  <c r="AJ111" i="1"/>
  <c r="CU111" i="1"/>
  <c r="CV111" i="1"/>
  <c r="CX111" i="1"/>
  <c r="W111" i="1" s="1"/>
  <c r="CY111" i="1"/>
  <c r="GL111" i="1"/>
  <c r="GN111" i="1"/>
  <c r="GP111" i="1"/>
  <c r="GV111" i="1"/>
  <c r="HC111" i="1" s="1"/>
  <c r="GX111" i="1" s="1"/>
  <c r="C112" i="1"/>
  <c r="D112" i="1"/>
  <c r="P112" i="1"/>
  <c r="U112" i="1"/>
  <c r="X112" i="1"/>
  <c r="Y112" i="1"/>
  <c r="AC112" i="1"/>
  <c r="AD112" i="1"/>
  <c r="AE112" i="1"/>
  <c r="Q112" i="1" s="1"/>
  <c r="AF112" i="1"/>
  <c r="S112" i="1" s="1"/>
  <c r="CY112" i="1" s="1"/>
  <c r="AG112" i="1"/>
  <c r="AH112" i="1"/>
  <c r="CV112" i="1" s="1"/>
  <c r="AI112" i="1"/>
  <c r="CW112" i="1" s="1"/>
  <c r="V112" i="1" s="1"/>
  <c r="AJ112" i="1"/>
  <c r="CX112" i="1" s="1"/>
  <c r="W112" i="1" s="1"/>
  <c r="CP112" i="1"/>
  <c r="O112" i="1" s="1"/>
  <c r="GM112" i="1" s="1"/>
  <c r="GO112" i="1" s="1"/>
  <c r="CQ112" i="1"/>
  <c r="CR112" i="1"/>
  <c r="CS112" i="1"/>
  <c r="CT112" i="1"/>
  <c r="CU112" i="1"/>
  <c r="T112" i="1" s="1"/>
  <c r="CZ112" i="1"/>
  <c r="GL112" i="1"/>
  <c r="GN112" i="1"/>
  <c r="GP112" i="1"/>
  <c r="GV112" i="1"/>
  <c r="HC112" i="1" s="1"/>
  <c r="GX112" i="1" s="1"/>
  <c r="R113" i="1"/>
  <c r="S113" i="1"/>
  <c r="X113" i="1" s="1"/>
  <c r="U113" i="1"/>
  <c r="AC113" i="1"/>
  <c r="AE113" i="1"/>
  <c r="CS113" i="1" s="1"/>
  <c r="AF113" i="1"/>
  <c r="CT113" i="1" s="1"/>
  <c r="AG113" i="1"/>
  <c r="CU113" i="1" s="1"/>
  <c r="T113" i="1" s="1"/>
  <c r="AH113" i="1"/>
  <c r="CV113" i="1" s="1"/>
  <c r="AI113" i="1"/>
  <c r="CW113" i="1" s="1"/>
  <c r="V113" i="1" s="1"/>
  <c r="AJ113" i="1"/>
  <c r="CX113" i="1" s="1"/>
  <c r="W113" i="1" s="1"/>
  <c r="CQ113" i="1"/>
  <c r="CR113" i="1"/>
  <c r="GL113" i="1"/>
  <c r="GN113" i="1"/>
  <c r="GO113" i="1"/>
  <c r="GP113" i="1"/>
  <c r="GV113" i="1"/>
  <c r="HC113" i="1"/>
  <c r="GX113" i="1" s="1"/>
  <c r="T114" i="1"/>
  <c r="AC114" i="1"/>
  <c r="CQ114" i="1" s="1"/>
  <c r="AE114" i="1"/>
  <c r="CR114" i="1" s="1"/>
  <c r="AF114" i="1"/>
  <c r="S114" i="1" s="1"/>
  <c r="AG114" i="1"/>
  <c r="AH114" i="1"/>
  <c r="AI114" i="1"/>
  <c r="AJ114" i="1"/>
  <c r="CT114" i="1"/>
  <c r="CU114" i="1"/>
  <c r="CV114" i="1"/>
  <c r="U114" i="1" s="1"/>
  <c r="CW114" i="1"/>
  <c r="V114" i="1" s="1"/>
  <c r="CX114" i="1"/>
  <c r="W114" i="1" s="1"/>
  <c r="CY114" i="1"/>
  <c r="GL114" i="1"/>
  <c r="GN114" i="1"/>
  <c r="GO114" i="1"/>
  <c r="GP114" i="1"/>
  <c r="GV114" i="1"/>
  <c r="HC114" i="1" s="1"/>
  <c r="GX114" i="1" s="1"/>
  <c r="C115" i="1"/>
  <c r="D115" i="1"/>
  <c r="S115" i="1"/>
  <c r="V115" i="1"/>
  <c r="X115" i="1"/>
  <c r="Y115" i="1"/>
  <c r="AC115" i="1"/>
  <c r="P115" i="1" s="1"/>
  <c r="AE115" i="1"/>
  <c r="AD115" i="1" s="1"/>
  <c r="AB115" i="1" s="1"/>
  <c r="AF115" i="1"/>
  <c r="AG115" i="1"/>
  <c r="CU115" i="1" s="1"/>
  <c r="T115" i="1" s="1"/>
  <c r="AH115" i="1"/>
  <c r="CV115" i="1" s="1"/>
  <c r="U115" i="1" s="1"/>
  <c r="AI115" i="1"/>
  <c r="CW115" i="1" s="1"/>
  <c r="AJ115" i="1"/>
  <c r="CX115" i="1" s="1"/>
  <c r="W115" i="1" s="1"/>
  <c r="CR115" i="1"/>
  <c r="CS115" i="1"/>
  <c r="CT115" i="1"/>
  <c r="CY115" i="1"/>
  <c r="CZ115" i="1"/>
  <c r="GL115" i="1"/>
  <c r="GN115" i="1"/>
  <c r="GP115" i="1"/>
  <c r="GV115" i="1"/>
  <c r="HC115" i="1" s="1"/>
  <c r="GX115" i="1" s="1"/>
  <c r="C116" i="1"/>
  <c r="D116" i="1"/>
  <c r="P116" i="1"/>
  <c r="CP116" i="1" s="1"/>
  <c r="O116" i="1" s="1"/>
  <c r="Q116" i="1"/>
  <c r="R116" i="1"/>
  <c r="S116" i="1"/>
  <c r="CY116" i="1" s="1"/>
  <c r="AC116" i="1"/>
  <c r="AD116" i="1"/>
  <c r="AE116" i="1"/>
  <c r="CR116" i="1" s="1"/>
  <c r="AF116" i="1"/>
  <c r="AG116" i="1"/>
  <c r="AH116" i="1"/>
  <c r="CV116" i="1" s="1"/>
  <c r="U116" i="1" s="1"/>
  <c r="AI116" i="1"/>
  <c r="AJ116" i="1"/>
  <c r="CX116" i="1" s="1"/>
  <c r="W116" i="1" s="1"/>
  <c r="CS116" i="1"/>
  <c r="CT116" i="1"/>
  <c r="CU116" i="1"/>
  <c r="T116" i="1" s="1"/>
  <c r="CW116" i="1"/>
  <c r="V116" i="1" s="1"/>
  <c r="GL116" i="1"/>
  <c r="GN116" i="1"/>
  <c r="GP116" i="1"/>
  <c r="GV116" i="1"/>
  <c r="HC116" i="1" s="1"/>
  <c r="GX116" i="1" s="1"/>
  <c r="Q117" i="1"/>
  <c r="W117" i="1"/>
  <c r="AC117" i="1"/>
  <c r="AD117" i="1"/>
  <c r="AE117" i="1"/>
  <c r="R117" i="1" s="1"/>
  <c r="AF117" i="1"/>
  <c r="S117" i="1" s="1"/>
  <c r="Y117" i="1" s="1"/>
  <c r="AG117" i="1"/>
  <c r="AH117" i="1"/>
  <c r="AI117" i="1"/>
  <c r="AJ117" i="1"/>
  <c r="CR117" i="1"/>
  <c r="CS117" i="1"/>
  <c r="CT117" i="1"/>
  <c r="CU117" i="1"/>
  <c r="T117" i="1" s="1"/>
  <c r="CV117" i="1"/>
  <c r="U117" i="1" s="1"/>
  <c r="CW117" i="1"/>
  <c r="V117" i="1" s="1"/>
  <c r="CX117" i="1"/>
  <c r="GL117" i="1"/>
  <c r="GN117" i="1"/>
  <c r="GO117" i="1"/>
  <c r="GP117" i="1"/>
  <c r="GV117" i="1"/>
  <c r="HC117" i="1" s="1"/>
  <c r="GX117" i="1" s="1"/>
  <c r="S118" i="1"/>
  <c r="X118" i="1" s="1"/>
  <c r="T118" i="1"/>
  <c r="AC118" i="1"/>
  <c r="AE118" i="1"/>
  <c r="AD118" i="1" s="1"/>
  <c r="AF118" i="1"/>
  <c r="AG118" i="1"/>
  <c r="CU118" i="1" s="1"/>
  <c r="AH118" i="1"/>
  <c r="CV118" i="1" s="1"/>
  <c r="U118" i="1" s="1"/>
  <c r="AI118" i="1"/>
  <c r="CW118" i="1" s="1"/>
  <c r="V118" i="1" s="1"/>
  <c r="AJ118" i="1"/>
  <c r="CR118" i="1"/>
  <c r="CS118" i="1"/>
  <c r="CT118" i="1"/>
  <c r="CX118" i="1"/>
  <c r="W118" i="1" s="1"/>
  <c r="CY118" i="1"/>
  <c r="CZ118" i="1"/>
  <c r="GL118" i="1"/>
  <c r="GN118" i="1"/>
  <c r="GO118" i="1"/>
  <c r="GP118" i="1"/>
  <c r="GV118" i="1"/>
  <c r="HC118" i="1"/>
  <c r="GX118" i="1" s="1"/>
  <c r="C119" i="1"/>
  <c r="D119" i="1"/>
  <c r="I119" i="1"/>
  <c r="K119" i="1"/>
  <c r="S119" i="1"/>
  <c r="X119" i="1" s="1"/>
  <c r="AC119" i="1"/>
  <c r="AE119" i="1"/>
  <c r="AF119" i="1"/>
  <c r="AG119" i="1"/>
  <c r="AH119" i="1"/>
  <c r="AI119" i="1"/>
  <c r="AJ119" i="1"/>
  <c r="CT119" i="1"/>
  <c r="CU119" i="1"/>
  <c r="T119" i="1" s="1"/>
  <c r="CV119" i="1"/>
  <c r="U119" i="1" s="1"/>
  <c r="CW119" i="1"/>
  <c r="V119" i="1" s="1"/>
  <c r="CX119" i="1"/>
  <c r="W119" i="1" s="1"/>
  <c r="GL119" i="1"/>
  <c r="GN119" i="1"/>
  <c r="GP119" i="1"/>
  <c r="GV119" i="1"/>
  <c r="HC119" i="1"/>
  <c r="GX119" i="1" s="1"/>
  <c r="C120" i="1"/>
  <c r="D120" i="1"/>
  <c r="I120" i="1"/>
  <c r="K120" i="1"/>
  <c r="S120" i="1"/>
  <c r="V120" i="1"/>
  <c r="X120" i="1"/>
  <c r="AC120" i="1"/>
  <c r="P120" i="1" s="1"/>
  <c r="AE120" i="1"/>
  <c r="Q120" i="1" s="1"/>
  <c r="AF120" i="1"/>
  <c r="AG120" i="1"/>
  <c r="AH120" i="1"/>
  <c r="AI120" i="1"/>
  <c r="AJ120" i="1"/>
  <c r="CQ120" i="1"/>
  <c r="CT120" i="1"/>
  <c r="CU120" i="1"/>
  <c r="T120" i="1" s="1"/>
  <c r="CV120" i="1"/>
  <c r="U120" i="1" s="1"/>
  <c r="CW120" i="1"/>
  <c r="CX120" i="1"/>
  <c r="W120" i="1" s="1"/>
  <c r="CZ120" i="1"/>
  <c r="GL120" i="1"/>
  <c r="GN120" i="1"/>
  <c r="GP120" i="1"/>
  <c r="GV120" i="1"/>
  <c r="GX120" i="1"/>
  <c r="HC120" i="1"/>
  <c r="P121" i="1"/>
  <c r="FR121" i="1" s="1"/>
  <c r="R121" i="1"/>
  <c r="W121" i="1"/>
  <c r="AC121" i="1"/>
  <c r="AD121" i="1"/>
  <c r="AB121" i="1" s="1"/>
  <c r="AE121" i="1"/>
  <c r="Q121" i="1" s="1"/>
  <c r="AF121" i="1"/>
  <c r="CT121" i="1" s="1"/>
  <c r="AG121" i="1"/>
  <c r="AH121" i="1"/>
  <c r="CV121" i="1" s="1"/>
  <c r="U121" i="1" s="1"/>
  <c r="AI121" i="1"/>
  <c r="AJ121" i="1"/>
  <c r="CX121" i="1" s="1"/>
  <c r="CQ121" i="1"/>
  <c r="CR121" i="1"/>
  <c r="CS121" i="1"/>
  <c r="CU121" i="1"/>
  <c r="T121" i="1" s="1"/>
  <c r="CW121" i="1"/>
  <c r="V121" i="1" s="1"/>
  <c r="GL121" i="1"/>
  <c r="GN121" i="1"/>
  <c r="GO121" i="1"/>
  <c r="GP121" i="1"/>
  <c r="GV121" i="1"/>
  <c r="HC121" i="1"/>
  <c r="GX121" i="1" s="1"/>
  <c r="R122" i="1"/>
  <c r="S122" i="1"/>
  <c r="AB122" i="1"/>
  <c r="AC122" i="1"/>
  <c r="P122" i="1" s="1"/>
  <c r="AD122" i="1"/>
  <c r="AE122" i="1"/>
  <c r="CR122" i="1" s="1"/>
  <c r="AF122" i="1"/>
  <c r="CT122" i="1" s="1"/>
  <c r="AG122" i="1"/>
  <c r="CU122" i="1" s="1"/>
  <c r="T122" i="1" s="1"/>
  <c r="AH122" i="1"/>
  <c r="CV122" i="1" s="1"/>
  <c r="U122" i="1" s="1"/>
  <c r="AI122" i="1"/>
  <c r="CW122" i="1" s="1"/>
  <c r="V122" i="1" s="1"/>
  <c r="AJ122" i="1"/>
  <c r="CQ122" i="1"/>
  <c r="CS122" i="1"/>
  <c r="CX122" i="1"/>
  <c r="W122" i="1" s="1"/>
  <c r="CZ122" i="1"/>
  <c r="GL122" i="1"/>
  <c r="GN122" i="1"/>
  <c r="GO122" i="1"/>
  <c r="GP122" i="1"/>
  <c r="GV122" i="1"/>
  <c r="HC122" i="1"/>
  <c r="GX122" i="1" s="1"/>
  <c r="T123" i="1"/>
  <c r="V123" i="1"/>
  <c r="AC123" i="1"/>
  <c r="AE123" i="1"/>
  <c r="AF123" i="1"/>
  <c r="S123" i="1" s="1"/>
  <c r="AG123" i="1"/>
  <c r="AH123" i="1"/>
  <c r="AI123" i="1"/>
  <c r="AJ123" i="1"/>
  <c r="CX123" i="1" s="1"/>
  <c r="W123" i="1" s="1"/>
  <c r="CT123" i="1"/>
  <c r="CU123" i="1"/>
  <c r="CV123" i="1"/>
  <c r="U123" i="1" s="1"/>
  <c r="CW123" i="1"/>
  <c r="GL123" i="1"/>
  <c r="GN123" i="1"/>
  <c r="GO123" i="1"/>
  <c r="GP123" i="1"/>
  <c r="GV123" i="1"/>
  <c r="GX123" i="1"/>
  <c r="HC123" i="1"/>
  <c r="P124" i="1"/>
  <c r="FR124" i="1" s="1"/>
  <c r="R124" i="1"/>
  <c r="AC124" i="1"/>
  <c r="AD124" i="1"/>
  <c r="AB124" i="1" s="1"/>
  <c r="AE124" i="1"/>
  <c r="Q124" i="1" s="1"/>
  <c r="AF124" i="1"/>
  <c r="CT124" i="1" s="1"/>
  <c r="AG124" i="1"/>
  <c r="AH124" i="1"/>
  <c r="CV124" i="1" s="1"/>
  <c r="U124" i="1" s="1"/>
  <c r="AI124" i="1"/>
  <c r="AJ124" i="1"/>
  <c r="CX124" i="1" s="1"/>
  <c r="W124" i="1" s="1"/>
  <c r="CQ124" i="1"/>
  <c r="CR124" i="1"/>
  <c r="CS124" i="1"/>
  <c r="CU124" i="1"/>
  <c r="T124" i="1" s="1"/>
  <c r="CW124" i="1"/>
  <c r="V124" i="1" s="1"/>
  <c r="GL124" i="1"/>
  <c r="GN124" i="1"/>
  <c r="GO124" i="1"/>
  <c r="GP124" i="1"/>
  <c r="GV124" i="1"/>
  <c r="HC124" i="1"/>
  <c r="GX124" i="1" s="1"/>
  <c r="C125" i="1"/>
  <c r="D125" i="1"/>
  <c r="P125" i="1"/>
  <c r="S125" i="1"/>
  <c r="V125" i="1"/>
  <c r="AC125" i="1"/>
  <c r="AE125" i="1"/>
  <c r="AF125" i="1"/>
  <c r="CT125" i="1" s="1"/>
  <c r="AG125" i="1"/>
  <c r="CU125" i="1" s="1"/>
  <c r="T125" i="1" s="1"/>
  <c r="AH125" i="1"/>
  <c r="AI125" i="1"/>
  <c r="AJ125" i="1"/>
  <c r="CQ125" i="1"/>
  <c r="CV125" i="1"/>
  <c r="U125" i="1" s="1"/>
  <c r="CW125" i="1"/>
  <c r="CX125" i="1"/>
  <c r="W125" i="1" s="1"/>
  <c r="GL125" i="1"/>
  <c r="GN125" i="1"/>
  <c r="GP125" i="1"/>
  <c r="GV125" i="1"/>
  <c r="HC125" i="1"/>
  <c r="GX125" i="1" s="1"/>
  <c r="C126" i="1"/>
  <c r="D126" i="1"/>
  <c r="S126" i="1"/>
  <c r="CY126" i="1" s="1"/>
  <c r="X126" i="1"/>
  <c r="AC126" i="1"/>
  <c r="P126" i="1" s="1"/>
  <c r="AE126" i="1"/>
  <c r="AD126" i="1" s="1"/>
  <c r="AB126" i="1" s="1"/>
  <c r="AF126" i="1"/>
  <c r="AG126" i="1"/>
  <c r="CU126" i="1" s="1"/>
  <c r="T126" i="1" s="1"/>
  <c r="AH126" i="1"/>
  <c r="AI126" i="1"/>
  <c r="CW126" i="1" s="1"/>
  <c r="V126" i="1" s="1"/>
  <c r="AJ126" i="1"/>
  <c r="CQ126" i="1"/>
  <c r="CS126" i="1"/>
  <c r="CT126" i="1"/>
  <c r="CV126" i="1"/>
  <c r="U126" i="1" s="1"/>
  <c r="CX126" i="1"/>
  <c r="W126" i="1" s="1"/>
  <c r="GL126" i="1"/>
  <c r="GN126" i="1"/>
  <c r="GP126" i="1"/>
  <c r="GV126" i="1"/>
  <c r="HC126" i="1"/>
  <c r="GX126" i="1" s="1"/>
  <c r="C127" i="1"/>
  <c r="D127" i="1"/>
  <c r="R127" i="1"/>
  <c r="S127" i="1"/>
  <c r="AC127" i="1"/>
  <c r="P127" i="1" s="1"/>
  <c r="AE127" i="1"/>
  <c r="CR127" i="1" s="1"/>
  <c r="AF127" i="1"/>
  <c r="CT127" i="1" s="1"/>
  <c r="AG127" i="1"/>
  <c r="CU127" i="1" s="1"/>
  <c r="T127" i="1" s="1"/>
  <c r="AH127" i="1"/>
  <c r="CV127" i="1" s="1"/>
  <c r="U127" i="1" s="1"/>
  <c r="AI127" i="1"/>
  <c r="CW127" i="1" s="1"/>
  <c r="V127" i="1" s="1"/>
  <c r="AJ127" i="1"/>
  <c r="CQ127" i="1"/>
  <c r="CS127" i="1"/>
  <c r="CX127" i="1"/>
  <c r="W127" i="1" s="1"/>
  <c r="CZ127" i="1"/>
  <c r="GL127" i="1"/>
  <c r="GN127" i="1"/>
  <c r="GP127" i="1"/>
  <c r="GV127" i="1"/>
  <c r="HC127" i="1" s="1"/>
  <c r="GX127" i="1" s="1"/>
  <c r="C128" i="1"/>
  <c r="D128" i="1"/>
  <c r="P128" i="1"/>
  <c r="CP128" i="1" s="1"/>
  <c r="O128" i="1" s="1"/>
  <c r="S128" i="1"/>
  <c r="CY128" i="1" s="1"/>
  <c r="U128" i="1"/>
  <c r="AC128" i="1"/>
  <c r="CQ128" i="1" s="1"/>
  <c r="AD128" i="1"/>
  <c r="AB128" i="1" s="1"/>
  <c r="AE128" i="1"/>
  <c r="Q128" i="1" s="1"/>
  <c r="AF128" i="1"/>
  <c r="AG128" i="1"/>
  <c r="AH128" i="1"/>
  <c r="AI128" i="1"/>
  <c r="CW128" i="1" s="1"/>
  <c r="V128" i="1" s="1"/>
  <c r="AJ128" i="1"/>
  <c r="CS128" i="1"/>
  <c r="CT128" i="1"/>
  <c r="CU128" i="1"/>
  <c r="T128" i="1" s="1"/>
  <c r="CV128" i="1"/>
  <c r="CX128" i="1"/>
  <c r="W128" i="1" s="1"/>
  <c r="CZ128" i="1"/>
  <c r="GL128" i="1"/>
  <c r="GN128" i="1"/>
  <c r="GP128" i="1"/>
  <c r="GV128" i="1"/>
  <c r="GX128" i="1"/>
  <c r="HC128" i="1"/>
  <c r="P129" i="1"/>
  <c r="FR129" i="1" s="1"/>
  <c r="R129" i="1"/>
  <c r="AC129" i="1"/>
  <c r="AD129" i="1"/>
  <c r="AB129" i="1" s="1"/>
  <c r="AE129" i="1"/>
  <c r="Q129" i="1" s="1"/>
  <c r="AF129" i="1"/>
  <c r="AG129" i="1"/>
  <c r="AH129" i="1"/>
  <c r="CV129" i="1" s="1"/>
  <c r="U129" i="1" s="1"/>
  <c r="AI129" i="1"/>
  <c r="AJ129" i="1"/>
  <c r="CX129" i="1" s="1"/>
  <c r="W129" i="1" s="1"/>
  <c r="CQ129" i="1"/>
  <c r="CR129" i="1"/>
  <c r="CS129" i="1"/>
  <c r="CU129" i="1"/>
  <c r="T129" i="1" s="1"/>
  <c r="CW129" i="1"/>
  <c r="V129" i="1" s="1"/>
  <c r="GL129" i="1"/>
  <c r="GN129" i="1"/>
  <c r="GO129" i="1"/>
  <c r="GP129" i="1"/>
  <c r="GV129" i="1"/>
  <c r="HC129" i="1"/>
  <c r="GX129" i="1" s="1"/>
  <c r="R130" i="1"/>
  <c r="S130" i="1"/>
  <c r="U130" i="1"/>
  <c r="AC130" i="1"/>
  <c r="P130" i="1" s="1"/>
  <c r="AE130" i="1"/>
  <c r="CR130" i="1" s="1"/>
  <c r="AF130" i="1"/>
  <c r="CT130" i="1" s="1"/>
  <c r="AG130" i="1"/>
  <c r="CU130" i="1" s="1"/>
  <c r="T130" i="1" s="1"/>
  <c r="AH130" i="1"/>
  <c r="CV130" i="1" s="1"/>
  <c r="AI130" i="1"/>
  <c r="CW130" i="1" s="1"/>
  <c r="V130" i="1" s="1"/>
  <c r="AJ130" i="1"/>
  <c r="CQ130" i="1"/>
  <c r="CS130" i="1"/>
  <c r="CX130" i="1"/>
  <c r="W130" i="1" s="1"/>
  <c r="GL130" i="1"/>
  <c r="GN130" i="1"/>
  <c r="GO130" i="1"/>
  <c r="GP130" i="1"/>
  <c r="GV130" i="1"/>
  <c r="HC130" i="1"/>
  <c r="GX130" i="1" s="1"/>
  <c r="C131" i="1"/>
  <c r="D131" i="1"/>
  <c r="R131" i="1"/>
  <c r="T131" i="1"/>
  <c r="Y131" i="1"/>
  <c r="AC131" i="1"/>
  <c r="AD131" i="1"/>
  <c r="AE131" i="1"/>
  <c r="Q131" i="1" s="1"/>
  <c r="AF131" i="1"/>
  <c r="S131" i="1" s="1"/>
  <c r="AG131" i="1"/>
  <c r="AH131" i="1"/>
  <c r="CV131" i="1" s="1"/>
  <c r="U131" i="1" s="1"/>
  <c r="AI131" i="1"/>
  <c r="AJ131" i="1"/>
  <c r="CX131" i="1" s="1"/>
  <c r="W131" i="1" s="1"/>
  <c r="CR131" i="1"/>
  <c r="CS131" i="1"/>
  <c r="CU131" i="1"/>
  <c r="CW131" i="1"/>
  <c r="V131" i="1" s="1"/>
  <c r="CY131" i="1"/>
  <c r="GL131" i="1"/>
  <c r="GN131" i="1"/>
  <c r="GP131" i="1"/>
  <c r="GV131" i="1"/>
  <c r="HC131" i="1" s="1"/>
  <c r="GX131" i="1" s="1"/>
  <c r="C132" i="1"/>
  <c r="D132" i="1"/>
  <c r="R132" i="1"/>
  <c r="S132" i="1"/>
  <c r="X132" i="1" s="1"/>
  <c r="V132" i="1"/>
  <c r="Y132" i="1"/>
  <c r="AC132" i="1"/>
  <c r="AD132" i="1"/>
  <c r="AE132" i="1"/>
  <c r="CS132" i="1" s="1"/>
  <c r="AF132" i="1"/>
  <c r="AG132" i="1"/>
  <c r="CU132" i="1" s="1"/>
  <c r="T132" i="1" s="1"/>
  <c r="AH132" i="1"/>
  <c r="CV132" i="1" s="1"/>
  <c r="U132" i="1" s="1"/>
  <c r="AI132" i="1"/>
  <c r="CW132" i="1" s="1"/>
  <c r="AJ132" i="1"/>
  <c r="CX132" i="1" s="1"/>
  <c r="W132" i="1" s="1"/>
  <c r="CR132" i="1"/>
  <c r="CT132" i="1"/>
  <c r="CY132" i="1"/>
  <c r="CZ132" i="1"/>
  <c r="GL132" i="1"/>
  <c r="GN132" i="1"/>
  <c r="GP132" i="1"/>
  <c r="GV132" i="1"/>
  <c r="HC132" i="1" s="1"/>
  <c r="GX132" i="1" s="1"/>
  <c r="C133" i="1"/>
  <c r="D133" i="1"/>
  <c r="Q133" i="1"/>
  <c r="T133" i="1"/>
  <c r="V133" i="1"/>
  <c r="AC133" i="1"/>
  <c r="AE133" i="1"/>
  <c r="AF133" i="1"/>
  <c r="S133" i="1" s="1"/>
  <c r="AG133" i="1"/>
  <c r="AH133" i="1"/>
  <c r="AI133" i="1"/>
  <c r="AJ133" i="1"/>
  <c r="CX133" i="1" s="1"/>
  <c r="W133" i="1" s="1"/>
  <c r="CT133" i="1"/>
  <c r="CU133" i="1"/>
  <c r="CV133" i="1"/>
  <c r="U133" i="1" s="1"/>
  <c r="CW133" i="1"/>
  <c r="CY133" i="1"/>
  <c r="GL133" i="1"/>
  <c r="GN133" i="1"/>
  <c r="GP133" i="1"/>
  <c r="GV133" i="1"/>
  <c r="HC133" i="1"/>
  <c r="GX133" i="1" s="1"/>
  <c r="C134" i="1"/>
  <c r="D134" i="1"/>
  <c r="V134" i="1"/>
  <c r="AC134" i="1"/>
  <c r="AE134" i="1"/>
  <c r="Q134" i="1" s="1"/>
  <c r="AF134" i="1"/>
  <c r="S134" i="1" s="1"/>
  <c r="X134" i="1" s="1"/>
  <c r="AG134" i="1"/>
  <c r="CU134" i="1" s="1"/>
  <c r="T134" i="1" s="1"/>
  <c r="AH134" i="1"/>
  <c r="AI134" i="1"/>
  <c r="CW134" i="1" s="1"/>
  <c r="AJ134" i="1"/>
  <c r="CX134" i="1" s="1"/>
  <c r="W134" i="1" s="1"/>
  <c r="CT134" i="1"/>
  <c r="CV134" i="1"/>
  <c r="U134" i="1" s="1"/>
  <c r="GL134" i="1"/>
  <c r="GN134" i="1"/>
  <c r="GP134" i="1"/>
  <c r="GV134" i="1"/>
  <c r="HC134" i="1"/>
  <c r="GX134" i="1" s="1"/>
  <c r="R135" i="1"/>
  <c r="S135" i="1"/>
  <c r="X135" i="1"/>
  <c r="AC135" i="1"/>
  <c r="P135" i="1" s="1"/>
  <c r="AE135" i="1"/>
  <c r="CR135" i="1" s="1"/>
  <c r="AF135" i="1"/>
  <c r="CT135" i="1" s="1"/>
  <c r="AG135" i="1"/>
  <c r="CU135" i="1" s="1"/>
  <c r="T135" i="1" s="1"/>
  <c r="AH135" i="1"/>
  <c r="CV135" i="1" s="1"/>
  <c r="U135" i="1" s="1"/>
  <c r="AI135" i="1"/>
  <c r="CW135" i="1" s="1"/>
  <c r="V135" i="1" s="1"/>
  <c r="AJ135" i="1"/>
  <c r="CX135" i="1" s="1"/>
  <c r="W135" i="1" s="1"/>
  <c r="CQ135" i="1"/>
  <c r="CS135" i="1"/>
  <c r="CZ135" i="1"/>
  <c r="GL135" i="1"/>
  <c r="GN135" i="1"/>
  <c r="GO135" i="1"/>
  <c r="GP135" i="1"/>
  <c r="GV135" i="1"/>
  <c r="HC135" i="1"/>
  <c r="GX135" i="1" s="1"/>
  <c r="R136" i="1"/>
  <c r="T136" i="1"/>
  <c r="V136" i="1"/>
  <c r="AC136" i="1"/>
  <c r="AE136" i="1"/>
  <c r="AF136" i="1"/>
  <c r="AG136" i="1"/>
  <c r="AH136" i="1"/>
  <c r="CV136" i="1" s="1"/>
  <c r="U136" i="1" s="1"/>
  <c r="AI136" i="1"/>
  <c r="AJ136" i="1"/>
  <c r="CX136" i="1" s="1"/>
  <c r="W136" i="1" s="1"/>
  <c r="CU136" i="1"/>
  <c r="CW136" i="1"/>
  <c r="GL136" i="1"/>
  <c r="GN136" i="1"/>
  <c r="GO136" i="1"/>
  <c r="GP136" i="1"/>
  <c r="GV136" i="1"/>
  <c r="GX136" i="1"/>
  <c r="HC136" i="1"/>
  <c r="C137" i="1"/>
  <c r="D137" i="1"/>
  <c r="P137" i="1"/>
  <c r="S137" i="1"/>
  <c r="Y137" i="1" s="1"/>
  <c r="U137" i="1"/>
  <c r="X137" i="1"/>
  <c r="AC137" i="1"/>
  <c r="AD137" i="1"/>
  <c r="AB137" i="1" s="1"/>
  <c r="AE137" i="1"/>
  <c r="Q137" i="1" s="1"/>
  <c r="AF137" i="1"/>
  <c r="CT137" i="1" s="1"/>
  <c r="AG137" i="1"/>
  <c r="AH137" i="1"/>
  <c r="CV137" i="1" s="1"/>
  <c r="AI137" i="1"/>
  <c r="CW137" i="1" s="1"/>
  <c r="V137" i="1" s="1"/>
  <c r="AJ137" i="1"/>
  <c r="CX137" i="1" s="1"/>
  <c r="W137" i="1" s="1"/>
  <c r="CP137" i="1"/>
  <c r="O137" i="1" s="1"/>
  <c r="CQ137" i="1"/>
  <c r="CR137" i="1"/>
  <c r="CS137" i="1"/>
  <c r="CU137" i="1"/>
  <c r="T137" i="1" s="1"/>
  <c r="CY137" i="1"/>
  <c r="CZ137" i="1"/>
  <c r="GL137" i="1"/>
  <c r="GN137" i="1"/>
  <c r="GP137" i="1"/>
  <c r="GV137" i="1"/>
  <c r="GX137" i="1"/>
  <c r="HC137" i="1"/>
  <c r="C138" i="1"/>
  <c r="D138" i="1"/>
  <c r="P138" i="1"/>
  <c r="W138" i="1"/>
  <c r="AC138" i="1"/>
  <c r="CQ138" i="1" s="1"/>
  <c r="AE138" i="1"/>
  <c r="AF138" i="1"/>
  <c r="CT138" i="1" s="1"/>
  <c r="AG138" i="1"/>
  <c r="CU138" i="1" s="1"/>
  <c r="T138" i="1" s="1"/>
  <c r="AH138" i="1"/>
  <c r="AI138" i="1"/>
  <c r="CW138" i="1" s="1"/>
  <c r="V138" i="1" s="1"/>
  <c r="AJ138" i="1"/>
  <c r="CV138" i="1"/>
  <c r="U138" i="1" s="1"/>
  <c r="CX138" i="1"/>
  <c r="GL138" i="1"/>
  <c r="GN138" i="1"/>
  <c r="GP138" i="1"/>
  <c r="GV138" i="1"/>
  <c r="HC138" i="1"/>
  <c r="GX138" i="1" s="1"/>
  <c r="R139" i="1"/>
  <c r="AB139" i="1"/>
  <c r="AC139" i="1"/>
  <c r="CQ139" i="1" s="1"/>
  <c r="AD139" i="1"/>
  <c r="AE139" i="1"/>
  <c r="Q139" i="1" s="1"/>
  <c r="AF139" i="1"/>
  <c r="AG139" i="1"/>
  <c r="AH139" i="1"/>
  <c r="CV139" i="1" s="1"/>
  <c r="U139" i="1" s="1"/>
  <c r="AI139" i="1"/>
  <c r="AJ139" i="1"/>
  <c r="CX139" i="1" s="1"/>
  <c r="W139" i="1" s="1"/>
  <c r="CR139" i="1"/>
  <c r="CS139" i="1"/>
  <c r="CU139" i="1"/>
  <c r="T139" i="1" s="1"/>
  <c r="CW139" i="1"/>
  <c r="V139" i="1" s="1"/>
  <c r="GL139" i="1"/>
  <c r="GN139" i="1"/>
  <c r="CB152" i="1" s="1"/>
  <c r="GO139" i="1"/>
  <c r="GP139" i="1"/>
  <c r="GV139" i="1"/>
  <c r="HC139" i="1" s="1"/>
  <c r="GX139" i="1" s="1"/>
  <c r="P140" i="1"/>
  <c r="FR140" i="1" s="1"/>
  <c r="S140" i="1"/>
  <c r="Y140" i="1" s="1"/>
  <c r="V140" i="1"/>
  <c r="X140" i="1"/>
  <c r="AC140" i="1"/>
  <c r="AD140" i="1"/>
  <c r="AB140" i="1" s="1"/>
  <c r="AE140" i="1"/>
  <c r="Q140" i="1" s="1"/>
  <c r="AF140" i="1"/>
  <c r="CT140" i="1" s="1"/>
  <c r="AG140" i="1"/>
  <c r="AH140" i="1"/>
  <c r="CV140" i="1" s="1"/>
  <c r="U140" i="1" s="1"/>
  <c r="AI140" i="1"/>
  <c r="CW140" i="1" s="1"/>
  <c r="AJ140" i="1"/>
  <c r="CX140" i="1" s="1"/>
  <c r="W140" i="1" s="1"/>
  <c r="CP140" i="1"/>
  <c r="O140" i="1" s="1"/>
  <c r="CQ140" i="1"/>
  <c r="CR140" i="1"/>
  <c r="CS140" i="1"/>
  <c r="CU140" i="1"/>
  <c r="T140" i="1" s="1"/>
  <c r="CZ140" i="1"/>
  <c r="GL140" i="1"/>
  <c r="GN140" i="1"/>
  <c r="GO140" i="1"/>
  <c r="GP140" i="1"/>
  <c r="GV140" i="1"/>
  <c r="HC140" i="1" s="1"/>
  <c r="GX140" i="1" s="1"/>
  <c r="C141" i="1"/>
  <c r="D141" i="1"/>
  <c r="I141" i="1"/>
  <c r="K141" i="1"/>
  <c r="AC141" i="1"/>
  <c r="AD141" i="1"/>
  <c r="AE141" i="1"/>
  <c r="AF141" i="1"/>
  <c r="AG141" i="1"/>
  <c r="AH141" i="1"/>
  <c r="AI141" i="1"/>
  <c r="AJ141" i="1"/>
  <c r="CX141" i="1" s="1"/>
  <c r="CR141" i="1"/>
  <c r="CS141" i="1"/>
  <c r="CT141" i="1"/>
  <c r="CU141" i="1"/>
  <c r="CV141" i="1"/>
  <c r="CW141" i="1"/>
  <c r="GL141" i="1"/>
  <c r="GN141" i="1"/>
  <c r="GP141" i="1"/>
  <c r="GV141" i="1"/>
  <c r="HC141" i="1"/>
  <c r="GX141" i="1" s="1"/>
  <c r="C142" i="1"/>
  <c r="D142" i="1"/>
  <c r="I142" i="1"/>
  <c r="P142" i="1" s="1"/>
  <c r="K142" i="1"/>
  <c r="S142" i="1"/>
  <c r="Y142" i="1" s="1"/>
  <c r="T142" i="1"/>
  <c r="W142" i="1"/>
  <c r="AC142" i="1"/>
  <c r="CQ142" i="1" s="1"/>
  <c r="AE142" i="1"/>
  <c r="AD142" i="1" s="1"/>
  <c r="AB142" i="1" s="1"/>
  <c r="AF142" i="1"/>
  <c r="CT142" i="1" s="1"/>
  <c r="AG142" i="1"/>
  <c r="AH142" i="1"/>
  <c r="AI142" i="1"/>
  <c r="CW142" i="1" s="1"/>
  <c r="V142" i="1" s="1"/>
  <c r="AJ142" i="1"/>
  <c r="CS142" i="1"/>
  <c r="CU142" i="1"/>
  <c r="CV142" i="1"/>
  <c r="U142" i="1" s="1"/>
  <c r="CX142" i="1"/>
  <c r="GL142" i="1"/>
  <c r="GN142" i="1"/>
  <c r="GP142" i="1"/>
  <c r="GV142" i="1"/>
  <c r="HC142" i="1"/>
  <c r="GX142" i="1" s="1"/>
  <c r="P143" i="1"/>
  <c r="FR143" i="1" s="1"/>
  <c r="T143" i="1"/>
  <c r="V143" i="1"/>
  <c r="W143" i="1"/>
  <c r="AB143" i="1"/>
  <c r="AC143" i="1"/>
  <c r="CQ143" i="1" s="1"/>
  <c r="AD143" i="1"/>
  <c r="AE143" i="1"/>
  <c r="Q143" i="1" s="1"/>
  <c r="AF143" i="1"/>
  <c r="S143" i="1" s="1"/>
  <c r="AG143" i="1"/>
  <c r="AH143" i="1"/>
  <c r="AI143" i="1"/>
  <c r="AJ143" i="1"/>
  <c r="CR143" i="1"/>
  <c r="CT143" i="1"/>
  <c r="CU143" i="1"/>
  <c r="CV143" i="1"/>
  <c r="U143" i="1" s="1"/>
  <c r="CW143" i="1"/>
  <c r="CX143" i="1"/>
  <c r="GL143" i="1"/>
  <c r="BZ152" i="1" s="1"/>
  <c r="GN143" i="1"/>
  <c r="GO143" i="1"/>
  <c r="GP143" i="1"/>
  <c r="GV143" i="1"/>
  <c r="HC143" i="1" s="1"/>
  <c r="GX143" i="1"/>
  <c r="R144" i="1"/>
  <c r="AC144" i="1"/>
  <c r="AD144" i="1"/>
  <c r="AE144" i="1"/>
  <c r="Q144" i="1" s="1"/>
  <c r="AF144" i="1"/>
  <c r="S144" i="1" s="1"/>
  <c r="AG144" i="1"/>
  <c r="CU144" i="1" s="1"/>
  <c r="T144" i="1" s="1"/>
  <c r="AH144" i="1"/>
  <c r="CV144" i="1" s="1"/>
  <c r="U144" i="1" s="1"/>
  <c r="AI144" i="1"/>
  <c r="AJ144" i="1"/>
  <c r="CX144" i="1" s="1"/>
  <c r="W144" i="1" s="1"/>
  <c r="CR144" i="1"/>
  <c r="CS144" i="1"/>
  <c r="CT144" i="1"/>
  <c r="CW144" i="1"/>
  <c r="V144" i="1" s="1"/>
  <c r="GL144" i="1"/>
  <c r="GN144" i="1"/>
  <c r="GO144" i="1"/>
  <c r="GP144" i="1"/>
  <c r="GV144" i="1"/>
  <c r="HC144" i="1"/>
  <c r="GX144" i="1" s="1"/>
  <c r="S145" i="1"/>
  <c r="AC145" i="1"/>
  <c r="P145" i="1" s="1"/>
  <c r="FR145" i="1" s="1"/>
  <c r="AE145" i="1"/>
  <c r="AF145" i="1"/>
  <c r="AG145" i="1"/>
  <c r="CU145" i="1" s="1"/>
  <c r="T145" i="1" s="1"/>
  <c r="AH145" i="1"/>
  <c r="AI145" i="1"/>
  <c r="CW145" i="1" s="1"/>
  <c r="V145" i="1" s="1"/>
  <c r="AJ145" i="1"/>
  <c r="CQ145" i="1"/>
  <c r="CT145" i="1"/>
  <c r="CV145" i="1"/>
  <c r="U145" i="1" s="1"/>
  <c r="CX145" i="1"/>
  <c r="W145" i="1" s="1"/>
  <c r="GL145" i="1"/>
  <c r="GN145" i="1"/>
  <c r="GO145" i="1"/>
  <c r="GP145" i="1"/>
  <c r="GV145" i="1"/>
  <c r="HC145" i="1" s="1"/>
  <c r="GX145" i="1" s="1"/>
  <c r="Q146" i="1"/>
  <c r="R146" i="1"/>
  <c r="W146" i="1"/>
  <c r="AC146" i="1"/>
  <c r="P146" i="1" s="1"/>
  <c r="AD146" i="1"/>
  <c r="AB146" i="1" s="1"/>
  <c r="AE146" i="1"/>
  <c r="AF146" i="1"/>
  <c r="AG146" i="1"/>
  <c r="AH146" i="1"/>
  <c r="CV146" i="1" s="1"/>
  <c r="U146" i="1" s="1"/>
  <c r="AI146" i="1"/>
  <c r="AJ146" i="1"/>
  <c r="CQ146" i="1"/>
  <c r="CR146" i="1"/>
  <c r="CS146" i="1"/>
  <c r="CU146" i="1"/>
  <c r="T146" i="1" s="1"/>
  <c r="CW146" i="1"/>
  <c r="V146" i="1" s="1"/>
  <c r="CX146" i="1"/>
  <c r="GL146" i="1"/>
  <c r="GN146" i="1"/>
  <c r="GO146" i="1"/>
  <c r="GP146" i="1"/>
  <c r="GV146" i="1"/>
  <c r="HC146" i="1" s="1"/>
  <c r="GX146" i="1"/>
  <c r="P147" i="1"/>
  <c r="R147" i="1"/>
  <c r="U147" i="1"/>
  <c r="X147" i="1"/>
  <c r="AB147" i="1"/>
  <c r="AC147" i="1"/>
  <c r="AD147" i="1"/>
  <c r="AE147" i="1"/>
  <c r="Q147" i="1" s="1"/>
  <c r="AF147" i="1"/>
  <c r="S147" i="1" s="1"/>
  <c r="AG147" i="1"/>
  <c r="AH147" i="1"/>
  <c r="CV147" i="1" s="1"/>
  <c r="AI147" i="1"/>
  <c r="CW147" i="1" s="1"/>
  <c r="V147" i="1" s="1"/>
  <c r="AJ147" i="1"/>
  <c r="CQ147" i="1"/>
  <c r="CR147" i="1"/>
  <c r="CS147" i="1"/>
  <c r="CU147" i="1"/>
  <c r="T147" i="1" s="1"/>
  <c r="CX147" i="1"/>
  <c r="W147" i="1" s="1"/>
  <c r="FR147" i="1"/>
  <c r="GL147" i="1"/>
  <c r="GN147" i="1"/>
  <c r="GO147" i="1"/>
  <c r="GP147" i="1"/>
  <c r="CD152" i="1" s="1"/>
  <c r="GV147" i="1"/>
  <c r="HC147" i="1"/>
  <c r="GX147" i="1" s="1"/>
  <c r="S148" i="1"/>
  <c r="V148" i="1"/>
  <c r="X148" i="1"/>
  <c r="AC148" i="1"/>
  <c r="AE148" i="1"/>
  <c r="CR148" i="1" s="1"/>
  <c r="AF148" i="1"/>
  <c r="AG148" i="1"/>
  <c r="AH148" i="1"/>
  <c r="CV148" i="1" s="1"/>
  <c r="U148" i="1" s="1"/>
  <c r="AI148" i="1"/>
  <c r="AJ148" i="1"/>
  <c r="CX148" i="1" s="1"/>
  <c r="W148" i="1" s="1"/>
  <c r="CS148" i="1"/>
  <c r="CT148" i="1"/>
  <c r="CU148" i="1"/>
  <c r="T148" i="1" s="1"/>
  <c r="CW148" i="1"/>
  <c r="GL148" i="1"/>
  <c r="GN148" i="1"/>
  <c r="GO148" i="1"/>
  <c r="GP148" i="1"/>
  <c r="GV148" i="1"/>
  <c r="HC148" i="1" s="1"/>
  <c r="GX148" i="1" s="1"/>
  <c r="Q149" i="1"/>
  <c r="R149" i="1"/>
  <c r="T149" i="1"/>
  <c r="W149" i="1"/>
  <c r="AC149" i="1"/>
  <c r="AB149" i="1" s="1"/>
  <c r="AE149" i="1"/>
  <c r="AD149" i="1" s="1"/>
  <c r="AF149" i="1"/>
  <c r="S149" i="1" s="1"/>
  <c r="AG149" i="1"/>
  <c r="CU149" i="1" s="1"/>
  <c r="AH149" i="1"/>
  <c r="CV149" i="1" s="1"/>
  <c r="U149" i="1" s="1"/>
  <c r="AI149" i="1"/>
  <c r="AJ149" i="1"/>
  <c r="CR149" i="1"/>
  <c r="CS149" i="1"/>
  <c r="CT149" i="1"/>
  <c r="CW149" i="1"/>
  <c r="V149" i="1" s="1"/>
  <c r="CX149" i="1"/>
  <c r="GL149" i="1"/>
  <c r="GN149" i="1"/>
  <c r="GO149" i="1"/>
  <c r="GP149" i="1"/>
  <c r="GV149" i="1"/>
  <c r="HC149" i="1" s="1"/>
  <c r="GX149" i="1" s="1"/>
  <c r="R150" i="1"/>
  <c r="T150" i="1"/>
  <c r="DY152" i="1" s="1"/>
  <c r="V150" i="1"/>
  <c r="AC150" i="1"/>
  <c r="AE150" i="1"/>
  <c r="CR150" i="1" s="1"/>
  <c r="AF150" i="1"/>
  <c r="AG150" i="1"/>
  <c r="AH150" i="1"/>
  <c r="CV150" i="1" s="1"/>
  <c r="U150" i="1" s="1"/>
  <c r="AI150" i="1"/>
  <c r="AJ150" i="1"/>
  <c r="CX150" i="1" s="1"/>
  <c r="W150" i="1" s="1"/>
  <c r="CQ150" i="1"/>
  <c r="CU150" i="1"/>
  <c r="CW150" i="1"/>
  <c r="GL150" i="1"/>
  <c r="GN150" i="1"/>
  <c r="GO150" i="1"/>
  <c r="GP150" i="1"/>
  <c r="GV150" i="1"/>
  <c r="HC150" i="1"/>
  <c r="GX150" i="1" s="1"/>
  <c r="B152" i="1"/>
  <c r="B85" i="1" s="1"/>
  <c r="C152" i="1"/>
  <c r="C85" i="1" s="1"/>
  <c r="D152" i="1"/>
  <c r="D85" i="1" s="1"/>
  <c r="F152" i="1"/>
  <c r="F85" i="1" s="1"/>
  <c r="G152" i="1"/>
  <c r="G85" i="1" s="1"/>
  <c r="AO152" i="1"/>
  <c r="BC152" i="1"/>
  <c r="BX152" i="1"/>
  <c r="BX85" i="1" s="1"/>
  <c r="CK152" i="1"/>
  <c r="CL152" i="1"/>
  <c r="CL85" i="1" s="1"/>
  <c r="CM152" i="1"/>
  <c r="CM85" i="1" s="1"/>
  <c r="EA152" i="1"/>
  <c r="ET152" i="1"/>
  <c r="FP152" i="1"/>
  <c r="FY152" i="1" s="1"/>
  <c r="FR152" i="1"/>
  <c r="FR85" i="1" s="1"/>
  <c r="FT152" i="1"/>
  <c r="FT85" i="1" s="1"/>
  <c r="GC152" i="1"/>
  <c r="GC85" i="1" s="1"/>
  <c r="GD152" i="1"/>
  <c r="GE152" i="1"/>
  <c r="GE85" i="1" s="1"/>
  <c r="D182" i="1"/>
  <c r="E184" i="1"/>
  <c r="Z184" i="1"/>
  <c r="AA184" i="1"/>
  <c r="AM184" i="1"/>
  <c r="AN184" i="1"/>
  <c r="BE184" i="1"/>
  <c r="BF184" i="1"/>
  <c r="BG184" i="1"/>
  <c r="BH184" i="1"/>
  <c r="BI184" i="1"/>
  <c r="BJ184" i="1"/>
  <c r="BK184" i="1"/>
  <c r="BL184" i="1"/>
  <c r="BM184" i="1"/>
  <c r="BN184" i="1"/>
  <c r="BO184" i="1"/>
  <c r="BP184" i="1"/>
  <c r="BQ184" i="1"/>
  <c r="BR184" i="1"/>
  <c r="BS184" i="1"/>
  <c r="BT184" i="1"/>
  <c r="BU184" i="1"/>
  <c r="BV184" i="1"/>
  <c r="BW184" i="1"/>
  <c r="CN184" i="1"/>
  <c r="CO184" i="1"/>
  <c r="CP184" i="1"/>
  <c r="CQ184" i="1"/>
  <c r="CR184" i="1"/>
  <c r="CS184" i="1"/>
  <c r="CT184" i="1"/>
  <c r="CU184" i="1"/>
  <c r="CV184" i="1"/>
  <c r="CW184" i="1"/>
  <c r="CX184" i="1"/>
  <c r="CY184" i="1"/>
  <c r="CZ184" i="1"/>
  <c r="DA184" i="1"/>
  <c r="DB184" i="1"/>
  <c r="DC184" i="1"/>
  <c r="DD184" i="1"/>
  <c r="DE184" i="1"/>
  <c r="DF184" i="1"/>
  <c r="DR184" i="1"/>
  <c r="DS184" i="1"/>
  <c r="EE184" i="1"/>
  <c r="EF184" i="1"/>
  <c r="EW184" i="1"/>
  <c r="EX184" i="1"/>
  <c r="EY184" i="1"/>
  <c r="EZ184" i="1"/>
  <c r="FA184" i="1"/>
  <c r="FB184" i="1"/>
  <c r="FC184" i="1"/>
  <c r="FD184" i="1"/>
  <c r="FE184" i="1"/>
  <c r="FF184" i="1"/>
  <c r="FG184" i="1"/>
  <c r="FH184" i="1"/>
  <c r="FI184" i="1"/>
  <c r="FJ184" i="1"/>
  <c r="FK184" i="1"/>
  <c r="FL184" i="1"/>
  <c r="FM184" i="1"/>
  <c r="FN184" i="1"/>
  <c r="FO184" i="1"/>
  <c r="GF184" i="1"/>
  <c r="GG184" i="1"/>
  <c r="GH184" i="1"/>
  <c r="GI184" i="1"/>
  <c r="GJ184" i="1"/>
  <c r="GK184" i="1"/>
  <c r="GL184" i="1"/>
  <c r="GM184" i="1"/>
  <c r="GN184" i="1"/>
  <c r="GO184" i="1"/>
  <c r="GP184" i="1"/>
  <c r="GQ184" i="1"/>
  <c r="GR184" i="1"/>
  <c r="GS184" i="1"/>
  <c r="GT184" i="1"/>
  <c r="GU184" i="1"/>
  <c r="GV184" i="1"/>
  <c r="GW184" i="1"/>
  <c r="GX184" i="1"/>
  <c r="C186" i="1"/>
  <c r="D186" i="1"/>
  <c r="I186" i="1"/>
  <c r="P186" i="1" s="1"/>
  <c r="K186" i="1"/>
  <c r="AC186" i="1"/>
  <c r="AD186" i="1"/>
  <c r="AE186" i="1"/>
  <c r="AF186" i="1"/>
  <c r="CT186" i="1" s="1"/>
  <c r="AG186" i="1"/>
  <c r="AH186" i="1"/>
  <c r="CV186" i="1" s="1"/>
  <c r="AI186" i="1"/>
  <c r="AJ186" i="1"/>
  <c r="CX186" i="1" s="1"/>
  <c r="CR186" i="1"/>
  <c r="CS186" i="1"/>
  <c r="CU186" i="1"/>
  <c r="T186" i="1" s="1"/>
  <c r="CW186" i="1"/>
  <c r="V186" i="1" s="1"/>
  <c r="GL186" i="1"/>
  <c r="GN186" i="1"/>
  <c r="GP186" i="1"/>
  <c r="GV186" i="1"/>
  <c r="HC186" i="1" s="1"/>
  <c r="GX186" i="1" s="1"/>
  <c r="C187" i="1"/>
  <c r="D187" i="1"/>
  <c r="I187" i="1"/>
  <c r="K187" i="1"/>
  <c r="R187" i="1"/>
  <c r="U187" i="1"/>
  <c r="W187" i="1"/>
  <c r="AC187" i="1"/>
  <c r="AE187" i="1"/>
  <c r="AD187" i="1" s="1"/>
  <c r="AF187" i="1"/>
  <c r="AG187" i="1"/>
  <c r="CU187" i="1" s="1"/>
  <c r="T187" i="1" s="1"/>
  <c r="AH187" i="1"/>
  <c r="CV187" i="1" s="1"/>
  <c r="AI187" i="1"/>
  <c r="CW187" i="1" s="1"/>
  <c r="V187" i="1" s="1"/>
  <c r="AJ187" i="1"/>
  <c r="CR187" i="1"/>
  <c r="CS187" i="1"/>
  <c r="CT187" i="1"/>
  <c r="CX187" i="1"/>
  <c r="GL187" i="1"/>
  <c r="GN187" i="1"/>
  <c r="GP187" i="1"/>
  <c r="GV187" i="1"/>
  <c r="HC187" i="1" s="1"/>
  <c r="GX187" i="1" s="1"/>
  <c r="C188" i="1"/>
  <c r="D188" i="1"/>
  <c r="I188" i="1"/>
  <c r="K188" i="1"/>
  <c r="P188" i="1"/>
  <c r="R188" i="1"/>
  <c r="T188" i="1"/>
  <c r="W188" i="1"/>
  <c r="AC188" i="1"/>
  <c r="AD188" i="1"/>
  <c r="AB188" i="1" s="1"/>
  <c r="AE188" i="1"/>
  <c r="AF188" i="1"/>
  <c r="AG188" i="1"/>
  <c r="AH188" i="1"/>
  <c r="CV188" i="1" s="1"/>
  <c r="U188" i="1" s="1"/>
  <c r="AI188" i="1"/>
  <c r="AJ188" i="1"/>
  <c r="CQ188" i="1"/>
  <c r="CR188" i="1"/>
  <c r="CS188" i="1"/>
  <c r="CU188" i="1"/>
  <c r="CW188" i="1"/>
  <c r="V188" i="1" s="1"/>
  <c r="CX188" i="1"/>
  <c r="GL188" i="1"/>
  <c r="GN188" i="1"/>
  <c r="GP188" i="1"/>
  <c r="GV188" i="1"/>
  <c r="HC188" i="1" s="1"/>
  <c r="GX188" i="1"/>
  <c r="C189" i="1"/>
  <c r="D189" i="1"/>
  <c r="I189" i="1"/>
  <c r="R189" i="1" s="1"/>
  <c r="K189" i="1"/>
  <c r="P189" i="1"/>
  <c r="AC189" i="1"/>
  <c r="AD189" i="1"/>
  <c r="AE189" i="1"/>
  <c r="CS189" i="1" s="1"/>
  <c r="AF189" i="1"/>
  <c r="CT189" i="1" s="1"/>
  <c r="AG189" i="1"/>
  <c r="AH189" i="1"/>
  <c r="AI189" i="1"/>
  <c r="AJ189" i="1"/>
  <c r="CQ189" i="1"/>
  <c r="CR189" i="1"/>
  <c r="CU189" i="1"/>
  <c r="T189" i="1" s="1"/>
  <c r="CV189" i="1"/>
  <c r="CW189" i="1"/>
  <c r="V189" i="1" s="1"/>
  <c r="CX189" i="1"/>
  <c r="W189" i="1" s="1"/>
  <c r="GL189" i="1"/>
  <c r="GN189" i="1"/>
  <c r="GP189" i="1"/>
  <c r="GV189" i="1"/>
  <c r="HC189" i="1"/>
  <c r="P190" i="1"/>
  <c r="CP190" i="1" s="1"/>
  <c r="O190" i="1" s="1"/>
  <c r="GM190" i="1" s="1"/>
  <c r="GO190" i="1" s="1"/>
  <c r="R190" i="1"/>
  <c r="U190" i="1"/>
  <c r="Y190" i="1"/>
  <c r="AC190" i="1"/>
  <c r="AD190" i="1"/>
  <c r="AE190" i="1"/>
  <c r="Q190" i="1" s="1"/>
  <c r="AF190" i="1"/>
  <c r="S190" i="1" s="1"/>
  <c r="X190" i="1" s="1"/>
  <c r="AG190" i="1"/>
  <c r="AH190" i="1"/>
  <c r="CV190" i="1" s="1"/>
  <c r="AI190" i="1"/>
  <c r="CW190" i="1" s="1"/>
  <c r="V190" i="1" s="1"/>
  <c r="AJ190" i="1"/>
  <c r="CX190" i="1" s="1"/>
  <c r="W190" i="1" s="1"/>
  <c r="CR190" i="1"/>
  <c r="CS190" i="1"/>
  <c r="CT190" i="1"/>
  <c r="CU190" i="1"/>
  <c r="T190" i="1" s="1"/>
  <c r="CY190" i="1"/>
  <c r="CZ190" i="1"/>
  <c r="GL190" i="1"/>
  <c r="GN190" i="1"/>
  <c r="GP190" i="1"/>
  <c r="GV190" i="1"/>
  <c r="HC190" i="1" s="1"/>
  <c r="GX190" i="1"/>
  <c r="Q191" i="1"/>
  <c r="R191" i="1"/>
  <c r="AC191" i="1"/>
  <c r="AE191" i="1"/>
  <c r="AF191" i="1"/>
  <c r="AG191" i="1"/>
  <c r="CU191" i="1" s="1"/>
  <c r="T191" i="1" s="1"/>
  <c r="AH191" i="1"/>
  <c r="AI191" i="1"/>
  <c r="AJ191" i="1"/>
  <c r="CX191" i="1" s="1"/>
  <c r="W191" i="1" s="1"/>
  <c r="CR191" i="1"/>
  <c r="CV191" i="1"/>
  <c r="U191" i="1" s="1"/>
  <c r="CW191" i="1"/>
  <c r="V191" i="1" s="1"/>
  <c r="GL191" i="1"/>
  <c r="GN191" i="1"/>
  <c r="GP191" i="1"/>
  <c r="GV191" i="1"/>
  <c r="HC191" i="1" s="1"/>
  <c r="GX191" i="1" s="1"/>
  <c r="P192" i="1"/>
  <c r="R192" i="1"/>
  <c r="S192" i="1"/>
  <c r="U192" i="1"/>
  <c r="AB192" i="1"/>
  <c r="AC192" i="1"/>
  <c r="AD192" i="1"/>
  <c r="AE192" i="1"/>
  <c r="Q192" i="1" s="1"/>
  <c r="AF192" i="1"/>
  <c r="AG192" i="1"/>
  <c r="CU192" i="1" s="1"/>
  <c r="T192" i="1" s="1"/>
  <c r="AH192" i="1"/>
  <c r="CV192" i="1" s="1"/>
  <c r="AI192" i="1"/>
  <c r="CW192" i="1" s="1"/>
  <c r="V192" i="1" s="1"/>
  <c r="AJ192" i="1"/>
  <c r="CQ192" i="1"/>
  <c r="CR192" i="1"/>
  <c r="CS192" i="1"/>
  <c r="CT192" i="1"/>
  <c r="CX192" i="1"/>
  <c r="W192" i="1" s="1"/>
  <c r="GL192" i="1"/>
  <c r="GN192" i="1"/>
  <c r="GP192" i="1"/>
  <c r="GV192" i="1"/>
  <c r="HC192" i="1" s="1"/>
  <c r="GX192" i="1"/>
  <c r="P193" i="1"/>
  <c r="Q193" i="1"/>
  <c r="R193" i="1"/>
  <c r="U193" i="1"/>
  <c r="AC193" i="1"/>
  <c r="AD193" i="1"/>
  <c r="AE193" i="1"/>
  <c r="CS193" i="1" s="1"/>
  <c r="AF193" i="1"/>
  <c r="AG193" i="1"/>
  <c r="AH193" i="1"/>
  <c r="AI193" i="1"/>
  <c r="AJ193" i="1"/>
  <c r="CQ193" i="1"/>
  <c r="CR193" i="1"/>
  <c r="CU193" i="1"/>
  <c r="T193" i="1" s="1"/>
  <c r="CV193" i="1"/>
  <c r="CW193" i="1"/>
  <c r="V193" i="1" s="1"/>
  <c r="CX193" i="1"/>
  <c r="W193" i="1" s="1"/>
  <c r="GL193" i="1"/>
  <c r="GN193" i="1"/>
  <c r="GP193" i="1"/>
  <c r="GV193" i="1"/>
  <c r="GX193" i="1"/>
  <c r="HC193" i="1"/>
  <c r="P194" i="1"/>
  <c r="CP194" i="1" s="1"/>
  <c r="O194" i="1" s="1"/>
  <c r="R194" i="1"/>
  <c r="T194" i="1"/>
  <c r="Y194" i="1"/>
  <c r="AC194" i="1"/>
  <c r="AD194" i="1"/>
  <c r="AE194" i="1"/>
  <c r="Q194" i="1" s="1"/>
  <c r="AF194" i="1"/>
  <c r="S194" i="1" s="1"/>
  <c r="X194" i="1" s="1"/>
  <c r="AG194" i="1"/>
  <c r="AH194" i="1"/>
  <c r="CV194" i="1" s="1"/>
  <c r="U194" i="1" s="1"/>
  <c r="AI194" i="1"/>
  <c r="AJ194" i="1"/>
  <c r="CX194" i="1" s="1"/>
  <c r="W194" i="1" s="1"/>
  <c r="CR194" i="1"/>
  <c r="CS194" i="1"/>
  <c r="CT194" i="1"/>
  <c r="CU194" i="1"/>
  <c r="CW194" i="1"/>
  <c r="V194" i="1" s="1"/>
  <c r="CZ194" i="1"/>
  <c r="GL194" i="1"/>
  <c r="GN194" i="1"/>
  <c r="GP194" i="1"/>
  <c r="GV194" i="1"/>
  <c r="HC194" i="1" s="1"/>
  <c r="GX194" i="1" s="1"/>
  <c r="Q195" i="1"/>
  <c r="R195" i="1"/>
  <c r="S195" i="1"/>
  <c r="AC195" i="1"/>
  <c r="AE195" i="1"/>
  <c r="AF195" i="1"/>
  <c r="CT195" i="1" s="1"/>
  <c r="AG195" i="1"/>
  <c r="CU195" i="1" s="1"/>
  <c r="T195" i="1" s="1"/>
  <c r="AH195" i="1"/>
  <c r="AI195" i="1"/>
  <c r="AJ195" i="1"/>
  <c r="CX195" i="1" s="1"/>
  <c r="W195" i="1" s="1"/>
  <c r="CR195" i="1"/>
  <c r="CV195" i="1"/>
  <c r="U195" i="1" s="1"/>
  <c r="CW195" i="1"/>
  <c r="V195" i="1" s="1"/>
  <c r="GL195" i="1"/>
  <c r="GN195" i="1"/>
  <c r="GP195" i="1"/>
  <c r="GV195" i="1"/>
  <c r="HC195" i="1" s="1"/>
  <c r="GX195" i="1" s="1"/>
  <c r="P196" i="1"/>
  <c r="R196" i="1"/>
  <c r="S196" i="1"/>
  <c r="U196" i="1"/>
  <c r="AB196" i="1"/>
  <c r="AC196" i="1"/>
  <c r="AD196" i="1"/>
  <c r="AE196" i="1"/>
  <c r="Q196" i="1" s="1"/>
  <c r="AF196" i="1"/>
  <c r="AG196" i="1"/>
  <c r="CU196" i="1" s="1"/>
  <c r="T196" i="1" s="1"/>
  <c r="AH196" i="1"/>
  <c r="CV196" i="1" s="1"/>
  <c r="AI196" i="1"/>
  <c r="CW196" i="1" s="1"/>
  <c r="V196" i="1" s="1"/>
  <c r="AJ196" i="1"/>
  <c r="CQ196" i="1"/>
  <c r="CR196" i="1"/>
  <c r="CS196" i="1"/>
  <c r="CT196" i="1"/>
  <c r="CX196" i="1"/>
  <c r="W196" i="1" s="1"/>
  <c r="GL196" i="1"/>
  <c r="GN196" i="1"/>
  <c r="GP196" i="1"/>
  <c r="GV196" i="1"/>
  <c r="HC196" i="1" s="1"/>
  <c r="GX196" i="1"/>
  <c r="P197" i="1"/>
  <c r="Q197" i="1"/>
  <c r="R197" i="1"/>
  <c r="AC197" i="1"/>
  <c r="AD197" i="1"/>
  <c r="AE197" i="1"/>
  <c r="CS197" i="1" s="1"/>
  <c r="AF197" i="1"/>
  <c r="AG197" i="1"/>
  <c r="CU197" i="1" s="1"/>
  <c r="T197" i="1" s="1"/>
  <c r="AH197" i="1"/>
  <c r="AI197" i="1"/>
  <c r="CW197" i="1" s="1"/>
  <c r="V197" i="1" s="1"/>
  <c r="AJ197" i="1"/>
  <c r="CQ197" i="1"/>
  <c r="CR197" i="1"/>
  <c r="CV197" i="1"/>
  <c r="U197" i="1" s="1"/>
  <c r="CX197" i="1"/>
  <c r="W197" i="1" s="1"/>
  <c r="GL197" i="1"/>
  <c r="GN197" i="1"/>
  <c r="GP197" i="1"/>
  <c r="GV197" i="1"/>
  <c r="HC197" i="1" s="1"/>
  <c r="GX197" i="1" s="1"/>
  <c r="R198" i="1"/>
  <c r="V198" i="1"/>
  <c r="AC198" i="1"/>
  <c r="CQ198" i="1" s="1"/>
  <c r="AD198" i="1"/>
  <c r="AE198" i="1"/>
  <c r="Q198" i="1" s="1"/>
  <c r="AF198" i="1"/>
  <c r="AG198" i="1"/>
  <c r="AH198" i="1"/>
  <c r="CV198" i="1" s="1"/>
  <c r="U198" i="1" s="1"/>
  <c r="AI198" i="1"/>
  <c r="AJ198" i="1"/>
  <c r="CX198" i="1" s="1"/>
  <c r="W198" i="1" s="1"/>
  <c r="CR198" i="1"/>
  <c r="CS198" i="1"/>
  <c r="CU198" i="1"/>
  <c r="T198" i="1" s="1"/>
  <c r="CW198" i="1"/>
  <c r="GL198" i="1"/>
  <c r="GN198" i="1"/>
  <c r="GP198" i="1"/>
  <c r="GV198" i="1"/>
  <c r="HC198" i="1" s="1"/>
  <c r="GX198" i="1" s="1"/>
  <c r="R199" i="1"/>
  <c r="S199" i="1"/>
  <c r="V199" i="1"/>
  <c r="AC199" i="1"/>
  <c r="AE199" i="1"/>
  <c r="AF199" i="1"/>
  <c r="AG199" i="1"/>
  <c r="CU199" i="1" s="1"/>
  <c r="T199" i="1" s="1"/>
  <c r="AH199" i="1"/>
  <c r="AI199" i="1"/>
  <c r="CW199" i="1" s="1"/>
  <c r="AJ199" i="1"/>
  <c r="CQ199" i="1"/>
  <c r="CT199" i="1"/>
  <c r="CV199" i="1"/>
  <c r="U199" i="1" s="1"/>
  <c r="CX199" i="1"/>
  <c r="W199" i="1" s="1"/>
  <c r="GL199" i="1"/>
  <c r="GN199" i="1"/>
  <c r="GP199" i="1"/>
  <c r="GV199" i="1"/>
  <c r="HC199" i="1" s="1"/>
  <c r="GX199" i="1" s="1"/>
  <c r="R200" i="1"/>
  <c r="S200" i="1"/>
  <c r="X200" i="1" s="1"/>
  <c r="W200" i="1"/>
  <c r="AC200" i="1"/>
  <c r="AD200" i="1"/>
  <c r="AE200" i="1"/>
  <c r="Q200" i="1" s="1"/>
  <c r="AF200" i="1"/>
  <c r="AG200" i="1"/>
  <c r="CU200" i="1" s="1"/>
  <c r="T200" i="1" s="1"/>
  <c r="AH200" i="1"/>
  <c r="CV200" i="1" s="1"/>
  <c r="U200" i="1" s="1"/>
  <c r="AI200" i="1"/>
  <c r="AJ200" i="1"/>
  <c r="CX200" i="1" s="1"/>
  <c r="CR200" i="1"/>
  <c r="CS200" i="1"/>
  <c r="CT200" i="1"/>
  <c r="CW200" i="1"/>
  <c r="V200" i="1" s="1"/>
  <c r="CZ200" i="1"/>
  <c r="GL200" i="1"/>
  <c r="GN200" i="1"/>
  <c r="GP200" i="1"/>
  <c r="CD233" i="1" s="1"/>
  <c r="GV200" i="1"/>
  <c r="HC200" i="1" s="1"/>
  <c r="GX200" i="1" s="1"/>
  <c r="Q201" i="1"/>
  <c r="S201" i="1"/>
  <c r="CZ201" i="1" s="1"/>
  <c r="W201" i="1"/>
  <c r="Y201" i="1"/>
  <c r="AC201" i="1"/>
  <c r="CQ201" i="1" s="1"/>
  <c r="AE201" i="1"/>
  <c r="AF201" i="1"/>
  <c r="AG201" i="1"/>
  <c r="AH201" i="1"/>
  <c r="CV201" i="1" s="1"/>
  <c r="U201" i="1" s="1"/>
  <c r="AI201" i="1"/>
  <c r="AJ201" i="1"/>
  <c r="CT201" i="1"/>
  <c r="CU201" i="1"/>
  <c r="T201" i="1" s="1"/>
  <c r="CW201" i="1"/>
  <c r="V201" i="1" s="1"/>
  <c r="CX201" i="1"/>
  <c r="CY201" i="1"/>
  <c r="GL201" i="1"/>
  <c r="GN201" i="1"/>
  <c r="GP201" i="1"/>
  <c r="GV201" i="1"/>
  <c r="HC201" i="1" s="1"/>
  <c r="GX201" i="1"/>
  <c r="Q202" i="1"/>
  <c r="X202" i="1"/>
  <c r="AC202" i="1"/>
  <c r="AE202" i="1"/>
  <c r="CR202" i="1" s="1"/>
  <c r="AF202" i="1"/>
  <c r="S202" i="1" s="1"/>
  <c r="AG202" i="1"/>
  <c r="AH202" i="1"/>
  <c r="CV202" i="1" s="1"/>
  <c r="U202" i="1" s="1"/>
  <c r="AI202" i="1"/>
  <c r="AJ202" i="1"/>
  <c r="CX202" i="1" s="1"/>
  <c r="W202" i="1" s="1"/>
  <c r="CT202" i="1"/>
  <c r="CU202" i="1"/>
  <c r="T202" i="1" s="1"/>
  <c r="CW202" i="1"/>
  <c r="V202" i="1" s="1"/>
  <c r="GL202" i="1"/>
  <c r="GN202" i="1"/>
  <c r="GP202" i="1"/>
  <c r="GV202" i="1"/>
  <c r="HC202" i="1"/>
  <c r="GX202" i="1" s="1"/>
  <c r="R203" i="1"/>
  <c r="U203" i="1"/>
  <c r="AC203" i="1"/>
  <c r="P203" i="1" s="1"/>
  <c r="AE203" i="1"/>
  <c r="AF203" i="1"/>
  <c r="S203" i="1" s="1"/>
  <c r="X203" i="1" s="1"/>
  <c r="AG203" i="1"/>
  <c r="CU203" i="1" s="1"/>
  <c r="T203" i="1" s="1"/>
  <c r="AH203" i="1"/>
  <c r="AI203" i="1"/>
  <c r="AJ203" i="1"/>
  <c r="CQ203" i="1"/>
  <c r="CR203" i="1"/>
  <c r="CT203" i="1"/>
  <c r="CV203" i="1"/>
  <c r="CW203" i="1"/>
  <c r="V203" i="1" s="1"/>
  <c r="CX203" i="1"/>
  <c r="W203" i="1" s="1"/>
  <c r="GL203" i="1"/>
  <c r="GN203" i="1"/>
  <c r="GP203" i="1"/>
  <c r="GV203" i="1"/>
  <c r="HC203" i="1" s="1"/>
  <c r="GX203" i="1" s="1"/>
  <c r="R204" i="1"/>
  <c r="S204" i="1"/>
  <c r="U204" i="1"/>
  <c r="W204" i="1"/>
  <c r="AC204" i="1"/>
  <c r="AD204" i="1"/>
  <c r="AE204" i="1"/>
  <c r="Q204" i="1" s="1"/>
  <c r="AF204" i="1"/>
  <c r="AG204" i="1"/>
  <c r="CU204" i="1" s="1"/>
  <c r="T204" i="1" s="1"/>
  <c r="AH204" i="1"/>
  <c r="CV204" i="1" s="1"/>
  <c r="AI204" i="1"/>
  <c r="AJ204" i="1"/>
  <c r="CX204" i="1" s="1"/>
  <c r="CQ204" i="1"/>
  <c r="CR204" i="1"/>
  <c r="CS204" i="1"/>
  <c r="CT204" i="1"/>
  <c r="CW204" i="1"/>
  <c r="V204" i="1" s="1"/>
  <c r="CY204" i="1"/>
  <c r="CZ204" i="1"/>
  <c r="GL204" i="1"/>
  <c r="GN204" i="1"/>
  <c r="GP204" i="1"/>
  <c r="GV204" i="1"/>
  <c r="HC204" i="1" s="1"/>
  <c r="GX204" i="1"/>
  <c r="P205" i="1"/>
  <c r="R205" i="1"/>
  <c r="S205" i="1"/>
  <c r="AC205" i="1"/>
  <c r="AE205" i="1"/>
  <c r="AF205" i="1"/>
  <c r="AG205" i="1"/>
  <c r="CU205" i="1" s="1"/>
  <c r="T205" i="1" s="1"/>
  <c r="AH205" i="1"/>
  <c r="CV205" i="1" s="1"/>
  <c r="U205" i="1" s="1"/>
  <c r="AI205" i="1"/>
  <c r="CW205" i="1" s="1"/>
  <c r="V205" i="1" s="1"/>
  <c r="AJ205" i="1"/>
  <c r="CQ205" i="1"/>
  <c r="CT205" i="1"/>
  <c r="CX205" i="1"/>
  <c r="W205" i="1" s="1"/>
  <c r="GL205" i="1"/>
  <c r="GN205" i="1"/>
  <c r="GP205" i="1"/>
  <c r="GV205" i="1"/>
  <c r="HC205" i="1" s="1"/>
  <c r="GX205" i="1" s="1"/>
  <c r="C206" i="1"/>
  <c r="D206" i="1"/>
  <c r="Q206" i="1"/>
  <c r="S206" i="1"/>
  <c r="V206" i="1"/>
  <c r="X206" i="1"/>
  <c r="AC206" i="1"/>
  <c r="P206" i="1" s="1"/>
  <c r="AE206" i="1"/>
  <c r="AF206" i="1"/>
  <c r="AG206" i="1"/>
  <c r="CU206" i="1" s="1"/>
  <c r="T206" i="1" s="1"/>
  <c r="AH206" i="1"/>
  <c r="AI206" i="1"/>
  <c r="CW206" i="1" s="1"/>
  <c r="AJ206" i="1"/>
  <c r="CX206" i="1" s="1"/>
  <c r="W206" i="1" s="1"/>
  <c r="CQ206" i="1"/>
  <c r="CS206" i="1"/>
  <c r="CT206" i="1"/>
  <c r="CV206" i="1"/>
  <c r="U206" i="1" s="1"/>
  <c r="GL206" i="1"/>
  <c r="GN206" i="1"/>
  <c r="GP206" i="1"/>
  <c r="GV206" i="1"/>
  <c r="HC206" i="1"/>
  <c r="GX206" i="1" s="1"/>
  <c r="C207" i="1"/>
  <c r="D207" i="1"/>
  <c r="P207" i="1"/>
  <c r="S207" i="1"/>
  <c r="U207" i="1"/>
  <c r="AC207" i="1"/>
  <c r="AE207" i="1"/>
  <c r="Q207" i="1" s="1"/>
  <c r="AF207" i="1"/>
  <c r="CT207" i="1" s="1"/>
  <c r="AG207" i="1"/>
  <c r="AH207" i="1"/>
  <c r="AI207" i="1"/>
  <c r="CW207" i="1" s="1"/>
  <c r="V207" i="1" s="1"/>
  <c r="AJ207" i="1"/>
  <c r="CX207" i="1" s="1"/>
  <c r="W207" i="1" s="1"/>
  <c r="CQ207" i="1"/>
  <c r="CU207" i="1"/>
  <c r="T207" i="1" s="1"/>
  <c r="CV207" i="1"/>
  <c r="GL207" i="1"/>
  <c r="GN207" i="1"/>
  <c r="GP207" i="1"/>
  <c r="GV207" i="1"/>
  <c r="HC207" i="1"/>
  <c r="GX207" i="1" s="1"/>
  <c r="P208" i="1"/>
  <c r="FR208" i="1" s="1"/>
  <c r="R208" i="1"/>
  <c r="S208" i="1"/>
  <c r="Y208" i="1" s="1"/>
  <c r="W208" i="1"/>
  <c r="AC208" i="1"/>
  <c r="CQ208" i="1" s="1"/>
  <c r="AD208" i="1"/>
  <c r="AB208" i="1" s="1"/>
  <c r="AE208" i="1"/>
  <c r="Q208" i="1" s="1"/>
  <c r="AF208" i="1"/>
  <c r="CT208" i="1" s="1"/>
  <c r="AG208" i="1"/>
  <c r="CU208" i="1" s="1"/>
  <c r="T208" i="1" s="1"/>
  <c r="AH208" i="1"/>
  <c r="CV208" i="1" s="1"/>
  <c r="U208" i="1" s="1"/>
  <c r="AI208" i="1"/>
  <c r="AJ208" i="1"/>
  <c r="CR208" i="1"/>
  <c r="CS208" i="1"/>
  <c r="CW208" i="1"/>
  <c r="V208" i="1" s="1"/>
  <c r="CX208" i="1"/>
  <c r="CZ208" i="1"/>
  <c r="GL208" i="1"/>
  <c r="GN208" i="1"/>
  <c r="GO208" i="1"/>
  <c r="GP208" i="1"/>
  <c r="GV208" i="1"/>
  <c r="HC208" i="1" s="1"/>
  <c r="GX208" i="1" s="1"/>
  <c r="S209" i="1"/>
  <c r="X209" i="1"/>
  <c r="AC209" i="1"/>
  <c r="AE209" i="1"/>
  <c r="Q209" i="1" s="1"/>
  <c r="AF209" i="1"/>
  <c r="AG209" i="1"/>
  <c r="CU209" i="1" s="1"/>
  <c r="T209" i="1" s="1"/>
  <c r="AH209" i="1"/>
  <c r="AI209" i="1"/>
  <c r="CW209" i="1" s="1"/>
  <c r="V209" i="1" s="1"/>
  <c r="AJ209" i="1"/>
  <c r="CT209" i="1"/>
  <c r="CV209" i="1"/>
  <c r="U209" i="1" s="1"/>
  <c r="CX209" i="1"/>
  <c r="W209" i="1" s="1"/>
  <c r="CZ209" i="1"/>
  <c r="GL209" i="1"/>
  <c r="GN209" i="1"/>
  <c r="GO209" i="1"/>
  <c r="GP209" i="1"/>
  <c r="GV209" i="1"/>
  <c r="GX209" i="1"/>
  <c r="HC209" i="1"/>
  <c r="C210" i="1"/>
  <c r="D210" i="1"/>
  <c r="P210" i="1"/>
  <c r="AC210" i="1"/>
  <c r="AE210" i="1"/>
  <c r="AF210" i="1"/>
  <c r="S210" i="1" s="1"/>
  <c r="AG210" i="1"/>
  <c r="AH210" i="1"/>
  <c r="CV210" i="1" s="1"/>
  <c r="U210" i="1" s="1"/>
  <c r="AI210" i="1"/>
  <c r="AJ210" i="1"/>
  <c r="CX210" i="1" s="1"/>
  <c r="W210" i="1" s="1"/>
  <c r="CU210" i="1"/>
  <c r="T210" i="1" s="1"/>
  <c r="CW210" i="1"/>
  <c r="V210" i="1" s="1"/>
  <c r="GL210" i="1"/>
  <c r="GN210" i="1"/>
  <c r="GP210" i="1"/>
  <c r="GV210" i="1"/>
  <c r="HC210" i="1" s="1"/>
  <c r="GX210" i="1" s="1"/>
  <c r="C211" i="1"/>
  <c r="D211" i="1"/>
  <c r="P211" i="1"/>
  <c r="R211" i="1"/>
  <c r="T211" i="1"/>
  <c r="W211" i="1"/>
  <c r="Y211" i="1"/>
  <c r="AC211" i="1"/>
  <c r="AD211" i="1"/>
  <c r="AE211" i="1"/>
  <c r="CS211" i="1" s="1"/>
  <c r="AF211" i="1"/>
  <c r="S211" i="1" s="1"/>
  <c r="CZ211" i="1" s="1"/>
  <c r="AG211" i="1"/>
  <c r="AH211" i="1"/>
  <c r="CV211" i="1" s="1"/>
  <c r="U211" i="1" s="1"/>
  <c r="AI211" i="1"/>
  <c r="AJ211" i="1"/>
  <c r="CX211" i="1" s="1"/>
  <c r="CQ211" i="1"/>
  <c r="CR211" i="1"/>
  <c r="CT211" i="1"/>
  <c r="CU211" i="1"/>
  <c r="CW211" i="1"/>
  <c r="V211" i="1" s="1"/>
  <c r="GL211" i="1"/>
  <c r="GN211" i="1"/>
  <c r="GP211" i="1"/>
  <c r="GV211" i="1"/>
  <c r="HC211" i="1" s="1"/>
  <c r="GX211" i="1"/>
  <c r="Q212" i="1"/>
  <c r="S212" i="1"/>
  <c r="X212" i="1"/>
  <c r="AC212" i="1"/>
  <c r="AE212" i="1"/>
  <c r="CR212" i="1" s="1"/>
  <c r="AF212" i="1"/>
  <c r="AG212" i="1"/>
  <c r="CU212" i="1" s="1"/>
  <c r="T212" i="1" s="1"/>
  <c r="AH212" i="1"/>
  <c r="AI212" i="1"/>
  <c r="CW212" i="1" s="1"/>
  <c r="V212" i="1" s="1"/>
  <c r="AJ212" i="1"/>
  <c r="CT212" i="1"/>
  <c r="CV212" i="1"/>
  <c r="U212" i="1" s="1"/>
  <c r="CX212" i="1"/>
  <c r="W212" i="1" s="1"/>
  <c r="CY212" i="1"/>
  <c r="CZ212" i="1"/>
  <c r="GL212" i="1"/>
  <c r="GN212" i="1"/>
  <c r="GO212" i="1"/>
  <c r="GP212" i="1"/>
  <c r="GV212" i="1"/>
  <c r="GX212" i="1"/>
  <c r="HC212" i="1"/>
  <c r="P213" i="1"/>
  <c r="T213" i="1"/>
  <c r="W213" i="1"/>
  <c r="AC213" i="1"/>
  <c r="AE213" i="1"/>
  <c r="CS213" i="1" s="1"/>
  <c r="AF213" i="1"/>
  <c r="AG213" i="1"/>
  <c r="AH213" i="1"/>
  <c r="CV213" i="1" s="1"/>
  <c r="U213" i="1" s="1"/>
  <c r="AI213" i="1"/>
  <c r="CW213" i="1" s="1"/>
  <c r="V213" i="1" s="1"/>
  <c r="AJ213" i="1"/>
  <c r="CX213" i="1" s="1"/>
  <c r="CU213" i="1"/>
  <c r="GL213" i="1"/>
  <c r="GN213" i="1"/>
  <c r="GO213" i="1"/>
  <c r="GP213" i="1"/>
  <c r="GV213" i="1"/>
  <c r="HC213" i="1"/>
  <c r="GX213" i="1" s="1"/>
  <c r="C214" i="1"/>
  <c r="D214" i="1"/>
  <c r="S214" i="1"/>
  <c r="V214" i="1"/>
  <c r="AC214" i="1"/>
  <c r="P214" i="1" s="1"/>
  <c r="AE214" i="1"/>
  <c r="Q214" i="1" s="1"/>
  <c r="AF214" i="1"/>
  <c r="AG214" i="1"/>
  <c r="CU214" i="1" s="1"/>
  <c r="T214" i="1" s="1"/>
  <c r="AH214" i="1"/>
  <c r="AI214" i="1"/>
  <c r="CW214" i="1" s="1"/>
  <c r="AJ214" i="1"/>
  <c r="CX214" i="1" s="1"/>
  <c r="W214" i="1" s="1"/>
  <c r="CQ214" i="1"/>
  <c r="CT214" i="1"/>
  <c r="CV214" i="1"/>
  <c r="U214" i="1" s="1"/>
  <c r="GL214" i="1"/>
  <c r="GN214" i="1"/>
  <c r="GP214" i="1"/>
  <c r="GV214" i="1"/>
  <c r="HC214" i="1" s="1"/>
  <c r="GX214" i="1" s="1"/>
  <c r="C215" i="1"/>
  <c r="D215" i="1"/>
  <c r="P215" i="1"/>
  <c r="S215" i="1"/>
  <c r="X215" i="1" s="1"/>
  <c r="AC215" i="1"/>
  <c r="AE215" i="1"/>
  <c r="AF215" i="1"/>
  <c r="CT215" i="1" s="1"/>
  <c r="AG215" i="1"/>
  <c r="AH215" i="1"/>
  <c r="AI215" i="1"/>
  <c r="AJ215" i="1"/>
  <c r="CX215" i="1" s="1"/>
  <c r="W215" i="1" s="1"/>
  <c r="CQ215" i="1"/>
  <c r="CU215" i="1"/>
  <c r="T215" i="1" s="1"/>
  <c r="CV215" i="1"/>
  <c r="U215" i="1" s="1"/>
  <c r="CW215" i="1"/>
  <c r="V215" i="1" s="1"/>
  <c r="CZ215" i="1"/>
  <c r="GL215" i="1"/>
  <c r="GN215" i="1"/>
  <c r="GP215" i="1"/>
  <c r="GV215" i="1"/>
  <c r="GX215" i="1"/>
  <c r="HC215" i="1"/>
  <c r="R216" i="1"/>
  <c r="S216" i="1"/>
  <c r="W216" i="1"/>
  <c r="AC216" i="1"/>
  <c r="CQ216" i="1" s="1"/>
  <c r="AD216" i="1"/>
  <c r="AE216" i="1"/>
  <c r="Q216" i="1" s="1"/>
  <c r="AF216" i="1"/>
  <c r="AG216" i="1"/>
  <c r="AH216" i="1"/>
  <c r="CV216" i="1" s="1"/>
  <c r="U216" i="1" s="1"/>
  <c r="AI216" i="1"/>
  <c r="CW216" i="1" s="1"/>
  <c r="V216" i="1" s="1"/>
  <c r="AJ216" i="1"/>
  <c r="CR216" i="1"/>
  <c r="CS216" i="1"/>
  <c r="CT216" i="1"/>
  <c r="CU216" i="1"/>
  <c r="T216" i="1" s="1"/>
  <c r="CX216" i="1"/>
  <c r="GL216" i="1"/>
  <c r="GN216" i="1"/>
  <c r="GO216" i="1"/>
  <c r="GP216" i="1"/>
  <c r="GV216" i="1"/>
  <c r="HC216" i="1"/>
  <c r="GX216" i="1" s="1"/>
  <c r="S217" i="1"/>
  <c r="X217" i="1" s="1"/>
  <c r="V217" i="1"/>
  <c r="AC217" i="1"/>
  <c r="P217" i="1" s="1"/>
  <c r="AE217" i="1"/>
  <c r="AF217" i="1"/>
  <c r="AG217" i="1"/>
  <c r="CU217" i="1" s="1"/>
  <c r="T217" i="1" s="1"/>
  <c r="AH217" i="1"/>
  <c r="AI217" i="1"/>
  <c r="CW217" i="1" s="1"/>
  <c r="AJ217" i="1"/>
  <c r="CX217" i="1" s="1"/>
  <c r="W217" i="1" s="1"/>
  <c r="CQ217" i="1"/>
  <c r="CT217" i="1"/>
  <c r="CV217" i="1"/>
  <c r="U217" i="1" s="1"/>
  <c r="CZ217" i="1"/>
  <c r="GL217" i="1"/>
  <c r="GN217" i="1"/>
  <c r="GO217" i="1"/>
  <c r="GP217" i="1"/>
  <c r="GV217" i="1"/>
  <c r="GX217" i="1"/>
  <c r="HC217" i="1"/>
  <c r="C218" i="1"/>
  <c r="D218" i="1"/>
  <c r="I218" i="1"/>
  <c r="K218" i="1"/>
  <c r="W218" i="1"/>
  <c r="AC218" i="1"/>
  <c r="AD218" i="1"/>
  <c r="AE218" i="1"/>
  <c r="AF218" i="1"/>
  <c r="AG218" i="1"/>
  <c r="AH218" i="1"/>
  <c r="CV218" i="1" s="1"/>
  <c r="U218" i="1" s="1"/>
  <c r="AI218" i="1"/>
  <c r="CW218" i="1" s="1"/>
  <c r="V218" i="1" s="1"/>
  <c r="AJ218" i="1"/>
  <c r="CR218" i="1"/>
  <c r="CS218" i="1"/>
  <c r="CU218" i="1"/>
  <c r="T218" i="1" s="1"/>
  <c r="CX218" i="1"/>
  <c r="GL218" i="1"/>
  <c r="GN218" i="1"/>
  <c r="GP218" i="1"/>
  <c r="GV218" i="1"/>
  <c r="HC218" i="1" s="1"/>
  <c r="C219" i="1"/>
  <c r="D219" i="1"/>
  <c r="I219" i="1"/>
  <c r="K219" i="1"/>
  <c r="P219" i="1"/>
  <c r="T219" i="1"/>
  <c r="AC219" i="1"/>
  <c r="AE219" i="1"/>
  <c r="AF219" i="1"/>
  <c r="CT219" i="1" s="1"/>
  <c r="AG219" i="1"/>
  <c r="AH219" i="1"/>
  <c r="AI219" i="1"/>
  <c r="AJ219" i="1"/>
  <c r="CQ219" i="1"/>
  <c r="CU219" i="1"/>
  <c r="CV219" i="1"/>
  <c r="U219" i="1" s="1"/>
  <c r="CW219" i="1"/>
  <c r="V219" i="1" s="1"/>
  <c r="CX219" i="1"/>
  <c r="W219" i="1" s="1"/>
  <c r="GL219" i="1"/>
  <c r="GN219" i="1"/>
  <c r="GP219" i="1"/>
  <c r="GV219" i="1"/>
  <c r="HC219" i="1"/>
  <c r="GX219" i="1" s="1"/>
  <c r="Q220" i="1"/>
  <c r="AC220" i="1"/>
  <c r="AE220" i="1"/>
  <c r="AF220" i="1"/>
  <c r="S220" i="1" s="1"/>
  <c r="Y220" i="1" s="1"/>
  <c r="AG220" i="1"/>
  <c r="AH220" i="1"/>
  <c r="AI220" i="1"/>
  <c r="AJ220" i="1"/>
  <c r="CX220" i="1" s="1"/>
  <c r="W220" i="1" s="1"/>
  <c r="CQ220" i="1"/>
  <c r="CT220" i="1"/>
  <c r="CU220" i="1"/>
  <c r="T220" i="1" s="1"/>
  <c r="CV220" i="1"/>
  <c r="U220" i="1" s="1"/>
  <c r="CW220" i="1"/>
  <c r="V220" i="1" s="1"/>
  <c r="GL220" i="1"/>
  <c r="GN220" i="1"/>
  <c r="GO220" i="1"/>
  <c r="GP220" i="1"/>
  <c r="GV220" i="1"/>
  <c r="HC220" i="1"/>
  <c r="GX220" i="1" s="1"/>
  <c r="P221" i="1"/>
  <c r="S221" i="1"/>
  <c r="X221" i="1"/>
  <c r="AC221" i="1"/>
  <c r="AE221" i="1"/>
  <c r="AF221" i="1"/>
  <c r="CT221" i="1" s="1"/>
  <c r="AG221" i="1"/>
  <c r="CU221" i="1" s="1"/>
  <c r="T221" i="1" s="1"/>
  <c r="AH221" i="1"/>
  <c r="CV221" i="1" s="1"/>
  <c r="U221" i="1" s="1"/>
  <c r="AI221" i="1"/>
  <c r="AJ221" i="1"/>
  <c r="CX221" i="1" s="1"/>
  <c r="W221" i="1" s="1"/>
  <c r="CQ221" i="1"/>
  <c r="CW221" i="1"/>
  <c r="V221" i="1" s="1"/>
  <c r="GL221" i="1"/>
  <c r="GN221" i="1"/>
  <c r="GO221" i="1"/>
  <c r="GP221" i="1"/>
  <c r="GV221" i="1"/>
  <c r="HC221" i="1"/>
  <c r="GX221" i="1" s="1"/>
  <c r="P222" i="1"/>
  <c r="S222" i="1"/>
  <c r="CZ222" i="1" s="1"/>
  <c r="AC222" i="1"/>
  <c r="AE222" i="1"/>
  <c r="AF222" i="1"/>
  <c r="AG222" i="1"/>
  <c r="AH222" i="1"/>
  <c r="AI222" i="1"/>
  <c r="AJ222" i="1"/>
  <c r="CX222" i="1" s="1"/>
  <c r="W222" i="1" s="1"/>
  <c r="CT222" i="1"/>
  <c r="CU222" i="1"/>
  <c r="T222" i="1" s="1"/>
  <c r="CV222" i="1"/>
  <c r="U222" i="1" s="1"/>
  <c r="CW222" i="1"/>
  <c r="V222" i="1" s="1"/>
  <c r="GL222" i="1"/>
  <c r="GN222" i="1"/>
  <c r="GO222" i="1"/>
  <c r="GP222" i="1"/>
  <c r="GV222" i="1"/>
  <c r="GX222" i="1"/>
  <c r="HC222" i="1"/>
  <c r="P223" i="1"/>
  <c r="FR223" i="1" s="1"/>
  <c r="R223" i="1"/>
  <c r="W223" i="1"/>
  <c r="AC223" i="1"/>
  <c r="AD223" i="1"/>
  <c r="AE223" i="1"/>
  <c r="Q223" i="1" s="1"/>
  <c r="AF223" i="1"/>
  <c r="AG223" i="1"/>
  <c r="AH223" i="1"/>
  <c r="CV223" i="1" s="1"/>
  <c r="U223" i="1" s="1"/>
  <c r="AI223" i="1"/>
  <c r="AJ223" i="1"/>
  <c r="CX223" i="1" s="1"/>
  <c r="CQ223" i="1"/>
  <c r="CR223" i="1"/>
  <c r="CS223" i="1"/>
  <c r="CU223" i="1"/>
  <c r="T223" i="1" s="1"/>
  <c r="CW223" i="1"/>
  <c r="V223" i="1" s="1"/>
  <c r="GL223" i="1"/>
  <c r="GN223" i="1"/>
  <c r="GO223" i="1"/>
  <c r="GP223" i="1"/>
  <c r="GV223" i="1"/>
  <c r="HC223" i="1"/>
  <c r="GX223" i="1" s="1"/>
  <c r="C224" i="1"/>
  <c r="D224" i="1"/>
  <c r="P224" i="1"/>
  <c r="CP224" i="1" s="1"/>
  <c r="O224" i="1" s="1"/>
  <c r="Q224" i="1"/>
  <c r="S224" i="1"/>
  <c r="V224" i="1"/>
  <c r="X224" i="1"/>
  <c r="AC224" i="1"/>
  <c r="AE224" i="1"/>
  <c r="AF224" i="1"/>
  <c r="AG224" i="1"/>
  <c r="CU224" i="1" s="1"/>
  <c r="T224" i="1" s="1"/>
  <c r="AH224" i="1"/>
  <c r="AI224" i="1"/>
  <c r="AJ224" i="1"/>
  <c r="CQ224" i="1"/>
  <c r="CT224" i="1"/>
  <c r="CV224" i="1"/>
  <c r="U224" i="1" s="1"/>
  <c r="CW224" i="1"/>
  <c r="CX224" i="1"/>
  <c r="W224" i="1" s="1"/>
  <c r="GL224" i="1"/>
  <c r="BZ233" i="1" s="1"/>
  <c r="BZ184" i="1" s="1"/>
  <c r="GN224" i="1"/>
  <c r="GP224" i="1"/>
  <c r="GV224" i="1"/>
  <c r="HC224" i="1"/>
  <c r="GX224" i="1" s="1"/>
  <c r="C225" i="1"/>
  <c r="D225" i="1"/>
  <c r="S225" i="1"/>
  <c r="AC225" i="1"/>
  <c r="P225" i="1" s="1"/>
  <c r="AE225" i="1"/>
  <c r="AD225" i="1" s="1"/>
  <c r="AB225" i="1" s="1"/>
  <c r="AF225" i="1"/>
  <c r="AG225" i="1"/>
  <c r="CU225" i="1" s="1"/>
  <c r="T225" i="1" s="1"/>
  <c r="AH225" i="1"/>
  <c r="AI225" i="1"/>
  <c r="CW225" i="1" s="1"/>
  <c r="V225" i="1" s="1"/>
  <c r="AJ225" i="1"/>
  <c r="CQ225" i="1"/>
  <c r="CS225" i="1"/>
  <c r="CT225" i="1"/>
  <c r="CV225" i="1"/>
  <c r="U225" i="1" s="1"/>
  <c r="CX225" i="1"/>
  <c r="W225" i="1" s="1"/>
  <c r="GL225" i="1"/>
  <c r="GN225" i="1"/>
  <c r="GP225" i="1"/>
  <c r="FV233" i="1" s="1"/>
  <c r="GV225" i="1"/>
  <c r="HC225" i="1"/>
  <c r="GX225" i="1" s="1"/>
  <c r="P226" i="1"/>
  <c r="FR226" i="1" s="1"/>
  <c r="R226" i="1"/>
  <c r="U226" i="1"/>
  <c r="W226" i="1"/>
  <c r="AB226" i="1"/>
  <c r="AC226" i="1"/>
  <c r="AD226" i="1"/>
  <c r="AE226" i="1"/>
  <c r="CR226" i="1" s="1"/>
  <c r="AF226" i="1"/>
  <c r="CT226" i="1" s="1"/>
  <c r="AG226" i="1"/>
  <c r="AH226" i="1"/>
  <c r="CV226" i="1" s="1"/>
  <c r="AI226" i="1"/>
  <c r="CW226" i="1" s="1"/>
  <c r="V226" i="1" s="1"/>
  <c r="AJ226" i="1"/>
  <c r="CQ226" i="1"/>
  <c r="CS226" i="1"/>
  <c r="CU226" i="1"/>
  <c r="T226" i="1" s="1"/>
  <c r="CX226" i="1"/>
  <c r="GL226" i="1"/>
  <c r="GN226" i="1"/>
  <c r="GO226" i="1"/>
  <c r="GP226" i="1"/>
  <c r="GV226" i="1"/>
  <c r="HC226" i="1" s="1"/>
  <c r="GX226" i="1" s="1"/>
  <c r="P227" i="1"/>
  <c r="CP227" i="1" s="1"/>
  <c r="O227" i="1" s="1"/>
  <c r="Q227" i="1"/>
  <c r="S227" i="1"/>
  <c r="V227" i="1"/>
  <c r="X227" i="1"/>
  <c r="AC227" i="1"/>
  <c r="AE227" i="1"/>
  <c r="AF227" i="1"/>
  <c r="AG227" i="1"/>
  <c r="CU227" i="1" s="1"/>
  <c r="T227" i="1" s="1"/>
  <c r="AH227" i="1"/>
  <c r="AI227" i="1"/>
  <c r="AJ227" i="1"/>
  <c r="CQ227" i="1"/>
  <c r="CT227" i="1"/>
  <c r="CV227" i="1"/>
  <c r="U227" i="1" s="1"/>
  <c r="CW227" i="1"/>
  <c r="CX227" i="1"/>
  <c r="W227" i="1" s="1"/>
  <c r="FR227" i="1"/>
  <c r="GL227" i="1"/>
  <c r="GN227" i="1"/>
  <c r="GO227" i="1"/>
  <c r="GP227" i="1"/>
  <c r="GV227" i="1"/>
  <c r="HC227" i="1" s="1"/>
  <c r="GX227" i="1"/>
  <c r="C228" i="1"/>
  <c r="D228" i="1"/>
  <c r="I228" i="1"/>
  <c r="K228" i="1"/>
  <c r="P228" i="1"/>
  <c r="R228" i="1"/>
  <c r="W228" i="1"/>
  <c r="AC228" i="1"/>
  <c r="AD228" i="1"/>
  <c r="AB228" i="1" s="1"/>
  <c r="AE228" i="1"/>
  <c r="CR228" i="1" s="1"/>
  <c r="AF228" i="1"/>
  <c r="CT228" i="1" s="1"/>
  <c r="AG228" i="1"/>
  <c r="AH228" i="1"/>
  <c r="CV228" i="1" s="1"/>
  <c r="U228" i="1" s="1"/>
  <c r="AI228" i="1"/>
  <c r="CW228" i="1" s="1"/>
  <c r="V228" i="1" s="1"/>
  <c r="AJ228" i="1"/>
  <c r="CQ228" i="1"/>
  <c r="CS228" i="1"/>
  <c r="CU228" i="1"/>
  <c r="T228" i="1" s="1"/>
  <c r="CX228" i="1"/>
  <c r="GL228" i="1"/>
  <c r="GN228" i="1"/>
  <c r="GP228" i="1"/>
  <c r="GV228" i="1"/>
  <c r="GX228" i="1"/>
  <c r="HC228" i="1"/>
  <c r="C229" i="1"/>
  <c r="D229" i="1"/>
  <c r="I229" i="1"/>
  <c r="K229" i="1"/>
  <c r="P229" i="1"/>
  <c r="S229" i="1"/>
  <c r="U229" i="1"/>
  <c r="AC229" i="1"/>
  <c r="AD229" i="1"/>
  <c r="AB229" i="1" s="1"/>
  <c r="AE229" i="1"/>
  <c r="Q229" i="1" s="1"/>
  <c r="AF229" i="1"/>
  <c r="AG229" i="1"/>
  <c r="AH229" i="1"/>
  <c r="AI229" i="1"/>
  <c r="CW229" i="1" s="1"/>
  <c r="V229" i="1" s="1"/>
  <c r="AJ229" i="1"/>
  <c r="CQ229" i="1"/>
  <c r="CS229" i="1"/>
  <c r="CT229" i="1"/>
  <c r="CU229" i="1"/>
  <c r="T229" i="1" s="1"/>
  <c r="CV229" i="1"/>
  <c r="CX229" i="1"/>
  <c r="W229" i="1" s="1"/>
  <c r="CZ229" i="1"/>
  <c r="GL229" i="1"/>
  <c r="GN229" i="1"/>
  <c r="GP229" i="1"/>
  <c r="GV229" i="1"/>
  <c r="GX229" i="1"/>
  <c r="HC229" i="1"/>
  <c r="P230" i="1"/>
  <c r="FR230" i="1" s="1"/>
  <c r="R230" i="1"/>
  <c r="AB230" i="1"/>
  <c r="AC230" i="1"/>
  <c r="AD230" i="1"/>
  <c r="AE230" i="1"/>
  <c r="Q230" i="1" s="1"/>
  <c r="AF230" i="1"/>
  <c r="AG230" i="1"/>
  <c r="AH230" i="1"/>
  <c r="CV230" i="1" s="1"/>
  <c r="U230" i="1" s="1"/>
  <c r="AI230" i="1"/>
  <c r="AJ230" i="1"/>
  <c r="CX230" i="1" s="1"/>
  <c r="W230" i="1" s="1"/>
  <c r="CQ230" i="1"/>
  <c r="CR230" i="1"/>
  <c r="CS230" i="1"/>
  <c r="CU230" i="1"/>
  <c r="T230" i="1" s="1"/>
  <c r="CW230" i="1"/>
  <c r="V230" i="1" s="1"/>
  <c r="GL230" i="1"/>
  <c r="GN230" i="1"/>
  <c r="CB233" i="1" s="1"/>
  <c r="GO230" i="1"/>
  <c r="GP230" i="1"/>
  <c r="GV230" i="1"/>
  <c r="HC230" i="1"/>
  <c r="GX230" i="1" s="1"/>
  <c r="P231" i="1"/>
  <c r="R231" i="1"/>
  <c r="S231" i="1"/>
  <c r="U231" i="1"/>
  <c r="V231" i="1"/>
  <c r="AC231" i="1"/>
  <c r="AE231" i="1"/>
  <c r="CR231" i="1" s="1"/>
  <c r="AF231" i="1"/>
  <c r="CT231" i="1" s="1"/>
  <c r="AG231" i="1"/>
  <c r="CU231" i="1" s="1"/>
  <c r="T231" i="1" s="1"/>
  <c r="AH231" i="1"/>
  <c r="AI231" i="1"/>
  <c r="CW231" i="1" s="1"/>
  <c r="AJ231" i="1"/>
  <c r="CX231" i="1" s="1"/>
  <c r="W231" i="1" s="1"/>
  <c r="CQ231" i="1"/>
  <c r="CS231" i="1"/>
  <c r="CV231" i="1"/>
  <c r="FR231" i="1"/>
  <c r="GL231" i="1"/>
  <c r="GN231" i="1"/>
  <c r="GO231" i="1"/>
  <c r="GP231" i="1"/>
  <c r="GV231" i="1"/>
  <c r="HC231" i="1"/>
  <c r="GX231" i="1" s="1"/>
  <c r="B233" i="1"/>
  <c r="B184" i="1" s="1"/>
  <c r="C233" i="1"/>
  <c r="C184" i="1" s="1"/>
  <c r="D233" i="1"/>
  <c r="D184" i="1" s="1"/>
  <c r="F233" i="1"/>
  <c r="F184" i="1" s="1"/>
  <c r="G233" i="1"/>
  <c r="G184" i="1" s="1"/>
  <c r="BC233" i="1"/>
  <c r="BC184" i="1" s="1"/>
  <c r="BX233" i="1"/>
  <c r="CK233" i="1"/>
  <c r="CK184" i="1" s="1"/>
  <c r="CL233" i="1"/>
  <c r="CL184" i="1" s="1"/>
  <c r="CM233" i="1"/>
  <c r="CM184" i="1" s="1"/>
  <c r="EG233" i="1"/>
  <c r="EG184" i="1" s="1"/>
  <c r="EI233" i="1"/>
  <c r="EV233" i="1"/>
  <c r="FP233" i="1"/>
  <c r="FP184" i="1" s="1"/>
  <c r="FR233" i="1"/>
  <c r="FT233" i="1"/>
  <c r="GC233" i="1"/>
  <c r="GC184" i="1" s="1"/>
  <c r="GD233" i="1"/>
  <c r="GD184" i="1" s="1"/>
  <c r="GE233" i="1"/>
  <c r="GE184" i="1" s="1"/>
  <c r="P237" i="1"/>
  <c r="F249" i="1"/>
  <c r="D263" i="1"/>
  <c r="E265" i="1"/>
  <c r="Z265" i="1"/>
  <c r="AA265" i="1"/>
  <c r="AM265" i="1"/>
  <c r="AN265" i="1"/>
  <c r="BC265" i="1"/>
  <c r="BE265" i="1"/>
  <c r="BF265" i="1"/>
  <c r="BG265" i="1"/>
  <c r="BH265" i="1"/>
  <c r="BI265" i="1"/>
  <c r="BJ265" i="1"/>
  <c r="BK265" i="1"/>
  <c r="BL265" i="1"/>
  <c r="BM265" i="1"/>
  <c r="BN265" i="1"/>
  <c r="BO265" i="1"/>
  <c r="BP265" i="1"/>
  <c r="BQ265" i="1"/>
  <c r="BR265" i="1"/>
  <c r="BS265" i="1"/>
  <c r="BT265" i="1"/>
  <c r="BU265" i="1"/>
  <c r="BV265" i="1"/>
  <c r="BW265" i="1"/>
  <c r="CL265" i="1"/>
  <c r="CN265" i="1"/>
  <c r="CO265" i="1"/>
  <c r="CP265" i="1"/>
  <c r="CQ265" i="1"/>
  <c r="CR265" i="1"/>
  <c r="CS265" i="1"/>
  <c r="CT265" i="1"/>
  <c r="CU265" i="1"/>
  <c r="CV265" i="1"/>
  <c r="CW265" i="1"/>
  <c r="CX265" i="1"/>
  <c r="CY265" i="1"/>
  <c r="CZ265" i="1"/>
  <c r="DA265" i="1"/>
  <c r="DB265" i="1"/>
  <c r="DC265" i="1"/>
  <c r="DD265" i="1"/>
  <c r="DE265" i="1"/>
  <c r="DF265" i="1"/>
  <c r="DR265" i="1"/>
  <c r="DS265" i="1"/>
  <c r="EE265" i="1"/>
  <c r="EF265" i="1"/>
  <c r="ET265" i="1"/>
  <c r="EW265" i="1"/>
  <c r="EX265" i="1"/>
  <c r="EY265" i="1"/>
  <c r="EZ265" i="1"/>
  <c r="FA265" i="1"/>
  <c r="FB265" i="1"/>
  <c r="FC265" i="1"/>
  <c r="FD265" i="1"/>
  <c r="FE265" i="1"/>
  <c r="FF265" i="1"/>
  <c r="FG265" i="1"/>
  <c r="FH265" i="1"/>
  <c r="FI265" i="1"/>
  <c r="FJ265" i="1"/>
  <c r="FK265" i="1"/>
  <c r="FL265" i="1"/>
  <c r="FM265" i="1"/>
  <c r="FN265" i="1"/>
  <c r="FO265" i="1"/>
  <c r="FR265" i="1"/>
  <c r="GF265" i="1"/>
  <c r="GG265" i="1"/>
  <c r="GH265" i="1"/>
  <c r="GI265" i="1"/>
  <c r="GJ265" i="1"/>
  <c r="GK265" i="1"/>
  <c r="GL265" i="1"/>
  <c r="GM265" i="1"/>
  <c r="GN265" i="1"/>
  <c r="GO265" i="1"/>
  <c r="GP265" i="1"/>
  <c r="GQ265" i="1"/>
  <c r="GR265" i="1"/>
  <c r="GS265" i="1"/>
  <c r="GT265" i="1"/>
  <c r="GU265" i="1"/>
  <c r="GV265" i="1"/>
  <c r="GW265" i="1"/>
  <c r="GX265" i="1"/>
  <c r="C267" i="1"/>
  <c r="D267" i="1"/>
  <c r="I267" i="1"/>
  <c r="K267" i="1"/>
  <c r="P267" i="1"/>
  <c r="S267" i="1"/>
  <c r="T267" i="1"/>
  <c r="V267" i="1"/>
  <c r="AC267" i="1"/>
  <c r="AE267" i="1"/>
  <c r="Q267" i="1" s="1"/>
  <c r="AF267" i="1"/>
  <c r="AG267" i="1"/>
  <c r="AH267" i="1"/>
  <c r="CV267" i="1" s="1"/>
  <c r="U267" i="1" s="1"/>
  <c r="AI267" i="1"/>
  <c r="AJ267" i="1"/>
  <c r="CX267" i="1" s="1"/>
  <c r="W267" i="1" s="1"/>
  <c r="AJ280" i="1" s="1"/>
  <c r="CQ267" i="1"/>
  <c r="CT267" i="1"/>
  <c r="CU267" i="1"/>
  <c r="CW267" i="1"/>
  <c r="GL267" i="1"/>
  <c r="BZ280" i="1" s="1"/>
  <c r="GN267" i="1"/>
  <c r="GP267" i="1"/>
  <c r="GV267" i="1"/>
  <c r="HC267" i="1" s="1"/>
  <c r="GX267" i="1"/>
  <c r="C268" i="1"/>
  <c r="D268" i="1"/>
  <c r="I268" i="1"/>
  <c r="K268" i="1"/>
  <c r="Q268" i="1"/>
  <c r="S268" i="1"/>
  <c r="Y268" i="1" s="1"/>
  <c r="T268" i="1"/>
  <c r="V268" i="1"/>
  <c r="X268" i="1"/>
  <c r="AC268" i="1"/>
  <c r="AE268" i="1"/>
  <c r="CR268" i="1" s="1"/>
  <c r="AF268" i="1"/>
  <c r="AG268" i="1"/>
  <c r="CU268" i="1" s="1"/>
  <c r="AH268" i="1"/>
  <c r="AI268" i="1"/>
  <c r="CW268" i="1" s="1"/>
  <c r="AJ268" i="1"/>
  <c r="CX268" i="1" s="1"/>
  <c r="W268" i="1" s="1"/>
  <c r="EB280" i="1" s="1"/>
  <c r="DO280" i="1" s="1"/>
  <c r="CQ268" i="1"/>
  <c r="CT268" i="1"/>
  <c r="CV268" i="1"/>
  <c r="U268" i="1" s="1"/>
  <c r="DZ280" i="1" s="1"/>
  <c r="CZ268" i="1"/>
  <c r="GL268" i="1"/>
  <c r="GN268" i="1"/>
  <c r="GP268" i="1"/>
  <c r="GV268" i="1"/>
  <c r="HC268" i="1" s="1"/>
  <c r="GX268" i="1" s="1"/>
  <c r="I269" i="1"/>
  <c r="K269" i="1"/>
  <c r="S269" i="1"/>
  <c r="X269" i="1" s="1"/>
  <c r="V269" i="1"/>
  <c r="AC269" i="1"/>
  <c r="P269" i="1" s="1"/>
  <c r="AE269" i="1"/>
  <c r="AF269" i="1"/>
  <c r="AG269" i="1"/>
  <c r="CU269" i="1" s="1"/>
  <c r="T269" i="1" s="1"/>
  <c r="AH269" i="1"/>
  <c r="AI269" i="1"/>
  <c r="AJ269" i="1"/>
  <c r="CX269" i="1" s="1"/>
  <c r="W269" i="1" s="1"/>
  <c r="CT269" i="1"/>
  <c r="CV269" i="1"/>
  <c r="U269" i="1" s="1"/>
  <c r="CW269" i="1"/>
  <c r="CY269" i="1"/>
  <c r="GL269" i="1"/>
  <c r="GN269" i="1"/>
  <c r="GP269" i="1"/>
  <c r="GV269" i="1"/>
  <c r="HC269" i="1" s="1"/>
  <c r="GX269" i="1" s="1"/>
  <c r="I270" i="1"/>
  <c r="R270" i="1" s="1"/>
  <c r="K270" i="1"/>
  <c r="Q270" i="1"/>
  <c r="S270" i="1"/>
  <c r="U270" i="1"/>
  <c r="V270" i="1"/>
  <c r="AC270" i="1"/>
  <c r="P270" i="1" s="1"/>
  <c r="AE270" i="1"/>
  <c r="AF270" i="1"/>
  <c r="AG270" i="1"/>
  <c r="CU270" i="1" s="1"/>
  <c r="T270" i="1" s="1"/>
  <c r="AH270" i="1"/>
  <c r="AI270" i="1"/>
  <c r="CW270" i="1" s="1"/>
  <c r="AJ270" i="1"/>
  <c r="CX270" i="1" s="1"/>
  <c r="W270" i="1" s="1"/>
  <c r="CP270" i="1"/>
  <c r="O270" i="1" s="1"/>
  <c r="CQ270" i="1"/>
  <c r="CS270" i="1"/>
  <c r="CT270" i="1"/>
  <c r="CV270" i="1"/>
  <c r="GL270" i="1"/>
  <c r="GN270" i="1"/>
  <c r="GP270" i="1"/>
  <c r="GV270" i="1"/>
  <c r="HC270" i="1"/>
  <c r="GX270" i="1" s="1"/>
  <c r="P271" i="1"/>
  <c r="R271" i="1"/>
  <c r="S271" i="1"/>
  <c r="Y271" i="1" s="1"/>
  <c r="AC271" i="1"/>
  <c r="AD271" i="1"/>
  <c r="AB271" i="1" s="1"/>
  <c r="AE271" i="1"/>
  <c r="Q271" i="1" s="1"/>
  <c r="CP271" i="1" s="1"/>
  <c r="O271" i="1" s="1"/>
  <c r="AF271" i="1"/>
  <c r="CT271" i="1" s="1"/>
  <c r="AG271" i="1"/>
  <c r="AH271" i="1"/>
  <c r="CV271" i="1" s="1"/>
  <c r="U271" i="1" s="1"/>
  <c r="AI271" i="1"/>
  <c r="AJ271" i="1"/>
  <c r="CQ271" i="1"/>
  <c r="CR271" i="1"/>
  <c r="CS271" i="1"/>
  <c r="CU271" i="1"/>
  <c r="T271" i="1" s="1"/>
  <c r="CW271" i="1"/>
  <c r="V271" i="1" s="1"/>
  <c r="CX271" i="1"/>
  <c r="W271" i="1" s="1"/>
  <c r="GL271" i="1"/>
  <c r="GN271" i="1"/>
  <c r="GP271" i="1"/>
  <c r="CD280" i="1" s="1"/>
  <c r="GV271" i="1"/>
  <c r="GX271" i="1"/>
  <c r="HC271" i="1"/>
  <c r="P272" i="1"/>
  <c r="Q272" i="1"/>
  <c r="AC272" i="1"/>
  <c r="AE272" i="1"/>
  <c r="CS272" i="1" s="1"/>
  <c r="AF272" i="1"/>
  <c r="AG272" i="1"/>
  <c r="CU272" i="1" s="1"/>
  <c r="T272" i="1" s="1"/>
  <c r="AH272" i="1"/>
  <c r="AI272" i="1"/>
  <c r="AJ272" i="1"/>
  <c r="CX272" i="1" s="1"/>
  <c r="W272" i="1" s="1"/>
  <c r="CV272" i="1"/>
  <c r="U272" i="1" s="1"/>
  <c r="CW272" i="1"/>
  <c r="V272" i="1" s="1"/>
  <c r="GL272" i="1"/>
  <c r="GN272" i="1"/>
  <c r="GP272" i="1"/>
  <c r="GV272" i="1"/>
  <c r="HC272" i="1" s="1"/>
  <c r="GX272" i="1" s="1"/>
  <c r="I273" i="1"/>
  <c r="Q273" i="1" s="1"/>
  <c r="K273" i="1"/>
  <c r="P273" i="1"/>
  <c r="T273" i="1"/>
  <c r="AC273" i="1"/>
  <c r="AE273" i="1"/>
  <c r="AF273" i="1"/>
  <c r="AG273" i="1"/>
  <c r="AH273" i="1"/>
  <c r="AI273" i="1"/>
  <c r="AJ273" i="1"/>
  <c r="CX273" i="1" s="1"/>
  <c r="W273" i="1" s="1"/>
  <c r="CQ273" i="1"/>
  <c r="CU273" i="1"/>
  <c r="CV273" i="1"/>
  <c r="U273" i="1" s="1"/>
  <c r="CW273" i="1"/>
  <c r="V273" i="1" s="1"/>
  <c r="AI280" i="1" s="1"/>
  <c r="GL273" i="1"/>
  <c r="GN273" i="1"/>
  <c r="GP273" i="1"/>
  <c r="GV273" i="1"/>
  <c r="HC273" i="1" s="1"/>
  <c r="GX273" i="1" s="1"/>
  <c r="I274" i="1"/>
  <c r="K274" i="1"/>
  <c r="AC274" i="1"/>
  <c r="AE274" i="1"/>
  <c r="AF274" i="1"/>
  <c r="AG274" i="1"/>
  <c r="CU274" i="1" s="1"/>
  <c r="AH274" i="1"/>
  <c r="AI274" i="1"/>
  <c r="CW274" i="1" s="1"/>
  <c r="V274" i="1" s="1"/>
  <c r="AJ274" i="1"/>
  <c r="CQ274" i="1"/>
  <c r="CV274" i="1"/>
  <c r="U274" i="1" s="1"/>
  <c r="CX274" i="1"/>
  <c r="W274" i="1" s="1"/>
  <c r="GL274" i="1"/>
  <c r="GN274" i="1"/>
  <c r="GP274" i="1"/>
  <c r="GV274" i="1"/>
  <c r="HC274" i="1" s="1"/>
  <c r="GX274" i="1" s="1"/>
  <c r="Q275" i="1"/>
  <c r="R275" i="1"/>
  <c r="AC275" i="1"/>
  <c r="AD275" i="1"/>
  <c r="AE275" i="1"/>
  <c r="CR275" i="1" s="1"/>
  <c r="AF275" i="1"/>
  <c r="S275" i="1" s="1"/>
  <c r="AG275" i="1"/>
  <c r="CU275" i="1" s="1"/>
  <c r="T275" i="1" s="1"/>
  <c r="AH275" i="1"/>
  <c r="CV275" i="1" s="1"/>
  <c r="U275" i="1" s="1"/>
  <c r="AI275" i="1"/>
  <c r="AJ275" i="1"/>
  <c r="CT275" i="1"/>
  <c r="CW275" i="1"/>
  <c r="V275" i="1" s="1"/>
  <c r="CX275" i="1"/>
  <c r="W275" i="1" s="1"/>
  <c r="CY275" i="1"/>
  <c r="GL275" i="1"/>
  <c r="GN275" i="1"/>
  <c r="GP275" i="1"/>
  <c r="GV275" i="1"/>
  <c r="HC275" i="1"/>
  <c r="GX275" i="1" s="1"/>
  <c r="Q276" i="1"/>
  <c r="R276" i="1"/>
  <c r="S276" i="1"/>
  <c r="AC276" i="1"/>
  <c r="AD276" i="1"/>
  <c r="AE276" i="1"/>
  <c r="CR276" i="1" s="1"/>
  <c r="AF276" i="1"/>
  <c r="AG276" i="1"/>
  <c r="CU276" i="1" s="1"/>
  <c r="T276" i="1" s="1"/>
  <c r="AH276" i="1"/>
  <c r="AI276" i="1"/>
  <c r="AJ276" i="1"/>
  <c r="CS276" i="1"/>
  <c r="CT276" i="1"/>
  <c r="CV276" i="1"/>
  <c r="U276" i="1" s="1"/>
  <c r="CW276" i="1"/>
  <c r="V276" i="1" s="1"/>
  <c r="CX276" i="1"/>
  <c r="W276" i="1" s="1"/>
  <c r="CZ276" i="1"/>
  <c r="GL276" i="1"/>
  <c r="GN276" i="1"/>
  <c r="FT280" i="1" s="1"/>
  <c r="GP276" i="1"/>
  <c r="GV276" i="1"/>
  <c r="HC276" i="1" s="1"/>
  <c r="GX276" i="1" s="1"/>
  <c r="P277" i="1"/>
  <c r="R277" i="1"/>
  <c r="S277" i="1"/>
  <c r="V277" i="1"/>
  <c r="AB277" i="1"/>
  <c r="AC277" i="1"/>
  <c r="CQ277" i="1" s="1"/>
  <c r="AD277" i="1"/>
  <c r="AE277" i="1"/>
  <c r="Q277" i="1" s="1"/>
  <c r="AF277" i="1"/>
  <c r="CT277" i="1" s="1"/>
  <c r="AG277" i="1"/>
  <c r="CU277" i="1" s="1"/>
  <c r="T277" i="1" s="1"/>
  <c r="AH277" i="1"/>
  <c r="CV277" i="1" s="1"/>
  <c r="U277" i="1" s="1"/>
  <c r="AI277" i="1"/>
  <c r="AJ277" i="1"/>
  <c r="CR277" i="1"/>
  <c r="CS277" i="1"/>
  <c r="CW277" i="1"/>
  <c r="CX277" i="1"/>
  <c r="W277" i="1" s="1"/>
  <c r="CY277" i="1"/>
  <c r="GL277" i="1"/>
  <c r="GN277" i="1"/>
  <c r="GP277" i="1"/>
  <c r="GV277" i="1"/>
  <c r="HC277" i="1" s="1"/>
  <c r="GX277" i="1" s="1"/>
  <c r="P278" i="1"/>
  <c r="CP278" i="1" s="1"/>
  <c r="O278" i="1" s="1"/>
  <c r="Q278" i="1"/>
  <c r="R278" i="1"/>
  <c r="U278" i="1"/>
  <c r="AC278" i="1"/>
  <c r="AE278" i="1"/>
  <c r="CS278" i="1" s="1"/>
  <c r="AF278" i="1"/>
  <c r="S278" i="1" s="1"/>
  <c r="AG278" i="1"/>
  <c r="CU278" i="1" s="1"/>
  <c r="T278" i="1" s="1"/>
  <c r="AH278" i="1"/>
  <c r="AI278" i="1"/>
  <c r="AJ278" i="1"/>
  <c r="CR278" i="1"/>
  <c r="CT278" i="1"/>
  <c r="CV278" i="1"/>
  <c r="CW278" i="1"/>
  <c r="V278" i="1" s="1"/>
  <c r="CX278" i="1"/>
  <c r="W278" i="1" s="1"/>
  <c r="CY278" i="1"/>
  <c r="GL278" i="1"/>
  <c r="GN278" i="1"/>
  <c r="GP278" i="1"/>
  <c r="GV278" i="1"/>
  <c r="HC278" i="1" s="1"/>
  <c r="GX278" i="1" s="1"/>
  <c r="B280" i="1"/>
  <c r="B265" i="1" s="1"/>
  <c r="C280" i="1"/>
  <c r="C265" i="1" s="1"/>
  <c r="D280" i="1"/>
  <c r="D265" i="1" s="1"/>
  <c r="F280" i="1"/>
  <c r="F265" i="1" s="1"/>
  <c r="G280" i="1"/>
  <c r="G265" i="1" s="1"/>
  <c r="AO280" i="1"/>
  <c r="AP280" i="1"/>
  <c r="BB280" i="1"/>
  <c r="BB265" i="1" s="1"/>
  <c r="BC280" i="1"/>
  <c r="F296" i="1" s="1"/>
  <c r="BX280" i="1"/>
  <c r="BX265" i="1" s="1"/>
  <c r="BY280" i="1"/>
  <c r="BY265" i="1" s="1"/>
  <c r="CB280" i="1"/>
  <c r="CG280" i="1"/>
  <c r="CK280" i="1"/>
  <c r="CK265" i="1" s="1"/>
  <c r="CL280" i="1"/>
  <c r="CM280" i="1"/>
  <c r="CM265" i="1" s="1"/>
  <c r="EH280" i="1"/>
  <c r="EH265" i="1" s="1"/>
  <c r="EI280" i="1"/>
  <c r="EM280" i="1"/>
  <c r="EM265" i="1" s="1"/>
  <c r="ET280" i="1"/>
  <c r="EU280" i="1"/>
  <c r="FP280" i="1"/>
  <c r="EG280" i="1" s="1"/>
  <c r="FQ280" i="1"/>
  <c r="FQ265" i="1" s="1"/>
  <c r="FR280" i="1"/>
  <c r="FY280" i="1" s="1"/>
  <c r="FV280" i="1"/>
  <c r="FV265" i="1" s="1"/>
  <c r="GC280" i="1"/>
  <c r="GC265" i="1" s="1"/>
  <c r="GD280" i="1"/>
  <c r="GD265" i="1" s="1"/>
  <c r="GE280" i="1"/>
  <c r="F293" i="1"/>
  <c r="P293" i="1"/>
  <c r="D310" i="1"/>
  <c r="E312" i="1"/>
  <c r="F312" i="1"/>
  <c r="Z312" i="1"/>
  <c r="AA312" i="1"/>
  <c r="AM312" i="1"/>
  <c r="AN312" i="1"/>
  <c r="BC312" i="1"/>
  <c r="BD312" i="1"/>
  <c r="BE312" i="1"/>
  <c r="BF312" i="1"/>
  <c r="BG312" i="1"/>
  <c r="BH312" i="1"/>
  <c r="BI312" i="1"/>
  <c r="BJ312" i="1"/>
  <c r="BK312" i="1"/>
  <c r="BL312" i="1"/>
  <c r="BM312" i="1"/>
  <c r="BN312" i="1"/>
  <c r="BO312" i="1"/>
  <c r="BP312" i="1"/>
  <c r="BQ312" i="1"/>
  <c r="BR312" i="1"/>
  <c r="BS312" i="1"/>
  <c r="BT312" i="1"/>
  <c r="BU312" i="1"/>
  <c r="BV312" i="1"/>
  <c r="BW312" i="1"/>
  <c r="CN312" i="1"/>
  <c r="CO312" i="1"/>
  <c r="CP312" i="1"/>
  <c r="CQ312" i="1"/>
  <c r="CR312" i="1"/>
  <c r="CS312" i="1"/>
  <c r="CT312" i="1"/>
  <c r="CU312" i="1"/>
  <c r="CV312" i="1"/>
  <c r="CW312" i="1"/>
  <c r="CX312" i="1"/>
  <c r="CY312" i="1"/>
  <c r="CZ312" i="1"/>
  <c r="DA312" i="1"/>
  <c r="DB312" i="1"/>
  <c r="DC312" i="1"/>
  <c r="DD312" i="1"/>
  <c r="DE312" i="1"/>
  <c r="DF312" i="1"/>
  <c r="DR312" i="1"/>
  <c r="DS312" i="1"/>
  <c r="EE312" i="1"/>
  <c r="EF312" i="1"/>
  <c r="EW312" i="1"/>
  <c r="EX312" i="1"/>
  <c r="EY312" i="1"/>
  <c r="EZ312" i="1"/>
  <c r="FA312" i="1"/>
  <c r="FB312" i="1"/>
  <c r="FC312" i="1"/>
  <c r="FD312" i="1"/>
  <c r="FE312" i="1"/>
  <c r="FF312" i="1"/>
  <c r="FG312" i="1"/>
  <c r="FH312" i="1"/>
  <c r="FI312" i="1"/>
  <c r="FJ312" i="1"/>
  <c r="FK312" i="1"/>
  <c r="FL312" i="1"/>
  <c r="FM312" i="1"/>
  <c r="FN312" i="1"/>
  <c r="FO312" i="1"/>
  <c r="GF312" i="1"/>
  <c r="GG312" i="1"/>
  <c r="GH312" i="1"/>
  <c r="GI312" i="1"/>
  <c r="GJ312" i="1"/>
  <c r="GK312" i="1"/>
  <c r="GL312" i="1"/>
  <c r="GM312" i="1"/>
  <c r="GN312" i="1"/>
  <c r="GO312" i="1"/>
  <c r="GP312" i="1"/>
  <c r="GQ312" i="1"/>
  <c r="GR312" i="1"/>
  <c r="GS312" i="1"/>
  <c r="GT312" i="1"/>
  <c r="GU312" i="1"/>
  <c r="GV312" i="1"/>
  <c r="GW312" i="1"/>
  <c r="GX312" i="1"/>
  <c r="C314" i="1"/>
  <c r="D314" i="1"/>
  <c r="V314" i="1"/>
  <c r="W314" i="1"/>
  <c r="AC314" i="1"/>
  <c r="CQ314" i="1" s="1"/>
  <c r="AE314" i="1"/>
  <c r="R314" i="1" s="1"/>
  <c r="AF314" i="1"/>
  <c r="AG314" i="1"/>
  <c r="CU314" i="1" s="1"/>
  <c r="T314" i="1" s="1"/>
  <c r="AH314" i="1"/>
  <c r="AI314" i="1"/>
  <c r="AJ314" i="1"/>
  <c r="CX314" i="1" s="1"/>
  <c r="CV314" i="1"/>
  <c r="U314" i="1" s="1"/>
  <c r="CW314" i="1"/>
  <c r="GL314" i="1"/>
  <c r="GN314" i="1"/>
  <c r="GP314" i="1"/>
  <c r="GV314" i="1"/>
  <c r="HC314" i="1"/>
  <c r="GX314" i="1" s="1"/>
  <c r="C315" i="1"/>
  <c r="D315" i="1"/>
  <c r="P315" i="1"/>
  <c r="Q315" i="1"/>
  <c r="R315" i="1"/>
  <c r="AC315" i="1"/>
  <c r="AE315" i="1"/>
  <c r="CS315" i="1" s="1"/>
  <c r="AF315" i="1"/>
  <c r="AG315" i="1"/>
  <c r="AH315" i="1"/>
  <c r="AI315" i="1"/>
  <c r="AJ315" i="1"/>
  <c r="CX315" i="1" s="1"/>
  <c r="W315" i="1" s="1"/>
  <c r="CQ315" i="1"/>
  <c r="CR315" i="1"/>
  <c r="CU315" i="1"/>
  <c r="T315" i="1" s="1"/>
  <c r="CV315" i="1"/>
  <c r="U315" i="1" s="1"/>
  <c r="CW315" i="1"/>
  <c r="V315" i="1" s="1"/>
  <c r="GL315" i="1"/>
  <c r="GN315" i="1"/>
  <c r="GP315" i="1"/>
  <c r="GV315" i="1"/>
  <c r="HC315" i="1"/>
  <c r="GX315" i="1" s="1"/>
  <c r="GB329" i="1" s="1"/>
  <c r="R316" i="1"/>
  <c r="U316" i="1"/>
  <c r="V316" i="1"/>
  <c r="AC316" i="1"/>
  <c r="AD316" i="1"/>
  <c r="AE316" i="1"/>
  <c r="Q316" i="1" s="1"/>
  <c r="AF316" i="1"/>
  <c r="S316" i="1" s="1"/>
  <c r="AG316" i="1"/>
  <c r="CU316" i="1" s="1"/>
  <c r="T316" i="1" s="1"/>
  <c r="AH316" i="1"/>
  <c r="AI316" i="1"/>
  <c r="AJ316" i="1"/>
  <c r="CX316" i="1" s="1"/>
  <c r="W316" i="1" s="1"/>
  <c r="CR316" i="1"/>
  <c r="CS316" i="1"/>
  <c r="CV316" i="1"/>
  <c r="CW316" i="1"/>
  <c r="GL316" i="1"/>
  <c r="GO316" i="1"/>
  <c r="GP316" i="1"/>
  <c r="GV316" i="1"/>
  <c r="HC316" i="1" s="1"/>
  <c r="GX316" i="1" s="1"/>
  <c r="R317" i="1"/>
  <c r="S317" i="1"/>
  <c r="V317" i="1"/>
  <c r="AC317" i="1"/>
  <c r="AD317" i="1"/>
  <c r="AE317" i="1"/>
  <c r="Q317" i="1" s="1"/>
  <c r="AF317" i="1"/>
  <c r="AG317" i="1"/>
  <c r="CU317" i="1" s="1"/>
  <c r="T317" i="1" s="1"/>
  <c r="DY329" i="1" s="1"/>
  <c r="AH317" i="1"/>
  <c r="CV317" i="1" s="1"/>
  <c r="U317" i="1" s="1"/>
  <c r="AI317" i="1"/>
  <c r="AJ317" i="1"/>
  <c r="CX317" i="1" s="1"/>
  <c r="W317" i="1" s="1"/>
  <c r="CQ317" i="1"/>
  <c r="CR317" i="1"/>
  <c r="CS317" i="1"/>
  <c r="CT317" i="1"/>
  <c r="CW317" i="1"/>
  <c r="GL317" i="1"/>
  <c r="GO317" i="1"/>
  <c r="GP317" i="1"/>
  <c r="GV317" i="1"/>
  <c r="HC317" i="1" s="1"/>
  <c r="GX317" i="1" s="1"/>
  <c r="S318" i="1"/>
  <c r="Y318" i="1" s="1"/>
  <c r="AC318" i="1"/>
  <c r="AD318" i="1"/>
  <c r="AE318" i="1"/>
  <c r="CR318" i="1" s="1"/>
  <c r="AF318" i="1"/>
  <c r="AG318" i="1"/>
  <c r="CU318" i="1" s="1"/>
  <c r="T318" i="1" s="1"/>
  <c r="AH318" i="1"/>
  <c r="CV318" i="1" s="1"/>
  <c r="U318" i="1" s="1"/>
  <c r="AH329" i="1" s="1"/>
  <c r="AI318" i="1"/>
  <c r="CW318" i="1" s="1"/>
  <c r="V318" i="1" s="1"/>
  <c r="AJ318" i="1"/>
  <c r="CT318" i="1"/>
  <c r="CX318" i="1"/>
  <c r="W318" i="1" s="1"/>
  <c r="CY318" i="1"/>
  <c r="CZ318" i="1"/>
  <c r="GL318" i="1"/>
  <c r="GO318" i="1"/>
  <c r="GP318" i="1"/>
  <c r="GV318" i="1"/>
  <c r="HC318" i="1" s="1"/>
  <c r="GX318" i="1" s="1"/>
  <c r="P319" i="1"/>
  <c r="Q319" i="1"/>
  <c r="DV329" i="1" s="1"/>
  <c r="AC319" i="1"/>
  <c r="AD319" i="1"/>
  <c r="AE319" i="1"/>
  <c r="CS319" i="1" s="1"/>
  <c r="AF319" i="1"/>
  <c r="AG319" i="1"/>
  <c r="AH319" i="1"/>
  <c r="AI319" i="1"/>
  <c r="AJ319" i="1"/>
  <c r="CX319" i="1" s="1"/>
  <c r="W319" i="1" s="1"/>
  <c r="CQ319" i="1"/>
  <c r="CU319" i="1"/>
  <c r="T319" i="1" s="1"/>
  <c r="CV319" i="1"/>
  <c r="U319" i="1" s="1"/>
  <c r="CW319" i="1"/>
  <c r="V319" i="1" s="1"/>
  <c r="GL319" i="1"/>
  <c r="GO319" i="1"/>
  <c r="GP319" i="1"/>
  <c r="GV319" i="1"/>
  <c r="GX319" i="1"/>
  <c r="HC319" i="1"/>
  <c r="R320" i="1"/>
  <c r="U320" i="1"/>
  <c r="Y320" i="1"/>
  <c r="AC320" i="1"/>
  <c r="AB320" i="1" s="1"/>
  <c r="AD320" i="1"/>
  <c r="AE320" i="1"/>
  <c r="Q320" i="1" s="1"/>
  <c r="AF320" i="1"/>
  <c r="S320" i="1" s="1"/>
  <c r="AG320" i="1"/>
  <c r="CU320" i="1" s="1"/>
  <c r="T320" i="1" s="1"/>
  <c r="AH320" i="1"/>
  <c r="AI320" i="1"/>
  <c r="AJ320" i="1"/>
  <c r="CX320" i="1" s="1"/>
  <c r="W320" i="1" s="1"/>
  <c r="AJ329" i="1" s="1"/>
  <c r="CR320" i="1"/>
  <c r="CS320" i="1"/>
  <c r="CT320" i="1"/>
  <c r="CV320" i="1"/>
  <c r="CW320" i="1"/>
  <c r="V320" i="1" s="1"/>
  <c r="CZ320" i="1"/>
  <c r="GL320" i="1"/>
  <c r="GO320" i="1"/>
  <c r="GP320" i="1"/>
  <c r="CD329" i="1" s="1"/>
  <c r="GV320" i="1"/>
  <c r="HC320" i="1" s="1"/>
  <c r="GX320" i="1" s="1"/>
  <c r="R321" i="1"/>
  <c r="S321" i="1"/>
  <c r="X321" i="1" s="1"/>
  <c r="AC321" i="1"/>
  <c r="CQ321" i="1" s="1"/>
  <c r="AD321" i="1"/>
  <c r="AE321" i="1"/>
  <c r="Q321" i="1" s="1"/>
  <c r="AF321" i="1"/>
  <c r="AG321" i="1"/>
  <c r="CU321" i="1" s="1"/>
  <c r="T321" i="1" s="1"/>
  <c r="AH321" i="1"/>
  <c r="CV321" i="1" s="1"/>
  <c r="U321" i="1" s="1"/>
  <c r="AI321" i="1"/>
  <c r="AJ321" i="1"/>
  <c r="CX321" i="1" s="1"/>
  <c r="W321" i="1" s="1"/>
  <c r="CR321" i="1"/>
  <c r="CS321" i="1"/>
  <c r="CT321" i="1"/>
  <c r="CW321" i="1"/>
  <c r="V321" i="1" s="1"/>
  <c r="GL321" i="1"/>
  <c r="GO321" i="1"/>
  <c r="GP321" i="1"/>
  <c r="GV321" i="1"/>
  <c r="HC321" i="1" s="1"/>
  <c r="GX321" i="1" s="1"/>
  <c r="C322" i="1"/>
  <c r="D322" i="1"/>
  <c r="I322" i="1"/>
  <c r="CU243" i="3" s="1"/>
  <c r="K322" i="1"/>
  <c r="T322" i="1"/>
  <c r="W322" i="1"/>
  <c r="AC322" i="1"/>
  <c r="AE322" i="1"/>
  <c r="AF322" i="1"/>
  <c r="S322" i="1" s="1"/>
  <c r="AG322" i="1"/>
  <c r="AH322" i="1"/>
  <c r="CV322" i="1" s="1"/>
  <c r="U322" i="1" s="1"/>
  <c r="AI322" i="1"/>
  <c r="CW322" i="1" s="1"/>
  <c r="V322" i="1" s="1"/>
  <c r="AJ322" i="1"/>
  <c r="CQ322" i="1"/>
  <c r="CT322" i="1"/>
  <c r="CU322" i="1"/>
  <c r="CX322" i="1"/>
  <c r="CY322" i="1"/>
  <c r="GL322" i="1"/>
  <c r="GN322" i="1"/>
  <c r="GP322" i="1"/>
  <c r="GV322" i="1"/>
  <c r="HC322" i="1"/>
  <c r="GX322" i="1" s="1"/>
  <c r="C323" i="1"/>
  <c r="D323" i="1"/>
  <c r="I323" i="1"/>
  <c r="Q323" i="1" s="1"/>
  <c r="K323" i="1"/>
  <c r="P323" i="1"/>
  <c r="V323" i="1"/>
  <c r="AC323" i="1"/>
  <c r="AD323" i="1"/>
  <c r="AB323" i="1" s="1"/>
  <c r="AE323" i="1"/>
  <c r="CS323" i="1" s="1"/>
  <c r="AF323" i="1"/>
  <c r="CT323" i="1" s="1"/>
  <c r="AG323" i="1"/>
  <c r="AH323" i="1"/>
  <c r="CV323" i="1" s="1"/>
  <c r="U323" i="1" s="1"/>
  <c r="AI323" i="1"/>
  <c r="CW323" i="1" s="1"/>
  <c r="AJ323" i="1"/>
  <c r="CX323" i="1" s="1"/>
  <c r="CQ323" i="1"/>
  <c r="CR323" i="1"/>
  <c r="CU323" i="1"/>
  <c r="T323" i="1" s="1"/>
  <c r="GL323" i="1"/>
  <c r="GN323" i="1"/>
  <c r="GP323" i="1"/>
  <c r="GV323" i="1"/>
  <c r="HC323" i="1"/>
  <c r="Q324" i="1"/>
  <c r="V324" i="1"/>
  <c r="AC324" i="1"/>
  <c r="AE324" i="1"/>
  <c r="AD324" i="1" s="1"/>
  <c r="AF324" i="1"/>
  <c r="S324" i="1" s="1"/>
  <c r="AG324" i="1"/>
  <c r="CU324" i="1" s="1"/>
  <c r="T324" i="1" s="1"/>
  <c r="AH324" i="1"/>
  <c r="AI324" i="1"/>
  <c r="AJ324" i="1"/>
  <c r="CX324" i="1" s="1"/>
  <c r="W324" i="1" s="1"/>
  <c r="CV324" i="1"/>
  <c r="U324" i="1" s="1"/>
  <c r="CW324" i="1"/>
  <c r="GL324" i="1"/>
  <c r="GN324" i="1"/>
  <c r="GP324" i="1"/>
  <c r="GV324" i="1"/>
  <c r="HC324" i="1"/>
  <c r="GX324" i="1" s="1"/>
  <c r="S325" i="1"/>
  <c r="X325" i="1" s="1"/>
  <c r="V325" i="1"/>
  <c r="AC325" i="1"/>
  <c r="P325" i="1" s="1"/>
  <c r="CP325" i="1" s="1"/>
  <c r="O325" i="1" s="1"/>
  <c r="AD325" i="1"/>
  <c r="AE325" i="1"/>
  <c r="Q325" i="1" s="1"/>
  <c r="AF325" i="1"/>
  <c r="AG325" i="1"/>
  <c r="CU325" i="1" s="1"/>
  <c r="T325" i="1" s="1"/>
  <c r="AH325" i="1"/>
  <c r="CV325" i="1" s="1"/>
  <c r="U325" i="1" s="1"/>
  <c r="AI325" i="1"/>
  <c r="AJ325" i="1"/>
  <c r="CR325" i="1"/>
  <c r="CS325" i="1"/>
  <c r="CT325" i="1"/>
  <c r="CW325" i="1"/>
  <c r="CX325" i="1"/>
  <c r="W325" i="1" s="1"/>
  <c r="GL325" i="1"/>
  <c r="GN325" i="1"/>
  <c r="GP325" i="1"/>
  <c r="GV325" i="1"/>
  <c r="HC325" i="1" s="1"/>
  <c r="GX325" i="1"/>
  <c r="P326" i="1"/>
  <c r="S326" i="1"/>
  <c r="X326" i="1" s="1"/>
  <c r="V326" i="1"/>
  <c r="W326" i="1"/>
  <c r="AC326" i="1"/>
  <c r="AD326" i="1"/>
  <c r="AB326" i="1" s="1"/>
  <c r="AE326" i="1"/>
  <c r="CS326" i="1" s="1"/>
  <c r="AF326" i="1"/>
  <c r="AG326" i="1"/>
  <c r="CU326" i="1" s="1"/>
  <c r="T326" i="1" s="1"/>
  <c r="AH326" i="1"/>
  <c r="CV326" i="1" s="1"/>
  <c r="U326" i="1" s="1"/>
  <c r="AI326" i="1"/>
  <c r="CW326" i="1" s="1"/>
  <c r="AJ326" i="1"/>
  <c r="CQ326" i="1"/>
  <c r="CR326" i="1"/>
  <c r="CT326" i="1"/>
  <c r="CX326" i="1"/>
  <c r="GL326" i="1"/>
  <c r="GN326" i="1"/>
  <c r="GP326" i="1"/>
  <c r="GV326" i="1"/>
  <c r="GX326" i="1"/>
  <c r="HC326" i="1"/>
  <c r="P327" i="1"/>
  <c r="CP327" i="1" s="1"/>
  <c r="O327" i="1" s="1"/>
  <c r="Q327" i="1"/>
  <c r="S327" i="1"/>
  <c r="X327" i="1" s="1"/>
  <c r="AC327" i="1"/>
  <c r="AD327" i="1"/>
  <c r="AB327" i="1" s="1"/>
  <c r="AE327" i="1"/>
  <c r="CS327" i="1" s="1"/>
  <c r="AF327" i="1"/>
  <c r="CT327" i="1" s="1"/>
  <c r="AG327" i="1"/>
  <c r="CU327" i="1" s="1"/>
  <c r="T327" i="1" s="1"/>
  <c r="AH327" i="1"/>
  <c r="CV327" i="1" s="1"/>
  <c r="U327" i="1" s="1"/>
  <c r="AI327" i="1"/>
  <c r="AJ327" i="1"/>
  <c r="CQ327" i="1"/>
  <c r="CR327" i="1"/>
  <c r="CW327" i="1"/>
  <c r="V327" i="1" s="1"/>
  <c r="CX327" i="1"/>
  <c r="W327" i="1" s="1"/>
  <c r="GL327" i="1"/>
  <c r="FR329" i="1" s="1"/>
  <c r="GN327" i="1"/>
  <c r="GP327" i="1"/>
  <c r="GV327" i="1"/>
  <c r="GX327" i="1"/>
  <c r="HC327" i="1"/>
  <c r="B329" i="1"/>
  <c r="B312" i="1" s="1"/>
  <c r="C329" i="1"/>
  <c r="C312" i="1" s="1"/>
  <c r="D329" i="1"/>
  <c r="D312" i="1" s="1"/>
  <c r="F329" i="1"/>
  <c r="G329" i="1"/>
  <c r="G312" i="1" s="1"/>
  <c r="AP329" i="1"/>
  <c r="AP312" i="1" s="1"/>
  <c r="BB329" i="1"/>
  <c r="BB312" i="1" s="1"/>
  <c r="BC329" i="1"/>
  <c r="F345" i="1" s="1"/>
  <c r="BX329" i="1"/>
  <c r="AO329" i="1" s="1"/>
  <c r="BY329" i="1"/>
  <c r="CK329" i="1"/>
  <c r="CK312" i="1" s="1"/>
  <c r="CL329" i="1"/>
  <c r="CL312" i="1" s="1"/>
  <c r="CM329" i="1"/>
  <c r="BD329" i="1" s="1"/>
  <c r="F354" i="1" s="1"/>
  <c r="FP329" i="1"/>
  <c r="EG329" i="1" s="1"/>
  <c r="EG312" i="1" s="1"/>
  <c r="FQ329" i="1"/>
  <c r="FQ312" i="1" s="1"/>
  <c r="FV329" i="1"/>
  <c r="FV312" i="1" s="1"/>
  <c r="GC329" i="1"/>
  <c r="GC312" i="1" s="1"/>
  <c r="GD329" i="1"/>
  <c r="GD312" i="1" s="1"/>
  <c r="GE329" i="1"/>
  <c r="EV329" i="1" s="1"/>
  <c r="P333" i="1"/>
  <c r="F338" i="1"/>
  <c r="F342" i="1"/>
  <c r="B359" i="1"/>
  <c r="B22" i="1" s="1"/>
  <c r="C359" i="1"/>
  <c r="C22" i="1" s="1"/>
  <c r="D359" i="1"/>
  <c r="D22" i="1" s="1"/>
  <c r="F359" i="1"/>
  <c r="F22" i="1" s="1"/>
  <c r="G359" i="1"/>
  <c r="G22" i="1" s="1"/>
  <c r="BC359" i="1"/>
  <c r="BC22" i="1" s="1"/>
  <c r="F375" i="1"/>
  <c r="B389" i="1"/>
  <c r="B18" i="1" s="1"/>
  <c r="C389" i="1"/>
  <c r="C18" i="1" s="1"/>
  <c r="D389" i="1"/>
  <c r="D18" i="1" s="1"/>
  <c r="F389" i="1"/>
  <c r="F18" i="1" s="1"/>
  <c r="G389" i="1"/>
  <c r="G18" i="1" s="1"/>
  <c r="BC389" i="1"/>
  <c r="BC18" i="1" s="1"/>
  <c r="F405" i="1"/>
  <c r="F12" i="6"/>
  <c r="G12" i="6"/>
  <c r="O58" i="7" l="1"/>
  <c r="H441" i="7" s="1"/>
  <c r="P69" i="7"/>
  <c r="H101" i="7"/>
  <c r="P113" i="7"/>
  <c r="P254" i="7"/>
  <c r="J56" i="7"/>
  <c r="O91" i="7"/>
  <c r="O320" i="7"/>
  <c r="O80" i="7"/>
  <c r="H144" i="7"/>
  <c r="P178" i="7"/>
  <c r="O193" i="7"/>
  <c r="J350" i="7"/>
  <c r="H385" i="7"/>
  <c r="J437" i="7"/>
  <c r="J89" i="7"/>
  <c r="P48" i="7"/>
  <c r="P91" i="7"/>
  <c r="H290" i="7"/>
  <c r="J288" i="7"/>
  <c r="J320" i="7"/>
  <c r="J364" i="7"/>
  <c r="J385" i="7"/>
  <c r="H69" i="7"/>
  <c r="P80" i="7"/>
  <c r="J191" i="7"/>
  <c r="H221" i="7"/>
  <c r="P387" i="7"/>
  <c r="J407" i="7" s="1"/>
  <c r="O113" i="7"/>
  <c r="J69" i="7"/>
  <c r="O103" i="7"/>
  <c r="H121" i="7"/>
  <c r="O134" i="7"/>
  <c r="P223" i="7"/>
  <c r="O305" i="7"/>
  <c r="H372" i="7" s="1"/>
  <c r="H320" i="7"/>
  <c r="P320" i="7"/>
  <c r="H407" i="7"/>
  <c r="H437" i="7"/>
  <c r="J113" i="7"/>
  <c r="O164" i="7"/>
  <c r="H238" i="7" s="1"/>
  <c r="J352" i="7"/>
  <c r="J223" i="7"/>
  <c r="H46" i="7"/>
  <c r="J58" i="7"/>
  <c r="O69" i="7"/>
  <c r="J78" i="7"/>
  <c r="J134" i="7"/>
  <c r="H146" i="7"/>
  <c r="J193" i="7"/>
  <c r="H223" i="7"/>
  <c r="H229" i="7"/>
  <c r="H235" i="7"/>
  <c r="P305" i="7"/>
  <c r="H337" i="7"/>
  <c r="H355" i="7"/>
  <c r="P366" i="7"/>
  <c r="J394" i="7"/>
  <c r="H391" i="7"/>
  <c r="P58" i="7"/>
  <c r="J103" i="7"/>
  <c r="H111" i="7"/>
  <c r="H123" i="7"/>
  <c r="P134" i="7"/>
  <c r="P193" i="7"/>
  <c r="J238" i="7" s="1"/>
  <c r="O223" i="7"/>
  <c r="H303" i="7"/>
  <c r="H364" i="7"/>
  <c r="H387" i="7"/>
  <c r="J422" i="7"/>
  <c r="J80" i="7"/>
  <c r="J162" i="7"/>
  <c r="H167" i="7"/>
  <c r="J252" i="7"/>
  <c r="J318" i="7"/>
  <c r="P352" i="7"/>
  <c r="H366" i="7"/>
  <c r="J428" i="7"/>
  <c r="J434" i="7"/>
  <c r="H58" i="7"/>
  <c r="H78" i="7"/>
  <c r="H134" i="7"/>
  <c r="J176" i="7"/>
  <c r="H181" i="7"/>
  <c r="H193" i="7"/>
  <c r="J206" i="7"/>
  <c r="H211" i="7"/>
  <c r="J232" i="7"/>
  <c r="H332" i="7"/>
  <c r="J340" i="7"/>
  <c r="H350" i="7"/>
  <c r="J67" i="7"/>
  <c r="J91" i="7"/>
  <c r="H103" i="7"/>
  <c r="J164" i="7"/>
  <c r="J254" i="7"/>
  <c r="J290" i="7"/>
  <c r="H422" i="7"/>
  <c r="H428" i="7"/>
  <c r="H434" i="7"/>
  <c r="H80" i="7"/>
  <c r="J144" i="7"/>
  <c r="J178" i="7"/>
  <c r="J208" i="7"/>
  <c r="J221" i="7"/>
  <c r="H334" i="7"/>
  <c r="H352" i="7"/>
  <c r="H89" i="7"/>
  <c r="J121" i="7"/>
  <c r="H162" i="7"/>
  <c r="H252" i="7"/>
  <c r="H288" i="7"/>
  <c r="H318" i="7"/>
  <c r="H67" i="7"/>
  <c r="H91" i="7"/>
  <c r="J111" i="7"/>
  <c r="J123" i="7"/>
  <c r="P146" i="7"/>
  <c r="H164" i="7"/>
  <c r="H254" i="7"/>
  <c r="H260" i="7"/>
  <c r="H266" i="7"/>
  <c r="H272" i="7"/>
  <c r="H278" i="7"/>
  <c r="H308" i="7"/>
  <c r="J387" i="7"/>
  <c r="H398" i="7"/>
  <c r="J425" i="7"/>
  <c r="J431" i="7"/>
  <c r="J48" i="7"/>
  <c r="H178" i="7"/>
  <c r="H196" i="7"/>
  <c r="H208" i="7"/>
  <c r="J229" i="7"/>
  <c r="J235" i="7"/>
  <c r="J337" i="7"/>
  <c r="J355" i="7"/>
  <c r="AU329" i="1"/>
  <c r="CD312" i="1"/>
  <c r="AI329" i="1"/>
  <c r="DV312" i="1"/>
  <c r="DI329" i="1"/>
  <c r="AH312" i="1"/>
  <c r="U329" i="1"/>
  <c r="DZ265" i="1"/>
  <c r="DM280" i="1"/>
  <c r="ES329" i="1"/>
  <c r="GB312" i="1"/>
  <c r="CY324" i="1"/>
  <c r="CZ324" i="1"/>
  <c r="X324" i="1"/>
  <c r="Y324" i="1"/>
  <c r="AO312" i="1"/>
  <c r="F333" i="1"/>
  <c r="DZ329" i="1"/>
  <c r="P354" i="1"/>
  <c r="EV312" i="1"/>
  <c r="FR312" i="1"/>
  <c r="FY329" i="1"/>
  <c r="EI329" i="1"/>
  <c r="AJ312" i="1"/>
  <c r="W329" i="1"/>
  <c r="DY312" i="1"/>
  <c r="DL329" i="1"/>
  <c r="AI265" i="1"/>
  <c r="V280" i="1"/>
  <c r="CJ329" i="1"/>
  <c r="Y327" i="1"/>
  <c r="BZ329" i="1"/>
  <c r="AO265" i="1"/>
  <c r="F284" i="1"/>
  <c r="CZ278" i="1"/>
  <c r="X278" i="1"/>
  <c r="CQ276" i="1"/>
  <c r="AB276" i="1"/>
  <c r="P276" i="1"/>
  <c r="CP276" i="1" s="1"/>
  <c r="O276" i="1" s="1"/>
  <c r="EA233" i="1"/>
  <c r="Y317" i="1"/>
  <c r="CY317" i="1"/>
  <c r="CZ317" i="1"/>
  <c r="CD265" i="1"/>
  <c r="AU280" i="1"/>
  <c r="GX323" i="1"/>
  <c r="W323" i="1"/>
  <c r="CZ322" i="1"/>
  <c r="Y322" i="1"/>
  <c r="CY276" i="1"/>
  <c r="X276" i="1"/>
  <c r="Y276" i="1"/>
  <c r="S274" i="1"/>
  <c r="CT274" i="1"/>
  <c r="AH280" i="1"/>
  <c r="CY214" i="1"/>
  <c r="Y214" i="1"/>
  <c r="X214" i="1"/>
  <c r="CZ214" i="1"/>
  <c r="CY225" i="1"/>
  <c r="CZ225" i="1"/>
  <c r="Y225" i="1"/>
  <c r="EH329" i="1"/>
  <c r="CR322" i="1"/>
  <c r="CS322" i="1"/>
  <c r="AB319" i="1"/>
  <c r="GE312" i="1"/>
  <c r="BX312" i="1"/>
  <c r="GE265" i="1"/>
  <c r="EV280" i="1"/>
  <c r="CG265" i="1"/>
  <c r="AX280" i="1"/>
  <c r="CS274" i="1"/>
  <c r="AD274" i="1"/>
  <c r="CR274" i="1"/>
  <c r="GB280" i="1"/>
  <c r="CJ280" i="1"/>
  <c r="DY233" i="1"/>
  <c r="AB325" i="1"/>
  <c r="AD322" i="1"/>
  <c r="Y321" i="1"/>
  <c r="CY321" i="1"/>
  <c r="CZ321" i="1"/>
  <c r="EB329" i="1"/>
  <c r="CS314" i="1"/>
  <c r="EI265" i="1"/>
  <c r="P290" i="1"/>
  <c r="Y278" i="1"/>
  <c r="CZ277" i="1"/>
  <c r="X277" i="1"/>
  <c r="Y277" i="1"/>
  <c r="S272" i="1"/>
  <c r="CT272" i="1"/>
  <c r="CR314" i="1"/>
  <c r="AD314" i="1"/>
  <c r="AB314" i="1" s="1"/>
  <c r="CQ275" i="1"/>
  <c r="AB275" i="1"/>
  <c r="P275" i="1"/>
  <c r="CP275" i="1" s="1"/>
  <c r="O275" i="1" s="1"/>
  <c r="EB265" i="1"/>
  <c r="P320" i="1"/>
  <c r="CP320" i="1" s="1"/>
  <c r="O320" i="1" s="1"/>
  <c r="GM320" i="1" s="1"/>
  <c r="GN320" i="1" s="1"/>
  <c r="CQ320" i="1"/>
  <c r="S319" i="1"/>
  <c r="CT319" i="1"/>
  <c r="EI184" i="1"/>
  <c r="P243" i="1"/>
  <c r="CZ326" i="1"/>
  <c r="CQ324" i="1"/>
  <c r="P324" i="1"/>
  <c r="CP324" i="1" s="1"/>
  <c r="O324" i="1" s="1"/>
  <c r="GM324" i="1" s="1"/>
  <c r="GO324" i="1" s="1"/>
  <c r="CU244" i="3"/>
  <c r="CV244" i="3"/>
  <c r="CX244" i="3"/>
  <c r="R323" i="1"/>
  <c r="AB318" i="1"/>
  <c r="CY316" i="1"/>
  <c r="X316" i="1"/>
  <c r="Q314" i="1"/>
  <c r="P299" i="1"/>
  <c r="AS280" i="1"/>
  <c r="CB265" i="1"/>
  <c r="CD184" i="1"/>
  <c r="AU233" i="1"/>
  <c r="DZ233" i="1"/>
  <c r="EU265" i="1"/>
  <c r="P296" i="1"/>
  <c r="AB322" i="1"/>
  <c r="EU329" i="1"/>
  <c r="CI329" i="1"/>
  <c r="R327" i="1"/>
  <c r="CY326" i="1"/>
  <c r="CQ325" i="1"/>
  <c r="AB324" i="1"/>
  <c r="X322" i="1"/>
  <c r="CR319" i="1"/>
  <c r="X318" i="1"/>
  <c r="CP277" i="1"/>
  <c r="O277" i="1" s="1"/>
  <c r="GM277" i="1" s="1"/>
  <c r="GO277" i="1" s="1"/>
  <c r="DZ26" i="1"/>
  <c r="DM53" i="1"/>
  <c r="AB321" i="1"/>
  <c r="P321" i="1"/>
  <c r="CP321" i="1" s="1"/>
  <c r="O321" i="1" s="1"/>
  <c r="GM321" i="1" s="1"/>
  <c r="GN321" i="1" s="1"/>
  <c r="ET329" i="1"/>
  <c r="R319" i="1"/>
  <c r="DW329" i="1" s="1"/>
  <c r="CZ316" i="1"/>
  <c r="Q274" i="1"/>
  <c r="EA280" i="1"/>
  <c r="AQ280" i="1"/>
  <c r="BZ265" i="1"/>
  <c r="FT184" i="1"/>
  <c r="EK233" i="1"/>
  <c r="FV184" i="1"/>
  <c r="EM233" i="1"/>
  <c r="DO265" i="1"/>
  <c r="P304" i="1"/>
  <c r="F289" i="1"/>
  <c r="AP265" i="1"/>
  <c r="GM327" i="1"/>
  <c r="GO327" i="1" s="1"/>
  <c r="CT324" i="1"/>
  <c r="AB317" i="1"/>
  <c r="P317" i="1"/>
  <c r="P316" i="1"/>
  <c r="CP316" i="1" s="1"/>
  <c r="O316" i="1" s="1"/>
  <c r="GM316" i="1" s="1"/>
  <c r="GN316" i="1" s="1"/>
  <c r="CQ316" i="1"/>
  <c r="S315" i="1"/>
  <c r="CT315" i="1"/>
  <c r="GM278" i="1"/>
  <c r="GO278" i="1" s="1"/>
  <c r="Y275" i="1"/>
  <c r="X275" i="1"/>
  <c r="S273" i="1"/>
  <c r="CT273" i="1"/>
  <c r="CP272" i="1"/>
  <c r="O272" i="1" s="1"/>
  <c r="AG280" i="1"/>
  <c r="FR184" i="1"/>
  <c r="FY233" i="1"/>
  <c r="CB184" i="1"/>
  <c r="AS233" i="1"/>
  <c r="FR222" i="1"/>
  <c r="GB26" i="1"/>
  <c r="ES53" i="1"/>
  <c r="GA329" i="1"/>
  <c r="CZ327" i="1"/>
  <c r="Y326" i="1"/>
  <c r="CS324" i="1"/>
  <c r="Q322" i="1"/>
  <c r="CY320" i="1"/>
  <c r="X320" i="1"/>
  <c r="CP319" i="1"/>
  <c r="O319" i="1" s="1"/>
  <c r="CQ318" i="1"/>
  <c r="X317" i="1"/>
  <c r="AB316" i="1"/>
  <c r="AG329" i="1"/>
  <c r="FP312" i="1"/>
  <c r="CM312" i="1"/>
  <c r="FY265" i="1"/>
  <c r="EP280" i="1"/>
  <c r="CR273" i="1"/>
  <c r="CS273" i="1"/>
  <c r="AD273" i="1"/>
  <c r="AB273" i="1" s="1"/>
  <c r="AC280" i="1"/>
  <c r="CZ267" i="1"/>
  <c r="AF280" i="1"/>
  <c r="Y267" i="1"/>
  <c r="X267" i="1"/>
  <c r="CY267" i="1"/>
  <c r="CS210" i="1"/>
  <c r="Q210" i="1"/>
  <c r="CP210" i="1" s="1"/>
  <c r="O210" i="1" s="1"/>
  <c r="GM210" i="1" s="1"/>
  <c r="GO210" i="1" s="1"/>
  <c r="R210" i="1"/>
  <c r="CR210" i="1"/>
  <c r="Y210" i="1"/>
  <c r="AD210" i="1"/>
  <c r="CZ210" i="1"/>
  <c r="CY210" i="1"/>
  <c r="EA329" i="1"/>
  <c r="EG265" i="1"/>
  <c r="P284" i="1"/>
  <c r="AJ265" i="1"/>
  <c r="W280" i="1"/>
  <c r="CY325" i="1"/>
  <c r="CZ325" i="1"/>
  <c r="Y325" i="1"/>
  <c r="GM325" i="1" s="1"/>
  <c r="GO325" i="1" s="1"/>
  <c r="EM329" i="1"/>
  <c r="CY327" i="1"/>
  <c r="CR324" i="1"/>
  <c r="R324" i="1"/>
  <c r="P322" i="1"/>
  <c r="P318" i="1"/>
  <c r="CT316" i="1"/>
  <c r="Y316" i="1"/>
  <c r="AD315" i="1"/>
  <c r="AB315" i="1" s="1"/>
  <c r="CT314" i="1"/>
  <c r="S314" i="1"/>
  <c r="FT265" i="1"/>
  <c r="EK280" i="1"/>
  <c r="CZ275" i="1"/>
  <c r="DV280" i="1"/>
  <c r="X225" i="1"/>
  <c r="CJ233" i="1"/>
  <c r="AB274" i="1"/>
  <c r="P274" i="1"/>
  <c r="CP274" i="1" s="1"/>
  <c r="O274" i="1" s="1"/>
  <c r="CY270" i="1"/>
  <c r="Y270" i="1"/>
  <c r="CR269" i="1"/>
  <c r="R269" i="1"/>
  <c r="FP265" i="1"/>
  <c r="Y231" i="1"/>
  <c r="CY231" i="1"/>
  <c r="R220" i="1"/>
  <c r="CZ220" i="1"/>
  <c r="CR220" i="1"/>
  <c r="CS220" i="1"/>
  <c r="AD220" i="1"/>
  <c r="GB233" i="1"/>
  <c r="S323" i="1"/>
  <c r="CP323" i="1" s="1"/>
  <c r="O323" i="1" s="1"/>
  <c r="R318" i="1"/>
  <c r="AE329" i="1" s="1"/>
  <c r="AD278" i="1"/>
  <c r="AD272" i="1"/>
  <c r="AD269" i="1"/>
  <c r="AB269" i="1" s="1"/>
  <c r="CP267" i="1"/>
  <c r="O267" i="1" s="1"/>
  <c r="BX184" i="1"/>
  <c r="CG233" i="1"/>
  <c r="CY227" i="1"/>
  <c r="CZ227" i="1"/>
  <c r="Y227" i="1"/>
  <c r="GM227" i="1" s="1"/>
  <c r="CY220" i="1"/>
  <c r="AB220" i="1"/>
  <c r="CU209" i="3"/>
  <c r="CX209" i="3"/>
  <c r="CV209" i="3"/>
  <c r="Q218" i="1"/>
  <c r="R218" i="1"/>
  <c r="GX218" i="1"/>
  <c r="P200" i="1"/>
  <c r="CP200" i="1" s="1"/>
  <c r="O200" i="1" s="1"/>
  <c r="AB200" i="1"/>
  <c r="CQ200" i="1"/>
  <c r="AG233" i="1"/>
  <c r="Q318" i="1"/>
  <c r="GA280" i="1"/>
  <c r="AB278" i="1"/>
  <c r="CQ272" i="1"/>
  <c r="AB272" i="1"/>
  <c r="X271" i="1"/>
  <c r="GM271" i="1" s="1"/>
  <c r="GO271" i="1" s="1"/>
  <c r="EV184" i="1"/>
  <c r="P258" i="1"/>
  <c r="R221" i="1"/>
  <c r="CR221" i="1"/>
  <c r="CS221" i="1"/>
  <c r="AD221" i="1"/>
  <c r="AB221" i="1" s="1"/>
  <c r="Q221" i="1"/>
  <c r="X220" i="1"/>
  <c r="CR215" i="1"/>
  <c r="Q215" i="1"/>
  <c r="R215" i="1"/>
  <c r="CS215" i="1"/>
  <c r="AD215" i="1"/>
  <c r="AB215" i="1" s="1"/>
  <c r="S213" i="1"/>
  <c r="CT213" i="1"/>
  <c r="P212" i="1"/>
  <c r="CQ212" i="1"/>
  <c r="CY207" i="1"/>
  <c r="Y207" i="1"/>
  <c r="X207" i="1"/>
  <c r="CZ207" i="1"/>
  <c r="EU233" i="1"/>
  <c r="CY229" i="1"/>
  <c r="X229" i="1"/>
  <c r="Y229" i="1"/>
  <c r="CP207" i="1"/>
  <c r="O207" i="1" s="1"/>
  <c r="CR267" i="1"/>
  <c r="R267" i="1"/>
  <c r="ET233" i="1"/>
  <c r="CP229" i="1"/>
  <c r="O229" i="1" s="1"/>
  <c r="R326" i="1"/>
  <c r="CS318" i="1"/>
  <c r="P314" i="1"/>
  <c r="CQ278" i="1"/>
  <c r="CS275" i="1"/>
  <c r="CR272" i="1"/>
  <c r="CZ270" i="1"/>
  <c r="AD270" i="1"/>
  <c r="AB270" i="1" s="1"/>
  <c r="CR270" i="1"/>
  <c r="CS269" i="1"/>
  <c r="AD267" i="1"/>
  <c r="AB267" i="1" s="1"/>
  <c r="CR224" i="1"/>
  <c r="CS224" i="1"/>
  <c r="AD224" i="1"/>
  <c r="AB224" i="1" s="1"/>
  <c r="R224" i="1"/>
  <c r="CZ221" i="1"/>
  <c r="Y221" i="1"/>
  <c r="Q326" i="1"/>
  <c r="CP326" i="1" s="1"/>
  <c r="O326" i="1" s="1"/>
  <c r="GM326" i="1" s="1"/>
  <c r="GO326" i="1" s="1"/>
  <c r="BY312" i="1"/>
  <c r="P289" i="1"/>
  <c r="T274" i="1"/>
  <c r="DY280" i="1" s="1"/>
  <c r="CQ269" i="1"/>
  <c r="CV235" i="3"/>
  <c r="CX240" i="3"/>
  <c r="CX238" i="3"/>
  <c r="CU235" i="3"/>
  <c r="CX236" i="3"/>
  <c r="CX235" i="3"/>
  <c r="R268" i="1"/>
  <c r="CT223" i="1"/>
  <c r="S223" i="1"/>
  <c r="CY221" i="1"/>
  <c r="FR221" i="1"/>
  <c r="CP221" i="1"/>
  <c r="O221" i="1" s="1"/>
  <c r="GM221" i="1" s="1"/>
  <c r="S218" i="1"/>
  <c r="CT218" i="1"/>
  <c r="CZ269" i="1"/>
  <c r="Y269" i="1"/>
  <c r="CS268" i="1"/>
  <c r="AD268" i="1"/>
  <c r="CT230" i="1"/>
  <c r="S230" i="1"/>
  <c r="Q222" i="1"/>
  <c r="CP222" i="1" s="1"/>
  <c r="O222" i="1" s="1"/>
  <c r="GM222" i="1" s="1"/>
  <c r="R222" i="1"/>
  <c r="CY222" i="1"/>
  <c r="CR222" i="1"/>
  <c r="CS222" i="1"/>
  <c r="AD222" i="1"/>
  <c r="AB222" i="1" s="1"/>
  <c r="FR213" i="1"/>
  <c r="R325" i="1"/>
  <c r="CI280" i="1"/>
  <c r="BD280" i="1"/>
  <c r="R274" i="1"/>
  <c r="R273" i="1"/>
  <c r="CZ271" i="1"/>
  <c r="X270" i="1"/>
  <c r="Q269" i="1"/>
  <c r="AD280" i="1" s="1"/>
  <c r="CY268" i="1"/>
  <c r="AB268" i="1"/>
  <c r="P268" i="1"/>
  <c r="AQ233" i="1"/>
  <c r="CZ231" i="1"/>
  <c r="AB223" i="1"/>
  <c r="CQ222" i="1"/>
  <c r="CR219" i="1"/>
  <c r="Q219" i="1"/>
  <c r="CP219" i="1" s="1"/>
  <c r="O219" i="1" s="1"/>
  <c r="R219" i="1"/>
  <c r="CS219" i="1"/>
  <c r="AD219" i="1"/>
  <c r="AB219" i="1" s="1"/>
  <c r="CR217" i="1"/>
  <c r="AD217" i="1"/>
  <c r="R217" i="1"/>
  <c r="Q217" i="1"/>
  <c r="CP217" i="1" s="1"/>
  <c r="O217" i="1" s="1"/>
  <c r="GM217" i="1" s="1"/>
  <c r="CS217" i="1"/>
  <c r="X216" i="1"/>
  <c r="CY216" i="1"/>
  <c r="Y216" i="1"/>
  <c r="CZ216" i="1"/>
  <c r="CP214" i="1"/>
  <c r="O214" i="1" s="1"/>
  <c r="GM214" i="1" s="1"/>
  <c r="GO214" i="1" s="1"/>
  <c r="AI233" i="1"/>
  <c r="R322" i="1"/>
  <c r="R272" i="1"/>
  <c r="CY271" i="1"/>
  <c r="CS267" i="1"/>
  <c r="AO233" i="1"/>
  <c r="X231" i="1"/>
  <c r="CR227" i="1"/>
  <c r="CS227" i="1"/>
  <c r="AD227" i="1"/>
  <c r="AB227" i="1" s="1"/>
  <c r="R227" i="1"/>
  <c r="CY224" i="1"/>
  <c r="CZ224" i="1"/>
  <c r="Y224" i="1"/>
  <c r="GM224" i="1" s="1"/>
  <c r="GO224" i="1" s="1"/>
  <c r="P218" i="1"/>
  <c r="CP218" i="1" s="1"/>
  <c r="O218" i="1" s="1"/>
  <c r="P209" i="1"/>
  <c r="CQ209" i="1"/>
  <c r="EB233" i="1"/>
  <c r="CT193" i="1"/>
  <c r="S193" i="1"/>
  <c r="CR225" i="1"/>
  <c r="P220" i="1"/>
  <c r="FR217" i="1"/>
  <c r="Y212" i="1"/>
  <c r="X210" i="1"/>
  <c r="CY206" i="1"/>
  <c r="CZ206" i="1"/>
  <c r="Y206" i="1"/>
  <c r="X205" i="1"/>
  <c r="Y205" i="1"/>
  <c r="CZ205" i="1"/>
  <c r="AB204" i="1"/>
  <c r="P204" i="1"/>
  <c r="CP204" i="1" s="1"/>
  <c r="O204" i="1" s="1"/>
  <c r="CY199" i="1"/>
  <c r="Y199" i="1"/>
  <c r="CZ199" i="1"/>
  <c r="CQ194" i="1"/>
  <c r="AB194" i="1"/>
  <c r="CY144" i="1"/>
  <c r="CZ144" i="1"/>
  <c r="X144" i="1"/>
  <c r="Y144" i="1"/>
  <c r="CR229" i="1"/>
  <c r="CX227" i="3"/>
  <c r="CU224" i="3"/>
  <c r="CX225" i="3"/>
  <c r="CV224" i="3"/>
  <c r="CX224" i="3"/>
  <c r="P195" i="1"/>
  <c r="CP195" i="1" s="1"/>
  <c r="O195" i="1" s="1"/>
  <c r="CQ195" i="1"/>
  <c r="EB152" i="1"/>
  <c r="Q231" i="1"/>
  <c r="CP231" i="1" s="1"/>
  <c r="O231" i="1" s="1"/>
  <c r="GM231" i="1" s="1"/>
  <c r="S228" i="1"/>
  <c r="S226" i="1"/>
  <c r="Y222" i="1"/>
  <c r="AB218" i="1"/>
  <c r="AB217" i="1"/>
  <c r="P216" i="1"/>
  <c r="AD213" i="1"/>
  <c r="CY211" i="1"/>
  <c r="AB210" i="1"/>
  <c r="CQ210" i="1"/>
  <c r="CS209" i="1"/>
  <c r="Y204" i="1"/>
  <c r="X204" i="1"/>
  <c r="Y200" i="1"/>
  <c r="CY200" i="1"/>
  <c r="CY195" i="1"/>
  <c r="CZ195" i="1"/>
  <c r="X195" i="1"/>
  <c r="Y195" i="1"/>
  <c r="Y192" i="1"/>
  <c r="X192" i="1"/>
  <c r="CY192" i="1"/>
  <c r="CZ192" i="1"/>
  <c r="AD231" i="1"/>
  <c r="AB231" i="1" s="1"/>
  <c r="X222" i="1"/>
  <c r="AB213" i="1"/>
  <c r="CQ213" i="1"/>
  <c r="CY209" i="1"/>
  <c r="Y209" i="1"/>
  <c r="R207" i="1"/>
  <c r="CR207" i="1"/>
  <c r="S197" i="1"/>
  <c r="CT197" i="1"/>
  <c r="GM194" i="1"/>
  <c r="GO194" i="1" s="1"/>
  <c r="CU229" i="3"/>
  <c r="CW231" i="3"/>
  <c r="CX232" i="3"/>
  <c r="CV229" i="3"/>
  <c r="CX231" i="3"/>
  <c r="CX229" i="3"/>
  <c r="Q228" i="1"/>
  <c r="CP228" i="1" s="1"/>
  <c r="O228" i="1" s="1"/>
  <c r="Q226" i="1"/>
  <c r="CP226" i="1" s="1"/>
  <c r="O226" i="1" s="1"/>
  <c r="CQ218" i="1"/>
  <c r="AB211" i="1"/>
  <c r="CT210" i="1"/>
  <c r="AD207" i="1"/>
  <c r="AB207" i="1" s="1"/>
  <c r="S198" i="1"/>
  <c r="CT198" i="1"/>
  <c r="GD85" i="1"/>
  <c r="EU152" i="1"/>
  <c r="CY215" i="1"/>
  <c r="Y215" i="1"/>
  <c r="CR214" i="1"/>
  <c r="AD214" i="1"/>
  <c r="AB214" i="1" s="1"/>
  <c r="R214" i="1"/>
  <c r="CD85" i="1"/>
  <c r="AU152" i="1"/>
  <c r="CB85" i="1"/>
  <c r="AS152" i="1"/>
  <c r="BD233" i="1"/>
  <c r="R225" i="1"/>
  <c r="S219" i="1"/>
  <c r="CR213" i="1"/>
  <c r="X211" i="1"/>
  <c r="CP208" i="1"/>
  <c r="O208" i="1" s="1"/>
  <c r="CR206" i="1"/>
  <c r="AD206" i="1"/>
  <c r="R206" i="1"/>
  <c r="Y202" i="1"/>
  <c r="S191" i="1"/>
  <c r="CT191" i="1"/>
  <c r="Q225" i="1"/>
  <c r="CP225" i="1" s="1"/>
  <c r="O225" i="1" s="1"/>
  <c r="GM225" i="1" s="1"/>
  <c r="GO225" i="1" s="1"/>
  <c r="CY217" i="1"/>
  <c r="Y217" i="1"/>
  <c r="X208" i="1"/>
  <c r="CY208" i="1"/>
  <c r="CP206" i="1"/>
  <c r="O206" i="1" s="1"/>
  <c r="GM206" i="1" s="1"/>
  <c r="GO206" i="1" s="1"/>
  <c r="CR205" i="1"/>
  <c r="CS205" i="1"/>
  <c r="AD205" i="1"/>
  <c r="AB205" i="1" s="1"/>
  <c r="Q205" i="1"/>
  <c r="CP205" i="1" s="1"/>
  <c r="O205" i="1" s="1"/>
  <c r="GM205" i="1" s="1"/>
  <c r="GO205" i="1" s="1"/>
  <c r="CY203" i="1"/>
  <c r="Y203" i="1"/>
  <c r="CZ203" i="1"/>
  <c r="R202" i="1"/>
  <c r="CS202" i="1"/>
  <c r="AD202" i="1"/>
  <c r="AB202" i="1" s="1"/>
  <c r="CY202" i="1"/>
  <c r="CS199" i="1"/>
  <c r="AD199" i="1"/>
  <c r="Q199" i="1"/>
  <c r="CR199" i="1"/>
  <c r="AB198" i="1"/>
  <c r="P198" i="1"/>
  <c r="Y196" i="1"/>
  <c r="X196" i="1"/>
  <c r="CY196" i="1"/>
  <c r="CZ196" i="1"/>
  <c r="BB233" i="1"/>
  <c r="R229" i="1"/>
  <c r="CV219" i="3"/>
  <c r="CX219" i="3"/>
  <c r="CX223" i="3"/>
  <c r="CX221" i="3"/>
  <c r="CX220" i="3"/>
  <c r="CU219" i="3"/>
  <c r="AB216" i="1"/>
  <c r="CP215" i="1"/>
  <c r="O215" i="1" s="1"/>
  <c r="R213" i="1"/>
  <c r="CS207" i="1"/>
  <c r="AB206" i="1"/>
  <c r="AD203" i="1"/>
  <c r="AB203" i="1" s="1"/>
  <c r="CS203" i="1"/>
  <c r="Q203" i="1"/>
  <c r="CP203" i="1" s="1"/>
  <c r="O203" i="1" s="1"/>
  <c r="CQ202" i="1"/>
  <c r="P202" i="1"/>
  <c r="CP202" i="1" s="1"/>
  <c r="O202" i="1" s="1"/>
  <c r="GM202" i="1" s="1"/>
  <c r="GO202" i="1" s="1"/>
  <c r="CS201" i="1"/>
  <c r="R201" i="1"/>
  <c r="DW233" i="1" s="1"/>
  <c r="CR201" i="1"/>
  <c r="AD201" i="1"/>
  <c r="AB191" i="1"/>
  <c r="P191" i="1"/>
  <c r="CP191" i="1" s="1"/>
  <c r="O191" i="1" s="1"/>
  <c r="CQ191" i="1"/>
  <c r="FY85" i="1"/>
  <c r="EP152" i="1"/>
  <c r="DY85" i="1"/>
  <c r="DL152" i="1"/>
  <c r="CS214" i="1"/>
  <c r="Q213" i="1"/>
  <c r="CP213" i="1" s="1"/>
  <c r="O213" i="1" s="1"/>
  <c r="R212" i="1"/>
  <c r="CS212" i="1"/>
  <c r="AD212" i="1"/>
  <c r="AB212" i="1" s="1"/>
  <c r="CR209" i="1"/>
  <c r="AD209" i="1"/>
  <c r="AB209" i="1" s="1"/>
  <c r="R209" i="1"/>
  <c r="CY205" i="1"/>
  <c r="CZ202" i="1"/>
  <c r="AB201" i="1"/>
  <c r="P201" i="1"/>
  <c r="CP201" i="1" s="1"/>
  <c r="O201" i="1" s="1"/>
  <c r="X199" i="1"/>
  <c r="ET85" i="1"/>
  <c r="P165" i="1"/>
  <c r="BZ85" i="1"/>
  <c r="CG152" i="1"/>
  <c r="AQ152" i="1"/>
  <c r="GB152" i="1"/>
  <c r="CS195" i="1"/>
  <c r="AD195" i="1"/>
  <c r="AB195" i="1" s="1"/>
  <c r="CS191" i="1"/>
  <c r="AD191" i="1"/>
  <c r="AB189" i="1"/>
  <c r="CU195" i="3"/>
  <c r="CX198" i="3"/>
  <c r="CX196" i="3"/>
  <c r="Q187" i="1"/>
  <c r="BC85" i="1"/>
  <c r="F168" i="1"/>
  <c r="CZ143" i="1"/>
  <c r="X143" i="1"/>
  <c r="CY143" i="1"/>
  <c r="Y143" i="1"/>
  <c r="S139" i="1"/>
  <c r="CT139" i="1"/>
  <c r="GM137" i="1"/>
  <c r="GO137" i="1" s="1"/>
  <c r="X130" i="1"/>
  <c r="Y130" i="1"/>
  <c r="CY130" i="1"/>
  <c r="CZ130" i="1"/>
  <c r="CV213" i="3"/>
  <c r="CX213" i="3"/>
  <c r="CX214" i="3"/>
  <c r="CU213" i="3"/>
  <c r="Q211" i="1"/>
  <c r="CP211" i="1" s="1"/>
  <c r="O211" i="1" s="1"/>
  <c r="GM211" i="1" s="1"/>
  <c r="GO211" i="1" s="1"/>
  <c r="AB197" i="1"/>
  <c r="AB193" i="1"/>
  <c r="GX189" i="1"/>
  <c r="S187" i="1"/>
  <c r="R186" i="1"/>
  <c r="AE233" i="1" s="1"/>
  <c r="FR135" i="1"/>
  <c r="R123" i="1"/>
  <c r="CR123" i="1"/>
  <c r="CS123" i="1"/>
  <c r="AD123" i="1"/>
  <c r="Q123" i="1"/>
  <c r="CP196" i="1"/>
  <c r="O196" i="1" s="1"/>
  <c r="CP192" i="1"/>
  <c r="O192" i="1" s="1"/>
  <c r="GM192" i="1" s="1"/>
  <c r="GO192" i="1" s="1"/>
  <c r="U189" i="1"/>
  <c r="W186" i="1"/>
  <c r="AJ233" i="1" s="1"/>
  <c r="EK152" i="1"/>
  <c r="CY147" i="1"/>
  <c r="CZ147" i="1"/>
  <c r="CP147" i="1"/>
  <c r="O147" i="1" s="1"/>
  <c r="GM147" i="1" s="1"/>
  <c r="Y147" i="1"/>
  <c r="DZ152" i="1"/>
  <c r="X127" i="1"/>
  <c r="Y127" i="1"/>
  <c r="CY127" i="1"/>
  <c r="S189" i="1"/>
  <c r="CP189" i="1" s="1"/>
  <c r="O189" i="1" s="1"/>
  <c r="AB187" i="1"/>
  <c r="P187" i="1"/>
  <c r="CQ187" i="1"/>
  <c r="EI152" i="1"/>
  <c r="P144" i="1"/>
  <c r="CQ144" i="1"/>
  <c r="AB144" i="1"/>
  <c r="CJ152" i="1"/>
  <c r="AG152" i="1"/>
  <c r="X201" i="1"/>
  <c r="CY194" i="1"/>
  <c r="CQ190" i="1"/>
  <c r="AB190" i="1"/>
  <c r="CU201" i="3"/>
  <c r="CV201" i="3"/>
  <c r="CX201" i="3"/>
  <c r="Q188" i="1"/>
  <c r="U186" i="1"/>
  <c r="AH233" i="1" s="1"/>
  <c r="AO85" i="1"/>
  <c r="F156" i="1"/>
  <c r="S146" i="1"/>
  <c r="CT146" i="1"/>
  <c r="U141" i="1"/>
  <c r="P141" i="1"/>
  <c r="CQ141" i="1"/>
  <c r="AB141" i="1"/>
  <c r="S136" i="1"/>
  <c r="CT136" i="1"/>
  <c r="S188" i="1"/>
  <c r="CT188" i="1"/>
  <c r="CW191" i="3"/>
  <c r="CX194" i="3"/>
  <c r="CU189" i="3"/>
  <c r="Q186" i="1"/>
  <c r="AD233" i="1" s="1"/>
  <c r="CK85" i="1"/>
  <c r="BB152" i="1"/>
  <c r="CZ149" i="1"/>
  <c r="CY149" i="1"/>
  <c r="X149" i="1"/>
  <c r="CR145" i="1"/>
  <c r="AD145" i="1"/>
  <c r="AB145" i="1" s="1"/>
  <c r="R145" i="1"/>
  <c r="CS145" i="1"/>
  <c r="CR138" i="1"/>
  <c r="CS138" i="1"/>
  <c r="Q138" i="1"/>
  <c r="R138" i="1"/>
  <c r="AD138" i="1"/>
  <c r="FV152" i="1"/>
  <c r="CR125" i="1"/>
  <c r="CS125" i="1"/>
  <c r="AD125" i="1"/>
  <c r="R125" i="1"/>
  <c r="Q125" i="1"/>
  <c r="S186" i="1"/>
  <c r="EA85" i="1"/>
  <c r="DN152" i="1"/>
  <c r="CT150" i="1"/>
  <c r="S150" i="1"/>
  <c r="P148" i="1"/>
  <c r="CQ148" i="1"/>
  <c r="AB148" i="1"/>
  <c r="CQ136" i="1"/>
  <c r="AB136" i="1"/>
  <c r="P136" i="1"/>
  <c r="P134" i="1"/>
  <c r="CP134" i="1" s="1"/>
  <c r="O134" i="1" s="1"/>
  <c r="CQ134" i="1"/>
  <c r="CU202" i="3"/>
  <c r="Q189" i="1"/>
  <c r="FR146" i="1"/>
  <c r="CP146" i="1"/>
  <c r="O146" i="1" s="1"/>
  <c r="CZ145" i="1"/>
  <c r="CX181" i="3"/>
  <c r="CU177" i="3"/>
  <c r="CV177" i="3"/>
  <c r="CX177" i="3"/>
  <c r="CW179" i="3"/>
  <c r="CX179" i="3"/>
  <c r="Q141" i="1"/>
  <c r="R141" i="1"/>
  <c r="T141" i="1"/>
  <c r="AB199" i="1"/>
  <c r="P199" i="1"/>
  <c r="CP199" i="1" s="1"/>
  <c r="O199" i="1" s="1"/>
  <c r="GM199" i="1" s="1"/>
  <c r="GO199" i="1" s="1"/>
  <c r="FP85" i="1"/>
  <c r="EG152" i="1"/>
  <c r="Y149" i="1"/>
  <c r="X145" i="1"/>
  <c r="GM140" i="1"/>
  <c r="CQ186" i="1"/>
  <c r="AB186" i="1"/>
  <c r="Q145" i="1"/>
  <c r="W141" i="1"/>
  <c r="AJ152" i="1" s="1"/>
  <c r="AH152" i="1"/>
  <c r="CQ149" i="1"/>
  <c r="CT147" i="1"/>
  <c r="CY145" i="1"/>
  <c r="P131" i="1"/>
  <c r="CQ131" i="1"/>
  <c r="AB131" i="1"/>
  <c r="FR130" i="1"/>
  <c r="CQ111" i="1"/>
  <c r="P111" i="1"/>
  <c r="Q119" i="1"/>
  <c r="CR119" i="1"/>
  <c r="CS119" i="1"/>
  <c r="AD119" i="1"/>
  <c r="AB119" i="1" s="1"/>
  <c r="P117" i="1"/>
  <c r="CQ117" i="1"/>
  <c r="AB117" i="1"/>
  <c r="AB104" i="1"/>
  <c r="P104" i="1"/>
  <c r="CQ104" i="1"/>
  <c r="CP102" i="1"/>
  <c r="O102" i="1" s="1"/>
  <c r="FV26" i="1"/>
  <c r="EM53" i="1"/>
  <c r="EV152" i="1"/>
  <c r="CS143" i="1"/>
  <c r="CR142" i="1"/>
  <c r="CR136" i="1"/>
  <c r="CS136" i="1"/>
  <c r="AD136" i="1"/>
  <c r="CT131" i="1"/>
  <c r="CY123" i="1"/>
  <c r="CZ123" i="1"/>
  <c r="X123" i="1"/>
  <c r="Y123" i="1"/>
  <c r="FR122" i="1"/>
  <c r="CP122" i="1"/>
  <c r="O122" i="1" s="1"/>
  <c r="GM122" i="1" s="1"/>
  <c r="CP120" i="1"/>
  <c r="O120" i="1" s="1"/>
  <c r="P119" i="1"/>
  <c r="CQ119" i="1"/>
  <c r="P118" i="1"/>
  <c r="CQ118" i="1"/>
  <c r="AB118" i="1"/>
  <c r="CT108" i="1"/>
  <c r="S108" i="1"/>
  <c r="CP107" i="1"/>
  <c r="O107" i="1" s="1"/>
  <c r="FR107" i="1"/>
  <c r="GM89" i="1"/>
  <c r="BX26" i="1"/>
  <c r="AO53" i="1"/>
  <c r="CG53" i="1"/>
  <c r="Q150" i="1"/>
  <c r="CP143" i="1"/>
  <c r="O143" i="1" s="1"/>
  <c r="GM143" i="1" s="1"/>
  <c r="AB125" i="1"/>
  <c r="CQ123" i="1"/>
  <c r="AB123" i="1"/>
  <c r="P123" i="1"/>
  <c r="AD150" i="1"/>
  <c r="AB150" i="1" s="1"/>
  <c r="P150" i="1"/>
  <c r="X142" i="1"/>
  <c r="X122" i="1"/>
  <c r="Y122" i="1"/>
  <c r="CY122" i="1"/>
  <c r="CR103" i="1"/>
  <c r="CS103" i="1"/>
  <c r="R103" i="1"/>
  <c r="Q103" i="1"/>
  <c r="AD103" i="1"/>
  <c r="AB88" i="1"/>
  <c r="P88" i="1"/>
  <c r="CQ88" i="1"/>
  <c r="EH26" i="1"/>
  <c r="P62" i="1"/>
  <c r="CZ148" i="1"/>
  <c r="Y148" i="1"/>
  <c r="R142" i="1"/>
  <c r="CY125" i="1"/>
  <c r="CZ125" i="1"/>
  <c r="X125" i="1"/>
  <c r="Y125" i="1"/>
  <c r="CP110" i="1"/>
  <c r="O110" i="1" s="1"/>
  <c r="GM110" i="1" s="1"/>
  <c r="GO110" i="1" s="1"/>
  <c r="CS150" i="1"/>
  <c r="P149" i="1"/>
  <c r="CY148" i="1"/>
  <c r="R148" i="1"/>
  <c r="CP145" i="1"/>
  <c r="O145" i="1" s="1"/>
  <c r="R143" i="1"/>
  <c r="CZ142" i="1"/>
  <c r="Q142" i="1"/>
  <c r="CP142" i="1" s="1"/>
  <c r="O142" i="1" s="1"/>
  <c r="GM142" i="1" s="1"/>
  <c r="GO142" i="1" s="1"/>
  <c r="P139" i="1"/>
  <c r="Q136" i="1"/>
  <c r="Y135" i="1"/>
  <c r="CY135" i="1"/>
  <c r="BD152" i="1"/>
  <c r="Q148" i="1"/>
  <c r="CY142" i="1"/>
  <c r="S138" i="1"/>
  <c r="DX152" i="1" s="1"/>
  <c r="CZ133" i="1"/>
  <c r="X133" i="1"/>
  <c r="Y133" i="1"/>
  <c r="CP125" i="1"/>
  <c r="O125" i="1" s="1"/>
  <c r="Y145" i="1"/>
  <c r="Y134" i="1"/>
  <c r="CY134" i="1"/>
  <c r="CZ134" i="1"/>
  <c r="R133" i="1"/>
  <c r="CR133" i="1"/>
  <c r="CS133" i="1"/>
  <c r="AD133" i="1"/>
  <c r="AB133" i="1" s="1"/>
  <c r="CQ132" i="1"/>
  <c r="AB132" i="1"/>
  <c r="P132" i="1"/>
  <c r="CZ131" i="1"/>
  <c r="X131" i="1"/>
  <c r="CT129" i="1"/>
  <c r="S129" i="1"/>
  <c r="AD148" i="1"/>
  <c r="CU183" i="3"/>
  <c r="CV183" i="3"/>
  <c r="CX183" i="3"/>
  <c r="CW184" i="3"/>
  <c r="CX188" i="3"/>
  <c r="CX186" i="3"/>
  <c r="V141" i="1"/>
  <c r="AI152" i="1" s="1"/>
  <c r="S141" i="1"/>
  <c r="CR134" i="1"/>
  <c r="CS134" i="1"/>
  <c r="AD134" i="1"/>
  <c r="AB134" i="1" s="1"/>
  <c r="R134" i="1"/>
  <c r="CQ133" i="1"/>
  <c r="P133" i="1"/>
  <c r="CP133" i="1" s="1"/>
  <c r="O133" i="1" s="1"/>
  <c r="GM133" i="1" s="1"/>
  <c r="GO133" i="1" s="1"/>
  <c r="CY117" i="1"/>
  <c r="CZ117" i="1"/>
  <c r="X117" i="1"/>
  <c r="CR126" i="1"/>
  <c r="Y126" i="1"/>
  <c r="CX142" i="3"/>
  <c r="CX145" i="3"/>
  <c r="CU141" i="3"/>
  <c r="CW143" i="3"/>
  <c r="CV141" i="3"/>
  <c r="CX143" i="3"/>
  <c r="S109" i="1"/>
  <c r="X105" i="1"/>
  <c r="Y105" i="1"/>
  <c r="CY105" i="1"/>
  <c r="CR96" i="1"/>
  <c r="CY96" i="1"/>
  <c r="CZ96" i="1"/>
  <c r="Q96" i="1"/>
  <c r="R96" i="1"/>
  <c r="X96" i="1"/>
  <c r="CS96" i="1"/>
  <c r="CY140" i="1"/>
  <c r="CR128" i="1"/>
  <c r="Y128" i="1"/>
  <c r="GM128" i="1" s="1"/>
  <c r="GO128" i="1" s="1"/>
  <c r="CS114" i="1"/>
  <c r="R114" i="1"/>
  <c r="CZ113" i="1"/>
  <c r="CY110" i="1"/>
  <c r="CY107" i="1"/>
  <c r="CZ107" i="1"/>
  <c r="X107" i="1"/>
  <c r="CP106" i="1"/>
  <c r="O106" i="1" s="1"/>
  <c r="FY26" i="1"/>
  <c r="EP53" i="1"/>
  <c r="BC26" i="1"/>
  <c r="F69" i="1"/>
  <c r="AB138" i="1"/>
  <c r="Q135" i="1"/>
  <c r="CP135" i="1" s="1"/>
  <c r="O135" i="1" s="1"/>
  <c r="GM135" i="1" s="1"/>
  <c r="Q130" i="1"/>
  <c r="CP130" i="1" s="1"/>
  <c r="O130" i="1" s="1"/>
  <c r="GM130" i="1" s="1"/>
  <c r="X128" i="1"/>
  <c r="Q127" i="1"/>
  <c r="CP127" i="1" s="1"/>
  <c r="O127" i="1" s="1"/>
  <c r="GM127" i="1" s="1"/>
  <c r="GO127" i="1" s="1"/>
  <c r="Q122" i="1"/>
  <c r="Y119" i="1"/>
  <c r="Y118" i="1"/>
  <c r="CZ116" i="1"/>
  <c r="Q114" i="1"/>
  <c r="CY113" i="1"/>
  <c r="Y113" i="1"/>
  <c r="CT111" i="1"/>
  <c r="R111" i="1"/>
  <c r="Y49" i="1"/>
  <c r="X49" i="1"/>
  <c r="CY49" i="1"/>
  <c r="CZ49" i="1"/>
  <c r="CJ26" i="1"/>
  <c r="BA53" i="1"/>
  <c r="R140" i="1"/>
  <c r="R137" i="1"/>
  <c r="AD135" i="1"/>
  <c r="AB135" i="1" s="1"/>
  <c r="Q132" i="1"/>
  <c r="AD130" i="1"/>
  <c r="AB130" i="1" s="1"/>
  <c r="AD127" i="1"/>
  <c r="AB127" i="1" s="1"/>
  <c r="CZ126" i="1"/>
  <c r="Y120" i="1"/>
  <c r="CQ115" i="1"/>
  <c r="P114" i="1"/>
  <c r="CS111" i="1"/>
  <c r="Q111" i="1"/>
  <c r="AD107" i="1"/>
  <c r="AB107" i="1" s="1"/>
  <c r="CZ103" i="1"/>
  <c r="X103" i="1"/>
  <c r="Y103" i="1"/>
  <c r="CY101" i="1"/>
  <c r="CZ101" i="1"/>
  <c r="Y101" i="1"/>
  <c r="CP96" i="1"/>
  <c r="O96" i="1" s="1"/>
  <c r="CQ91" i="1"/>
  <c r="P91" i="1"/>
  <c r="AB91" i="1"/>
  <c r="CY89" i="1"/>
  <c r="X89" i="1"/>
  <c r="Y89" i="1"/>
  <c r="CZ89" i="1"/>
  <c r="S124" i="1"/>
  <c r="S121" i="1"/>
  <c r="R120" i="1"/>
  <c r="CR100" i="1"/>
  <c r="CS100" i="1"/>
  <c r="AD100" i="1"/>
  <c r="AB100" i="1" s="1"/>
  <c r="Q100" i="1"/>
  <c r="ET26" i="1"/>
  <c r="P66" i="1"/>
  <c r="CY119" i="1"/>
  <c r="CZ119" i="1"/>
  <c r="CQ116" i="1"/>
  <c r="AB116" i="1"/>
  <c r="FR103" i="1"/>
  <c r="CP103" i="1"/>
  <c r="O103" i="1" s="1"/>
  <c r="X102" i="1"/>
  <c r="Y102" i="1"/>
  <c r="CZ102" i="1"/>
  <c r="EA26" i="1"/>
  <c r="DN53" i="1"/>
  <c r="R126" i="1"/>
  <c r="DW152" i="1" s="1"/>
  <c r="CY120" i="1"/>
  <c r="R119" i="1"/>
  <c r="CZ114" i="1"/>
  <c r="X114" i="1"/>
  <c r="Y114" i="1"/>
  <c r="AB112" i="1"/>
  <c r="CR107" i="1"/>
  <c r="Y107" i="1"/>
  <c r="AB101" i="1"/>
  <c r="CZ100" i="1"/>
  <c r="CY94" i="1"/>
  <c r="CZ94" i="1"/>
  <c r="X94" i="1"/>
  <c r="Y94" i="1"/>
  <c r="Q126" i="1"/>
  <c r="CR120" i="1"/>
  <c r="CS120" i="1"/>
  <c r="X110" i="1"/>
  <c r="CZ110" i="1"/>
  <c r="R128" i="1"/>
  <c r="AD120" i="1"/>
  <c r="AB120" i="1" s="1"/>
  <c r="AD114" i="1"/>
  <c r="AB114" i="1" s="1"/>
  <c r="X111" i="1"/>
  <c r="Y111" i="1"/>
  <c r="AB109" i="1"/>
  <c r="AB105" i="1"/>
  <c r="R95" i="1"/>
  <c r="Q95" i="1"/>
  <c r="CP95" i="1" s="1"/>
  <c r="O95" i="1" s="1"/>
  <c r="GM95" i="1" s="1"/>
  <c r="GO95" i="1" s="1"/>
  <c r="CZ95" i="1"/>
  <c r="CR95" i="1"/>
  <c r="Y95" i="1"/>
  <c r="CS95" i="1"/>
  <c r="Y93" i="1"/>
  <c r="X93" i="1"/>
  <c r="CY93" i="1"/>
  <c r="CZ93" i="1"/>
  <c r="X116" i="1"/>
  <c r="GM116" i="1" s="1"/>
  <c r="GO116" i="1" s="1"/>
  <c r="Y116" i="1"/>
  <c r="CR111" i="1"/>
  <c r="AD111" i="1"/>
  <c r="AB111" i="1" s="1"/>
  <c r="CY104" i="1"/>
  <c r="CZ104" i="1"/>
  <c r="CP101" i="1"/>
  <c r="O101" i="1" s="1"/>
  <c r="CP100" i="1"/>
  <c r="O100" i="1" s="1"/>
  <c r="P94" i="1"/>
  <c r="CP94" i="1" s="1"/>
  <c r="O94" i="1" s="1"/>
  <c r="GM94" i="1" s="1"/>
  <c r="GO94" i="1" s="1"/>
  <c r="CQ94" i="1"/>
  <c r="FR98" i="1"/>
  <c r="CY97" i="1"/>
  <c r="CQ90" i="1"/>
  <c r="X88" i="1"/>
  <c r="DY53" i="1"/>
  <c r="Y100" i="1"/>
  <c r="AD92" i="1"/>
  <c r="AB92" i="1" s="1"/>
  <c r="R92" i="1"/>
  <c r="S51" i="1"/>
  <c r="X50" i="1"/>
  <c r="Y50" i="1"/>
  <c r="S40" i="1"/>
  <c r="CT40" i="1"/>
  <c r="Q113" i="1"/>
  <c r="Q108" i="1"/>
  <c r="X106" i="1"/>
  <c r="Q105" i="1"/>
  <c r="CY87" i="1"/>
  <c r="AD87" i="1"/>
  <c r="AB87" i="1" s="1"/>
  <c r="CR87" i="1"/>
  <c r="CM26" i="1"/>
  <c r="BD53" i="1"/>
  <c r="AQ26" i="1"/>
  <c r="F63" i="1"/>
  <c r="CP51" i="1"/>
  <c r="O51" i="1" s="1"/>
  <c r="CY50" i="1"/>
  <c r="CP50" i="1"/>
  <c r="O50" i="1" s="1"/>
  <c r="AG53" i="1"/>
  <c r="R118" i="1"/>
  <c r="R115" i="1"/>
  <c r="AD113" i="1"/>
  <c r="AB113" i="1" s="1"/>
  <c r="P113" i="1"/>
  <c r="Q110" i="1"/>
  <c r="AD108" i="1"/>
  <c r="AB108" i="1" s="1"/>
  <c r="P108" i="1"/>
  <c r="AD105" i="1"/>
  <c r="P105" i="1"/>
  <c r="CP105" i="1" s="1"/>
  <c r="O105" i="1" s="1"/>
  <c r="GM105" i="1" s="1"/>
  <c r="GO105" i="1" s="1"/>
  <c r="AB103" i="1"/>
  <c r="CT100" i="1"/>
  <c r="AD99" i="1"/>
  <c r="AB99" i="1" s="1"/>
  <c r="AD98" i="1"/>
  <c r="AB98" i="1" s="1"/>
  <c r="CT97" i="1"/>
  <c r="AB97" i="1"/>
  <c r="AD93" i="1"/>
  <c r="AB93" i="1" s="1"/>
  <c r="CR93" i="1"/>
  <c r="CS92" i="1"/>
  <c r="Y92" i="1"/>
  <c r="GM92" i="1" s="1"/>
  <c r="GO92" i="1" s="1"/>
  <c r="AB89" i="1"/>
  <c r="CP87" i="1"/>
  <c r="O87" i="1" s="1"/>
  <c r="Q118" i="1"/>
  <c r="Q115" i="1"/>
  <c r="CP115" i="1" s="1"/>
  <c r="O115" i="1" s="1"/>
  <c r="GM115" i="1" s="1"/>
  <c r="GO115" i="1" s="1"/>
  <c r="R112" i="1"/>
  <c r="CS97" i="1"/>
  <c r="Y97" i="1"/>
  <c r="GM97" i="1" s="1"/>
  <c r="CP93" i="1"/>
  <c r="O93" i="1" s="1"/>
  <c r="CR92" i="1"/>
  <c r="X91" i="1"/>
  <c r="CZ90" i="1"/>
  <c r="CK26" i="1"/>
  <c r="BB53" i="1"/>
  <c r="FR26" i="1"/>
  <c r="EI53" i="1"/>
  <c r="CX149" i="3"/>
  <c r="CU147" i="3"/>
  <c r="CV147" i="3"/>
  <c r="CX150" i="3"/>
  <c r="CX147" i="3"/>
  <c r="CX152" i="3"/>
  <c r="CZ106" i="1"/>
  <c r="X100" i="1"/>
  <c r="CR97" i="1"/>
  <c r="Q91" i="1"/>
  <c r="CY90" i="1"/>
  <c r="AD90" i="1"/>
  <c r="AB90" i="1" s="1"/>
  <c r="CR90" i="1"/>
  <c r="X87" i="1"/>
  <c r="X95" i="1"/>
  <c r="FR90" i="1"/>
  <c r="CP90" i="1"/>
  <c r="O90" i="1" s="1"/>
  <c r="CT87" i="1"/>
  <c r="GA53" i="1"/>
  <c r="FQ26" i="1"/>
  <c r="CW84" i="3"/>
  <c r="CX84" i="3"/>
  <c r="CU82" i="3"/>
  <c r="CX82" i="3"/>
  <c r="CX85" i="3"/>
  <c r="Q51" i="1"/>
  <c r="R51" i="1"/>
  <c r="FP26" i="1"/>
  <c r="EG53" i="1"/>
  <c r="AU53" i="1"/>
  <c r="CD26" i="1"/>
  <c r="EB53" i="1"/>
  <c r="Y96" i="1"/>
  <c r="CY95" i="1"/>
  <c r="CZ92" i="1"/>
  <c r="X90" i="1"/>
  <c r="R87" i="1"/>
  <c r="AE152" i="1" s="1"/>
  <c r="AP53" i="1"/>
  <c r="BY26" i="1"/>
  <c r="CI53" i="1"/>
  <c r="W51" i="1"/>
  <c r="CP46" i="1"/>
  <c r="O46" i="1" s="1"/>
  <c r="AH53" i="1"/>
  <c r="P38" i="1"/>
  <c r="CP38" i="1" s="1"/>
  <c r="O38" i="1" s="1"/>
  <c r="GM38" i="1" s="1"/>
  <c r="GO38" i="1" s="1"/>
  <c r="CY36" i="1"/>
  <c r="Y36" i="1"/>
  <c r="CY32" i="1"/>
  <c r="CZ32" i="1"/>
  <c r="CS30" i="1"/>
  <c r="AD30" i="1"/>
  <c r="R30" i="1"/>
  <c r="CX234" i="3"/>
  <c r="CS40" i="1"/>
  <c r="AD40" i="1"/>
  <c r="AB40" i="1" s="1"/>
  <c r="CY30" i="1"/>
  <c r="CQ30" i="1"/>
  <c r="AB30" i="1"/>
  <c r="P30" i="1"/>
  <c r="CZ29" i="1"/>
  <c r="X29" i="1"/>
  <c r="CZ91" i="1"/>
  <c r="CQ51" i="1"/>
  <c r="Q49" i="1"/>
  <c r="Y46" i="1"/>
  <c r="W44" i="1"/>
  <c r="R42" i="1"/>
  <c r="CQ40" i="1"/>
  <c r="P40" i="1"/>
  <c r="CP40" i="1" s="1"/>
  <c r="O40" i="1" s="1"/>
  <c r="U38" i="1"/>
  <c r="CX239" i="3"/>
  <c r="CW178" i="3"/>
  <c r="CX151" i="3"/>
  <c r="P49" i="1"/>
  <c r="CP49" i="1" s="1"/>
  <c r="O49" i="1" s="1"/>
  <c r="GM49" i="1" s="1"/>
  <c r="GN49" i="1" s="1"/>
  <c r="U48" i="1"/>
  <c r="X46" i="1"/>
  <c r="CR37" i="1"/>
  <c r="AD37" i="1"/>
  <c r="AB37" i="1" s="1"/>
  <c r="R37" i="1"/>
  <c r="AD34" i="1"/>
  <c r="AB34" i="1" s="1"/>
  <c r="R34" i="1"/>
  <c r="CR34" i="1"/>
  <c r="EV26" i="1"/>
  <c r="CX187" i="3"/>
  <c r="DF134" i="3"/>
  <c r="DG134" i="3"/>
  <c r="DH134" i="3"/>
  <c r="DI134" i="3"/>
  <c r="DJ134" i="3" s="1"/>
  <c r="CW79" i="3"/>
  <c r="CU77" i="3"/>
  <c r="CW78" i="3"/>
  <c r="CX79" i="3"/>
  <c r="CX77" i="3"/>
  <c r="R50" i="1"/>
  <c r="S48" i="1"/>
  <c r="Y47" i="1"/>
  <c r="GM47" i="1" s="1"/>
  <c r="GO47" i="1" s="1"/>
  <c r="CY47" i="1"/>
  <c r="CZ41" i="1"/>
  <c r="X41" i="1"/>
  <c r="CX48" i="3"/>
  <c r="CX46" i="3"/>
  <c r="CU45" i="3"/>
  <c r="Q41" i="1"/>
  <c r="CP41" i="1" s="1"/>
  <c r="O41" i="1" s="1"/>
  <c r="GM41" i="1" s="1"/>
  <c r="GO41" i="1" s="1"/>
  <c r="U40" i="1"/>
  <c r="W40" i="1"/>
  <c r="AJ53" i="1" s="1"/>
  <c r="CR38" i="1"/>
  <c r="CY38" i="1"/>
  <c r="CZ38" i="1"/>
  <c r="CP34" i="1"/>
  <c r="O34" i="1" s="1"/>
  <c r="CY29" i="1"/>
  <c r="CQ29" i="1"/>
  <c r="AB29" i="1"/>
  <c r="CX215" i="3"/>
  <c r="CX210" i="3"/>
  <c r="CX206" i="3"/>
  <c r="CV206" i="3"/>
  <c r="CW196" i="3"/>
  <c r="DF140" i="3"/>
  <c r="DG140" i="3"/>
  <c r="DJ140" i="3" s="1"/>
  <c r="DH140" i="3"/>
  <c r="DI140" i="3"/>
  <c r="AB50" i="1"/>
  <c r="AD49" i="1"/>
  <c r="AB49" i="1" s="1"/>
  <c r="S44" i="1"/>
  <c r="S42" i="1"/>
  <c r="V40" i="1"/>
  <c r="AI53" i="1" s="1"/>
  <c r="CQ38" i="1"/>
  <c r="CR33" i="1"/>
  <c r="AD33" i="1"/>
  <c r="AB33" i="1" s="1"/>
  <c r="R33" i="1"/>
  <c r="CR30" i="1"/>
  <c r="Y29" i="1"/>
  <c r="CX52" i="3"/>
  <c r="CX51" i="3"/>
  <c r="CU49" i="3"/>
  <c r="CX49" i="3"/>
  <c r="Q42" i="1"/>
  <c r="CP42" i="1" s="1"/>
  <c r="O42" i="1" s="1"/>
  <c r="CR40" i="1"/>
  <c r="CZ39" i="1"/>
  <c r="Y39" i="1"/>
  <c r="CP33" i="1"/>
  <c r="O33" i="1" s="1"/>
  <c r="Q30" i="1"/>
  <c r="CR50" i="1"/>
  <c r="CZ47" i="1"/>
  <c r="R46" i="1"/>
  <c r="S45" i="1"/>
  <c r="S43" i="1"/>
  <c r="CQ41" i="1"/>
  <c r="AB41" i="1"/>
  <c r="R40" i="1"/>
  <c r="CS39" i="1"/>
  <c r="AD39" i="1"/>
  <c r="AD36" i="1"/>
  <c r="AB36" i="1" s="1"/>
  <c r="CR36" i="1"/>
  <c r="Y35" i="1"/>
  <c r="CY35" i="1"/>
  <c r="CS32" i="1"/>
  <c r="AD32" i="1"/>
  <c r="AB32" i="1" s="1"/>
  <c r="R32" i="1"/>
  <c r="CZ31" i="1"/>
  <c r="Y31" i="1"/>
  <c r="CT29" i="1"/>
  <c r="CZ28" i="1"/>
  <c r="CX233" i="3"/>
  <c r="CQ50" i="1"/>
  <c r="W50" i="1"/>
  <c r="CZ46" i="1"/>
  <c r="CU54" i="3"/>
  <c r="CX57" i="3"/>
  <c r="CX56" i="3"/>
  <c r="CX54" i="3"/>
  <c r="Q43" i="1"/>
  <c r="CP43" i="1" s="1"/>
  <c r="O43" i="1" s="1"/>
  <c r="CQ42" i="1"/>
  <c r="AB42" i="1"/>
  <c r="Y41" i="1"/>
  <c r="CY39" i="1"/>
  <c r="AB39" i="1"/>
  <c r="P39" i="1"/>
  <c r="CP39" i="1" s="1"/>
  <c r="O39" i="1" s="1"/>
  <c r="GM39" i="1" s="1"/>
  <c r="GO39" i="1" s="1"/>
  <c r="CU39" i="3"/>
  <c r="R38" i="1"/>
  <c r="CS37" i="1"/>
  <c r="CZ36" i="1"/>
  <c r="CP36" i="1"/>
  <c r="O36" i="1" s="1"/>
  <c r="CP35" i="1"/>
  <c r="O35" i="1" s="1"/>
  <c r="GM35" i="1" s="1"/>
  <c r="GO35" i="1" s="1"/>
  <c r="CS34" i="1"/>
  <c r="CY34" i="1"/>
  <c r="Y34" i="1"/>
  <c r="P32" i="1"/>
  <c r="CP32" i="1" s="1"/>
  <c r="O32" i="1" s="1"/>
  <c r="CR31" i="1"/>
  <c r="CS31" i="1"/>
  <c r="AD31" i="1"/>
  <c r="AB31" i="1" s="1"/>
  <c r="CY28" i="1"/>
  <c r="DF208" i="3"/>
  <c r="DH208" i="3"/>
  <c r="DI208" i="3"/>
  <c r="DJ208" i="3" s="1"/>
  <c r="DG208" i="3"/>
  <c r="CW197" i="3"/>
  <c r="CX197" i="3"/>
  <c r="CU73" i="3"/>
  <c r="CV73" i="3"/>
  <c r="CX73" i="3"/>
  <c r="R48" i="1"/>
  <c r="CV59" i="3"/>
  <c r="CU59" i="3"/>
  <c r="CX59" i="3"/>
  <c r="Q44" i="1"/>
  <c r="CP44" i="1" s="1"/>
  <c r="O44" i="1" s="1"/>
  <c r="X39" i="1"/>
  <c r="CZ37" i="1"/>
  <c r="Y37" i="1"/>
  <c r="Y32" i="1"/>
  <c r="P31" i="1"/>
  <c r="CP29" i="1"/>
  <c r="O29" i="1" s="1"/>
  <c r="CQ28" i="1"/>
  <c r="AB28" i="1"/>
  <c r="P28" i="1"/>
  <c r="CX211" i="3"/>
  <c r="CX202" i="3"/>
  <c r="CV202" i="3"/>
  <c r="CT42" i="1"/>
  <c r="Q37" i="1"/>
  <c r="CP37" i="1" s="1"/>
  <c r="O37" i="1" s="1"/>
  <c r="GM37" i="1" s="1"/>
  <c r="GO37" i="1" s="1"/>
  <c r="X36" i="1"/>
  <c r="CS33" i="1"/>
  <c r="X32" i="1"/>
  <c r="CY31" i="1"/>
  <c r="X31" i="1"/>
  <c r="Y28" i="1"/>
  <c r="CW236" i="3"/>
  <c r="CV195" i="3"/>
  <c r="CX195" i="3"/>
  <c r="CU61" i="3"/>
  <c r="CV61" i="3"/>
  <c r="CX62" i="3"/>
  <c r="CX66" i="3"/>
  <c r="CX65" i="3"/>
  <c r="CW62" i="3"/>
  <c r="CX63" i="3"/>
  <c r="CU60" i="3"/>
  <c r="Q45" i="1"/>
  <c r="CP45" i="1" s="1"/>
  <c r="O45" i="1" s="1"/>
  <c r="V42" i="1"/>
  <c r="CX43" i="3"/>
  <c r="CU41" i="3"/>
  <c r="CX41" i="3"/>
  <c r="CT39" i="1"/>
  <c r="CS38" i="1"/>
  <c r="AD38" i="1"/>
  <c r="AB38" i="1" s="1"/>
  <c r="CZ33" i="1"/>
  <c r="Y33" i="1"/>
  <c r="X30" i="1"/>
  <c r="CZ30" i="1"/>
  <c r="CT28" i="1"/>
  <c r="CS29" i="1"/>
  <c r="CV189" i="3"/>
  <c r="CX189" i="3"/>
  <c r="CX184" i="3"/>
  <c r="DH157" i="3"/>
  <c r="DI157" i="3"/>
  <c r="DF157" i="3"/>
  <c r="DG157" i="3"/>
  <c r="DJ157" i="3" s="1"/>
  <c r="DI154" i="3"/>
  <c r="DF154" i="3"/>
  <c r="DG154" i="3"/>
  <c r="DJ154" i="3" s="1"/>
  <c r="DH154" i="3"/>
  <c r="CW148" i="3"/>
  <c r="CW237" i="3"/>
  <c r="CX237" i="3"/>
  <c r="DF217" i="3"/>
  <c r="DH217" i="3"/>
  <c r="DI217" i="3"/>
  <c r="DJ217" i="3" s="1"/>
  <c r="CX216" i="3"/>
  <c r="CX193" i="3"/>
  <c r="CW190" i="3"/>
  <c r="R35" i="1"/>
  <c r="Q28" i="1"/>
  <c r="CX199" i="3"/>
  <c r="CU40" i="3"/>
  <c r="CX40" i="3"/>
  <c r="Q35" i="1"/>
  <c r="DH138" i="3"/>
  <c r="DI138" i="3"/>
  <c r="DF138" i="3"/>
  <c r="DG138" i="3"/>
  <c r="DJ138" i="3" s="1"/>
  <c r="DI135" i="3"/>
  <c r="DF135" i="3"/>
  <c r="DG135" i="3"/>
  <c r="DJ135" i="3" s="1"/>
  <c r="DH135" i="3"/>
  <c r="DF126" i="3"/>
  <c r="DJ126" i="3" s="1"/>
  <c r="DG126" i="3"/>
  <c r="DH126" i="3"/>
  <c r="DI126" i="3"/>
  <c r="CV243" i="3"/>
  <c r="CX243" i="3"/>
  <c r="CX226" i="3"/>
  <c r="CX191" i="3"/>
  <c r="CX182" i="3"/>
  <c r="DH155" i="3"/>
  <c r="DF155" i="3"/>
  <c r="DJ155" i="3" s="1"/>
  <c r="DG155" i="3"/>
  <c r="DI155" i="3"/>
  <c r="DF111" i="3"/>
  <c r="DG111" i="3"/>
  <c r="DH111" i="3"/>
  <c r="DI111" i="3"/>
  <c r="DJ111" i="3" s="1"/>
  <c r="CX78" i="3"/>
  <c r="CU75" i="3"/>
  <c r="CX76" i="3"/>
  <c r="CV75" i="3"/>
  <c r="CU33" i="3"/>
  <c r="CW34" i="3"/>
  <c r="CX34" i="3"/>
  <c r="CV33" i="3"/>
  <c r="CX37" i="3"/>
  <c r="DF218" i="3"/>
  <c r="DG218" i="3"/>
  <c r="CX200" i="3"/>
  <c r="CW185" i="3"/>
  <c r="DG158" i="3"/>
  <c r="DH158" i="3"/>
  <c r="DI158" i="3"/>
  <c r="DF158" i="3"/>
  <c r="DJ158" i="3" s="1"/>
  <c r="CV87" i="3"/>
  <c r="CX87" i="3"/>
  <c r="CX228" i="3"/>
  <c r="CX212" i="3"/>
  <c r="DH171" i="3"/>
  <c r="DF171" i="3"/>
  <c r="DJ171" i="3" s="1"/>
  <c r="DG171" i="3"/>
  <c r="DI171" i="3"/>
  <c r="CW69" i="3"/>
  <c r="CU67" i="3"/>
  <c r="CW68" i="3"/>
  <c r="CX69" i="3"/>
  <c r="CX71" i="3"/>
  <c r="R36" i="1"/>
  <c r="DG242" i="3"/>
  <c r="DG217" i="3"/>
  <c r="DF205" i="3"/>
  <c r="DH205" i="3"/>
  <c r="DI205" i="3"/>
  <c r="DJ205" i="3" s="1"/>
  <c r="DF153" i="3"/>
  <c r="DG153" i="3"/>
  <c r="DH153" i="3"/>
  <c r="DI153" i="3"/>
  <c r="DJ153" i="3" s="1"/>
  <c r="DH136" i="3"/>
  <c r="DF136" i="3"/>
  <c r="DJ136" i="3" s="1"/>
  <c r="DG136" i="3"/>
  <c r="DI136" i="3"/>
  <c r="DI241" i="3"/>
  <c r="DJ241" i="3" s="1"/>
  <c r="CW230" i="3"/>
  <c r="CX230" i="3"/>
  <c r="CX192" i="3"/>
  <c r="CX180" i="3"/>
  <c r="DH161" i="3"/>
  <c r="DF161" i="3"/>
  <c r="DJ161" i="3" s="1"/>
  <c r="DG161" i="3"/>
  <c r="DI161" i="3"/>
  <c r="CX144" i="3"/>
  <c r="DH120" i="3"/>
  <c r="DI120" i="3"/>
  <c r="DF120" i="3"/>
  <c r="DJ120" i="3" s="1"/>
  <c r="DG120" i="3"/>
  <c r="DH241" i="3"/>
  <c r="CX222" i="3"/>
  <c r="DF204" i="3"/>
  <c r="DH204" i="3"/>
  <c r="DI204" i="3"/>
  <c r="DJ204" i="3" s="1"/>
  <c r="DF175" i="3"/>
  <c r="DJ175" i="3" s="1"/>
  <c r="DG175" i="3"/>
  <c r="DH175" i="3"/>
  <c r="DI175" i="3"/>
  <c r="DG164" i="3"/>
  <c r="DH164" i="3"/>
  <c r="DI164" i="3"/>
  <c r="DF164" i="3"/>
  <c r="DJ164" i="3" s="1"/>
  <c r="CV97" i="3"/>
  <c r="CX97" i="3"/>
  <c r="CX29" i="3"/>
  <c r="DF11" i="3"/>
  <c r="DG11" i="3"/>
  <c r="DI11" i="3"/>
  <c r="DJ11" i="3" s="1"/>
  <c r="DH11" i="3"/>
  <c r="CX185" i="3"/>
  <c r="CX178" i="3"/>
  <c r="DG168" i="3"/>
  <c r="DH168" i="3"/>
  <c r="DI168" i="3"/>
  <c r="DJ168" i="3" s="1"/>
  <c r="DH163" i="3"/>
  <c r="DI163" i="3"/>
  <c r="CV156" i="3"/>
  <c r="CX156" i="3"/>
  <c r="CW142" i="3"/>
  <c r="CV137" i="3"/>
  <c r="CX137" i="3"/>
  <c r="CX27" i="3"/>
  <c r="CX174" i="3"/>
  <c r="CX170" i="3"/>
  <c r="CX169" i="3"/>
  <c r="CX160" i="3"/>
  <c r="CX159" i="3"/>
  <c r="CX141" i="3"/>
  <c r="DF139" i="3"/>
  <c r="DG139" i="3"/>
  <c r="DI124" i="3"/>
  <c r="DF116" i="3"/>
  <c r="DG116" i="3"/>
  <c r="DJ116" i="3" s="1"/>
  <c r="DI116" i="3"/>
  <c r="CW98" i="3"/>
  <c r="CX98" i="3"/>
  <c r="CX44" i="3"/>
  <c r="CV162" i="3"/>
  <c r="CX162" i="3"/>
  <c r="DH121" i="3"/>
  <c r="DG121" i="3"/>
  <c r="DG108" i="3"/>
  <c r="DH108" i="3"/>
  <c r="DI108" i="3"/>
  <c r="DG105" i="3"/>
  <c r="DF105" i="3"/>
  <c r="DH105" i="3"/>
  <c r="DI105" i="3"/>
  <c r="DJ105" i="3" s="1"/>
  <c r="DF103" i="3"/>
  <c r="DJ103" i="3" s="1"/>
  <c r="DH103" i="3"/>
  <c r="DG103" i="3"/>
  <c r="DI103" i="3"/>
  <c r="DG89" i="3"/>
  <c r="DJ89" i="3" s="1"/>
  <c r="DH89" i="3"/>
  <c r="DF89" i="3"/>
  <c r="DI89" i="3"/>
  <c r="CV54" i="3"/>
  <c r="DG25" i="3"/>
  <c r="DF25" i="3"/>
  <c r="DJ25" i="3" s="1"/>
  <c r="DH25" i="3"/>
  <c r="DI25" i="3"/>
  <c r="DF5" i="3"/>
  <c r="DJ5" i="3" s="1"/>
  <c r="DG5" i="3"/>
  <c r="DI5" i="3"/>
  <c r="DH5" i="3"/>
  <c r="CV167" i="3"/>
  <c r="CX167" i="3"/>
  <c r="DF122" i="3"/>
  <c r="DG122" i="3"/>
  <c r="DJ122" i="3" s="1"/>
  <c r="DI122" i="3"/>
  <c r="CW83" i="3"/>
  <c r="CX61" i="3"/>
  <c r="CX30" i="3"/>
  <c r="CX190" i="3"/>
  <c r="DI139" i="3"/>
  <c r="DJ139" i="3" s="1"/>
  <c r="CX112" i="3"/>
  <c r="CW112" i="3"/>
  <c r="DH173" i="3"/>
  <c r="DG163" i="3"/>
  <c r="DJ163" i="3" s="1"/>
  <c r="DH139" i="3"/>
  <c r="DG132" i="3"/>
  <c r="DJ132" i="3" s="1"/>
  <c r="DF132" i="3"/>
  <c r="DI131" i="3"/>
  <c r="DJ131" i="3" s="1"/>
  <c r="DF131" i="3"/>
  <c r="DG131" i="3"/>
  <c r="CW123" i="3"/>
  <c r="DF118" i="3"/>
  <c r="DJ118" i="3" s="1"/>
  <c r="DH118" i="3"/>
  <c r="DF106" i="3"/>
  <c r="DJ106" i="3" s="1"/>
  <c r="DG106" i="3"/>
  <c r="DH106" i="3"/>
  <c r="DI106" i="3"/>
  <c r="CX86" i="3"/>
  <c r="DI12" i="3"/>
  <c r="DG12" i="3"/>
  <c r="DJ12" i="3" s="1"/>
  <c r="DF12" i="3"/>
  <c r="DH12" i="3"/>
  <c r="CW149" i="3"/>
  <c r="CX148" i="3"/>
  <c r="CX146" i="3"/>
  <c r="DF123" i="3"/>
  <c r="DH123" i="3"/>
  <c r="CV45" i="3"/>
  <c r="CX45" i="3"/>
  <c r="CX35" i="3"/>
  <c r="CX28" i="3"/>
  <c r="DF26" i="3"/>
  <c r="DJ26" i="3" s="1"/>
  <c r="DG26" i="3"/>
  <c r="DH26" i="3"/>
  <c r="DI26" i="3"/>
  <c r="DG20" i="3"/>
  <c r="DJ20" i="3" s="1"/>
  <c r="DH20" i="3"/>
  <c r="DF20" i="3"/>
  <c r="DI20" i="3"/>
  <c r="DF173" i="3"/>
  <c r="DH172" i="3"/>
  <c r="DG166" i="3"/>
  <c r="DI121" i="3"/>
  <c r="DJ121" i="3" s="1"/>
  <c r="DG109" i="3"/>
  <c r="DH109" i="3"/>
  <c r="DF109" i="3"/>
  <c r="DI109" i="3"/>
  <c r="DJ109" i="3" s="1"/>
  <c r="DF133" i="3"/>
  <c r="DJ133" i="3" s="1"/>
  <c r="DI133" i="3"/>
  <c r="DG133" i="3"/>
  <c r="DH133" i="3"/>
  <c r="DF124" i="3"/>
  <c r="DJ124" i="3" s="1"/>
  <c r="DH124" i="3"/>
  <c r="DG104" i="3"/>
  <c r="DF104" i="3"/>
  <c r="DJ104" i="3" s="1"/>
  <c r="DH104" i="3"/>
  <c r="DI104" i="3"/>
  <c r="CX38" i="3"/>
  <c r="CX31" i="3"/>
  <c r="CX60" i="3"/>
  <c r="CV60" i="3"/>
  <c r="CX53" i="3"/>
  <c r="DH99" i="3"/>
  <c r="CW63" i="3"/>
  <c r="CX32" i="3"/>
  <c r="DH18" i="3"/>
  <c r="DF18" i="3"/>
  <c r="CV6" i="3"/>
  <c r="CX72" i="3"/>
  <c r="CX64" i="3"/>
  <c r="CX55" i="3"/>
  <c r="CX47" i="3"/>
  <c r="CV27" i="3"/>
  <c r="DI24" i="3"/>
  <c r="DG119" i="3"/>
  <c r="DI115" i="3"/>
  <c r="DJ115" i="3" s="1"/>
  <c r="CX110" i="3"/>
  <c r="DF90" i="3"/>
  <c r="DJ90" i="3" s="1"/>
  <c r="DG90" i="3"/>
  <c r="DI90" i="3"/>
  <c r="DF21" i="3"/>
  <c r="DJ21" i="3" s="1"/>
  <c r="DG21" i="3"/>
  <c r="DI21" i="3"/>
  <c r="DH6" i="3"/>
  <c r="DF6" i="3"/>
  <c r="DG2" i="3"/>
  <c r="DJ2" i="3" s="1"/>
  <c r="DH2" i="3"/>
  <c r="DF119" i="3"/>
  <c r="DJ119" i="3" s="1"/>
  <c r="DH115" i="3"/>
  <c r="CX74" i="3"/>
  <c r="CX33" i="3"/>
  <c r="CW28" i="3"/>
  <c r="DH19" i="3"/>
  <c r="DH13" i="3"/>
  <c r="DF13" i="3"/>
  <c r="DJ13" i="3" s="1"/>
  <c r="DI130" i="3"/>
  <c r="DG115" i="3"/>
  <c r="DF91" i="3"/>
  <c r="DJ91" i="3" s="1"/>
  <c r="DH91" i="3"/>
  <c r="CX75" i="3"/>
  <c r="CX50" i="3"/>
  <c r="CV49" i="3"/>
  <c r="DG19" i="3"/>
  <c r="DI18" i="3"/>
  <c r="DJ18" i="3" s="1"/>
  <c r="DG15" i="3"/>
  <c r="DJ15" i="3" s="1"/>
  <c r="DH15" i="3"/>
  <c r="CX3" i="3"/>
  <c r="DH130" i="3"/>
  <c r="DI129" i="3"/>
  <c r="DJ129" i="3" s="1"/>
  <c r="DI107" i="3"/>
  <c r="CX42" i="3"/>
  <c r="CV41" i="3"/>
  <c r="CV40" i="3"/>
  <c r="CV39" i="3"/>
  <c r="CX39" i="3"/>
  <c r="CW29" i="3"/>
  <c r="CX23" i="3"/>
  <c r="DF22" i="3"/>
  <c r="DJ22" i="3" s="1"/>
  <c r="DH22" i="3"/>
  <c r="DI22" i="3"/>
  <c r="DF19" i="3"/>
  <c r="DG18" i="3"/>
  <c r="CW8" i="3"/>
  <c r="CX8" i="3"/>
  <c r="DG130" i="3"/>
  <c r="DJ130" i="3" s="1"/>
  <c r="DH129" i="3"/>
  <c r="DH107" i="3"/>
  <c r="CX101" i="3"/>
  <c r="DH96" i="3"/>
  <c r="DI96" i="3"/>
  <c r="CV77" i="3"/>
  <c r="CX58" i="3"/>
  <c r="CW35" i="3"/>
  <c r="DG9" i="3"/>
  <c r="DH9" i="3"/>
  <c r="DI6" i="3"/>
  <c r="DJ6" i="3" s="1"/>
  <c r="CV99" i="3"/>
  <c r="DI94" i="3"/>
  <c r="DI93" i="3"/>
  <c r="DI92" i="3"/>
  <c r="DJ92" i="3" s="1"/>
  <c r="CX80" i="3"/>
  <c r="CX68" i="3"/>
  <c r="CV67" i="3"/>
  <c r="CX67" i="3"/>
  <c r="CW24" i="3"/>
  <c r="DF16" i="3"/>
  <c r="DJ16" i="3" s="1"/>
  <c r="DG16" i="3"/>
  <c r="DI16" i="3"/>
  <c r="DI7" i="3"/>
  <c r="DG6" i="3"/>
  <c r="DG4" i="3"/>
  <c r="DH4" i="3"/>
  <c r="DI2" i="3"/>
  <c r="CX83" i="3"/>
  <c r="CV82" i="3"/>
  <c r="CX81" i="3"/>
  <c r="CX36" i="3"/>
  <c r="DH24" i="3"/>
  <c r="DF24" i="3"/>
  <c r="DF17" i="3"/>
  <c r="DG17" i="3"/>
  <c r="DI17" i="3"/>
  <c r="DJ17" i="3" s="1"/>
  <c r="CW117" i="3"/>
  <c r="CX117" i="3"/>
  <c r="DF114" i="3"/>
  <c r="DG114" i="3"/>
  <c r="DI114" i="3"/>
  <c r="DJ114" i="3" s="1"/>
  <c r="DF102" i="3"/>
  <c r="DJ102" i="3" s="1"/>
  <c r="DG102" i="3"/>
  <c r="DI102" i="3"/>
  <c r="CX70" i="3"/>
  <c r="DF10" i="3"/>
  <c r="DJ10" i="3" s="1"/>
  <c r="DG10" i="3"/>
  <c r="DI10" i="3"/>
  <c r="J445" i="7" l="1"/>
  <c r="J441" i="7"/>
  <c r="J149" i="7"/>
  <c r="H445" i="7"/>
  <c r="H149" i="7"/>
  <c r="J372" i="7"/>
  <c r="AJ26" i="1"/>
  <c r="W53" i="1"/>
  <c r="R329" i="1"/>
  <c r="AE312" i="1"/>
  <c r="DX85" i="1"/>
  <c r="DK152" i="1"/>
  <c r="AJ85" i="1"/>
  <c r="W152" i="1"/>
  <c r="DW184" i="1"/>
  <c r="DJ233" i="1"/>
  <c r="Q280" i="1"/>
  <c r="AD265" i="1"/>
  <c r="DF71" i="3"/>
  <c r="DJ71" i="3" s="1"/>
  <c r="DH71" i="3"/>
  <c r="DG71" i="3"/>
  <c r="DI71" i="3"/>
  <c r="DF85" i="3"/>
  <c r="DJ85" i="3" s="1"/>
  <c r="DI85" i="3"/>
  <c r="DG85" i="3"/>
  <c r="DH85" i="3"/>
  <c r="DI149" i="3"/>
  <c r="DF149" i="3"/>
  <c r="DG149" i="3"/>
  <c r="DJ149" i="3" s="1"/>
  <c r="DH149" i="3"/>
  <c r="AG26" i="1"/>
  <c r="T53" i="1"/>
  <c r="CY121" i="1"/>
  <c r="CZ121" i="1"/>
  <c r="X121" i="1"/>
  <c r="CP121" i="1"/>
  <c r="O121" i="1" s="1"/>
  <c r="GM121" i="1" s="1"/>
  <c r="Y121" i="1"/>
  <c r="DF142" i="3"/>
  <c r="DG142" i="3"/>
  <c r="DJ142" i="3" s="1"/>
  <c r="DH142" i="3"/>
  <c r="DI142" i="3"/>
  <c r="CP88" i="1"/>
  <c r="O88" i="1" s="1"/>
  <c r="DU152" i="1"/>
  <c r="CP150" i="1"/>
  <c r="O150" i="1" s="1"/>
  <c r="FR150" i="1"/>
  <c r="EV85" i="1"/>
  <c r="P177" i="1"/>
  <c r="EV359" i="1"/>
  <c r="FR117" i="1"/>
  <c r="CP117" i="1"/>
  <c r="O117" i="1" s="1"/>
  <c r="GM117" i="1" s="1"/>
  <c r="DF177" i="3"/>
  <c r="DG177" i="3"/>
  <c r="DH177" i="3"/>
  <c r="DI177" i="3"/>
  <c r="DJ177" i="3" s="1"/>
  <c r="CP136" i="1"/>
  <c r="O136" i="1" s="1"/>
  <c r="FR136" i="1"/>
  <c r="CZ188" i="1"/>
  <c r="X188" i="1"/>
  <c r="CY188" i="1"/>
  <c r="Y188" i="1"/>
  <c r="AH184" i="1"/>
  <c r="U233" i="1"/>
  <c r="ES152" i="1"/>
  <c r="GB85" i="1"/>
  <c r="BB184" i="1"/>
  <c r="F246" i="1"/>
  <c r="DG229" i="3"/>
  <c r="DI229" i="3"/>
  <c r="DJ229" i="3" s="1"/>
  <c r="DF229" i="3"/>
  <c r="DH229" i="3"/>
  <c r="DH224" i="3"/>
  <c r="DI224" i="3"/>
  <c r="DJ224" i="3" s="1"/>
  <c r="DF224" i="3"/>
  <c r="DG224" i="3"/>
  <c r="GM267" i="1"/>
  <c r="DV265" i="1"/>
  <c r="DI280" i="1"/>
  <c r="DW312" i="1"/>
  <c r="DJ329" i="1"/>
  <c r="AU184" i="1"/>
  <c r="F252" i="1"/>
  <c r="BA280" i="1"/>
  <c r="CJ265" i="1"/>
  <c r="AH265" i="1"/>
  <c r="U280" i="1"/>
  <c r="P339" i="1"/>
  <c r="EI312" i="1"/>
  <c r="AE85" i="1"/>
  <c r="R152" i="1"/>
  <c r="DH32" i="3"/>
  <c r="DF32" i="3"/>
  <c r="DJ32" i="3" s="1"/>
  <c r="DG32" i="3"/>
  <c r="DI32" i="3"/>
  <c r="DG45" i="3"/>
  <c r="DF45" i="3"/>
  <c r="DH45" i="3"/>
  <c r="DI45" i="3"/>
  <c r="DJ45" i="3" s="1"/>
  <c r="DG69" i="3"/>
  <c r="DJ69" i="3" s="1"/>
  <c r="DH69" i="3"/>
  <c r="DF69" i="3"/>
  <c r="DI69" i="3"/>
  <c r="GM32" i="1"/>
  <c r="GO32" i="1" s="1"/>
  <c r="DW53" i="1"/>
  <c r="CY48" i="1"/>
  <c r="Y48" i="1"/>
  <c r="CZ48" i="1"/>
  <c r="CP48" i="1"/>
  <c r="O48" i="1" s="1"/>
  <c r="GM48" i="1" s="1"/>
  <c r="GN48" i="1" s="1"/>
  <c r="X48" i="1"/>
  <c r="DH82" i="3"/>
  <c r="DI82" i="3"/>
  <c r="DJ82" i="3" s="1"/>
  <c r="DF82" i="3"/>
  <c r="DG82" i="3"/>
  <c r="EI26" i="1"/>
  <c r="P63" i="1"/>
  <c r="EI359" i="1"/>
  <c r="GM50" i="1"/>
  <c r="GN50" i="1" s="1"/>
  <c r="CB53" i="1" s="1"/>
  <c r="CY124" i="1"/>
  <c r="CZ124" i="1"/>
  <c r="X124" i="1"/>
  <c r="Y124" i="1"/>
  <c r="CZ141" i="1"/>
  <c r="CY141" i="1"/>
  <c r="X141" i="1"/>
  <c r="AK152" i="1" s="1"/>
  <c r="Y141" i="1"/>
  <c r="CP131" i="1"/>
  <c r="O131" i="1" s="1"/>
  <c r="GM131" i="1" s="1"/>
  <c r="GO131" i="1" s="1"/>
  <c r="AC152" i="1"/>
  <c r="CP124" i="1"/>
  <c r="O124" i="1" s="1"/>
  <c r="GM124" i="1" s="1"/>
  <c r="CP188" i="1"/>
  <c r="O188" i="1" s="1"/>
  <c r="FR144" i="1"/>
  <c r="CP144" i="1"/>
  <c r="O144" i="1" s="1"/>
  <c r="GM144" i="1" s="1"/>
  <c r="AQ85" i="1"/>
  <c r="F162" i="1"/>
  <c r="DI231" i="3"/>
  <c r="DF231" i="3"/>
  <c r="DG231" i="3"/>
  <c r="DJ231" i="3" s="1"/>
  <c r="DH231" i="3"/>
  <c r="AI184" i="1"/>
  <c r="V233" i="1"/>
  <c r="DF238" i="3"/>
  <c r="DJ238" i="3" s="1"/>
  <c r="DG238" i="3"/>
  <c r="DH238" i="3"/>
  <c r="DI238" i="3"/>
  <c r="AC265" i="1"/>
  <c r="CH280" i="1"/>
  <c r="P280" i="1"/>
  <c r="CE280" i="1"/>
  <c r="CF280" i="1"/>
  <c r="ET312" i="1"/>
  <c r="P342" i="1"/>
  <c r="DH244" i="3"/>
  <c r="DI244" i="3"/>
  <c r="DJ244" i="3" s="1"/>
  <c r="DF244" i="3"/>
  <c r="DG244" i="3"/>
  <c r="ES280" i="1"/>
  <c r="GB265" i="1"/>
  <c r="AQ329" i="1"/>
  <c r="BZ312" i="1"/>
  <c r="CG329" i="1"/>
  <c r="EP329" i="1"/>
  <c r="FY312" i="1"/>
  <c r="P349" i="1"/>
  <c r="ES312" i="1"/>
  <c r="DF74" i="3"/>
  <c r="DJ74" i="3" s="1"/>
  <c r="DG74" i="3"/>
  <c r="DH74" i="3"/>
  <c r="DI74" i="3"/>
  <c r="GM29" i="1"/>
  <c r="DT53" i="1"/>
  <c r="DG50" i="3"/>
  <c r="DI50" i="3"/>
  <c r="DF50" i="3"/>
  <c r="DJ50" i="3" s="1"/>
  <c r="DH50" i="3"/>
  <c r="DF110" i="3"/>
  <c r="DH110" i="3"/>
  <c r="DI110" i="3"/>
  <c r="DG110" i="3"/>
  <c r="DJ110" i="3" s="1"/>
  <c r="CP31" i="1"/>
  <c r="O31" i="1" s="1"/>
  <c r="GM31" i="1" s="1"/>
  <c r="GO31" i="1" s="1"/>
  <c r="DU53" i="1"/>
  <c r="DI239" i="3"/>
  <c r="DF239" i="3"/>
  <c r="DJ239" i="3" s="1"/>
  <c r="DG239" i="3"/>
  <c r="DH239" i="3"/>
  <c r="DH8" i="3"/>
  <c r="DI8" i="3"/>
  <c r="DG8" i="3"/>
  <c r="DJ8" i="3" s="1"/>
  <c r="DF8" i="3"/>
  <c r="DI75" i="3"/>
  <c r="DJ75" i="3" s="1"/>
  <c r="DF75" i="3"/>
  <c r="DG75" i="3"/>
  <c r="DH75" i="3"/>
  <c r="DF167" i="3"/>
  <c r="DG167" i="3"/>
  <c r="DH167" i="3"/>
  <c r="DI167" i="3"/>
  <c r="DJ167" i="3" s="1"/>
  <c r="DF182" i="3"/>
  <c r="DJ182" i="3" s="1"/>
  <c r="DG182" i="3"/>
  <c r="DI182" i="3"/>
  <c r="DH182" i="3"/>
  <c r="DG193" i="3"/>
  <c r="DH193" i="3"/>
  <c r="DI193" i="3"/>
  <c r="DF193" i="3"/>
  <c r="DJ193" i="3" s="1"/>
  <c r="DF65" i="3"/>
  <c r="DJ65" i="3" s="1"/>
  <c r="DI65" i="3"/>
  <c r="DH65" i="3"/>
  <c r="DG65" i="3"/>
  <c r="DG233" i="3"/>
  <c r="DH233" i="3"/>
  <c r="DF233" i="3"/>
  <c r="DJ233" i="3" s="1"/>
  <c r="DI233" i="3"/>
  <c r="GM33" i="1"/>
  <c r="GO33" i="1" s="1"/>
  <c r="CP30" i="1"/>
  <c r="O30" i="1" s="1"/>
  <c r="GM30" i="1" s="1"/>
  <c r="GO30" i="1" s="1"/>
  <c r="DV152" i="1"/>
  <c r="AI85" i="1"/>
  <c r="V152" i="1"/>
  <c r="GM125" i="1"/>
  <c r="GO125" i="1" s="1"/>
  <c r="FR139" i="1"/>
  <c r="BY152" i="1" s="1"/>
  <c r="CP139" i="1"/>
  <c r="O139" i="1" s="1"/>
  <c r="FR123" i="1"/>
  <c r="CP123" i="1"/>
  <c r="O123" i="1" s="1"/>
  <c r="GM123" i="1" s="1"/>
  <c r="GM107" i="1"/>
  <c r="DF201" i="3"/>
  <c r="DH201" i="3"/>
  <c r="DI201" i="3"/>
  <c r="DJ201" i="3" s="1"/>
  <c r="DG201" i="3"/>
  <c r="EI85" i="1"/>
  <c r="P162" i="1"/>
  <c r="CG85" i="1"/>
  <c r="AX152" i="1"/>
  <c r="Y219" i="1"/>
  <c r="CY219" i="1"/>
  <c r="CZ219" i="1"/>
  <c r="X219" i="1"/>
  <c r="GM219" i="1" s="1"/>
  <c r="GO219" i="1" s="1"/>
  <c r="EU85" i="1"/>
  <c r="P168" i="1"/>
  <c r="EU359" i="1"/>
  <c r="X226" i="1"/>
  <c r="GM226" i="1" s="1"/>
  <c r="Y226" i="1"/>
  <c r="CY226" i="1"/>
  <c r="CZ226" i="1"/>
  <c r="DG225" i="3"/>
  <c r="DH225" i="3"/>
  <c r="DF225" i="3"/>
  <c r="DJ225" i="3" s="1"/>
  <c r="DI225" i="3"/>
  <c r="FR220" i="1"/>
  <c r="CP220" i="1"/>
  <c r="O220" i="1" s="1"/>
  <c r="GM220" i="1" s="1"/>
  <c r="CY218" i="1"/>
  <c r="CZ218" i="1"/>
  <c r="X218" i="1"/>
  <c r="Y218" i="1"/>
  <c r="DH240" i="3"/>
  <c r="DI240" i="3"/>
  <c r="DG240" i="3"/>
  <c r="DF240" i="3"/>
  <c r="DJ240" i="3" s="1"/>
  <c r="GM229" i="1"/>
  <c r="GO229" i="1" s="1"/>
  <c r="EK265" i="1"/>
  <c r="P297" i="1"/>
  <c r="EM312" i="1"/>
  <c r="P348" i="1"/>
  <c r="CP269" i="1"/>
  <c r="O269" i="1" s="1"/>
  <c r="GM269" i="1" s="1"/>
  <c r="GO269" i="1" s="1"/>
  <c r="AS184" i="1"/>
  <c r="F250" i="1"/>
  <c r="CY315" i="1"/>
  <c r="CZ315" i="1"/>
  <c r="Y315" i="1"/>
  <c r="DX329" i="1"/>
  <c r="X315" i="1"/>
  <c r="GM275" i="1"/>
  <c r="GO275" i="1" s="1"/>
  <c r="DM265" i="1"/>
  <c r="P302" i="1"/>
  <c r="DH86" i="3"/>
  <c r="DF86" i="3"/>
  <c r="DJ86" i="3" s="1"/>
  <c r="DG86" i="3"/>
  <c r="DI86" i="3"/>
  <c r="DF156" i="3"/>
  <c r="DG156" i="3"/>
  <c r="DH156" i="3"/>
  <c r="DI156" i="3"/>
  <c r="DJ156" i="3" s="1"/>
  <c r="DF77" i="3"/>
  <c r="DH77" i="3"/>
  <c r="DI77" i="3"/>
  <c r="DJ77" i="3" s="1"/>
  <c r="DG77" i="3"/>
  <c r="DG84" i="3"/>
  <c r="DJ84" i="3" s="1"/>
  <c r="DF84" i="3"/>
  <c r="DH84" i="3"/>
  <c r="DI84" i="3"/>
  <c r="GM87" i="1"/>
  <c r="EP26" i="1"/>
  <c r="P60" i="1"/>
  <c r="EP359" i="1"/>
  <c r="DF186" i="3"/>
  <c r="DJ186" i="3" s="1"/>
  <c r="DG186" i="3"/>
  <c r="DH186" i="3"/>
  <c r="DI186" i="3"/>
  <c r="CP132" i="1"/>
  <c r="O132" i="1" s="1"/>
  <c r="GM132" i="1" s="1"/>
  <c r="GO132" i="1" s="1"/>
  <c r="CY108" i="1"/>
  <c r="X108" i="1"/>
  <c r="Y108" i="1"/>
  <c r="CZ108" i="1"/>
  <c r="EG85" i="1"/>
  <c r="P156" i="1"/>
  <c r="DF181" i="3"/>
  <c r="DJ181" i="3" s="1"/>
  <c r="DG181" i="3"/>
  <c r="DH181" i="3"/>
  <c r="DI181" i="3"/>
  <c r="CZ136" i="1"/>
  <c r="X136" i="1"/>
  <c r="EC152" i="1" s="1"/>
  <c r="Y136" i="1"/>
  <c r="ED152" i="1" s="1"/>
  <c r="CY136" i="1"/>
  <c r="EK85" i="1"/>
  <c r="P169" i="1"/>
  <c r="AE184" i="1"/>
  <c r="R233" i="1"/>
  <c r="DV233" i="1"/>
  <c r="GM215" i="1"/>
  <c r="GO215" i="1" s="1"/>
  <c r="DH232" i="3"/>
  <c r="DI232" i="3"/>
  <c r="DF232" i="3"/>
  <c r="DJ232" i="3" s="1"/>
  <c r="DG232" i="3"/>
  <c r="X228" i="1"/>
  <c r="GM228" i="1" s="1"/>
  <c r="GO228" i="1" s="1"/>
  <c r="Y228" i="1"/>
  <c r="CY228" i="1"/>
  <c r="CZ228" i="1"/>
  <c r="GM204" i="1"/>
  <c r="GO204" i="1" s="1"/>
  <c r="ET184" i="1"/>
  <c r="P246" i="1"/>
  <c r="ET359" i="1"/>
  <c r="DF209" i="3"/>
  <c r="DH209" i="3"/>
  <c r="DI209" i="3"/>
  <c r="DJ209" i="3" s="1"/>
  <c r="DG209" i="3"/>
  <c r="EM184" i="1"/>
  <c r="P252" i="1"/>
  <c r="GM270" i="1"/>
  <c r="GO270" i="1" s="1"/>
  <c r="P338" i="1"/>
  <c r="EH312" i="1"/>
  <c r="CZ274" i="1"/>
  <c r="X274" i="1"/>
  <c r="Y274" i="1"/>
  <c r="CY274" i="1"/>
  <c r="DG191" i="3"/>
  <c r="DJ191" i="3" s="1"/>
  <c r="DH191" i="3"/>
  <c r="DI191" i="3"/>
  <c r="DF191" i="3"/>
  <c r="DF216" i="3"/>
  <c r="DJ216" i="3" s="1"/>
  <c r="DH216" i="3"/>
  <c r="DI216" i="3"/>
  <c r="DG216" i="3"/>
  <c r="DH66" i="3"/>
  <c r="DI66" i="3"/>
  <c r="DG66" i="3"/>
  <c r="DF66" i="3"/>
  <c r="DJ66" i="3" s="1"/>
  <c r="DI197" i="3"/>
  <c r="DF197" i="3"/>
  <c r="DG197" i="3"/>
  <c r="DJ197" i="3" s="1"/>
  <c r="DH197" i="3"/>
  <c r="DI53" i="3"/>
  <c r="DG53" i="3"/>
  <c r="DF53" i="3"/>
  <c r="DJ53" i="3" s="1"/>
  <c r="DH53" i="3"/>
  <c r="DF29" i="3"/>
  <c r="DG29" i="3"/>
  <c r="DJ29" i="3" s="1"/>
  <c r="DI29" i="3"/>
  <c r="DH29" i="3"/>
  <c r="DF226" i="3"/>
  <c r="DJ226" i="3" s="1"/>
  <c r="DG226" i="3"/>
  <c r="DI226" i="3"/>
  <c r="DH226" i="3"/>
  <c r="DG62" i="3"/>
  <c r="DJ62" i="3" s="1"/>
  <c r="DH62" i="3"/>
  <c r="DF62" i="3"/>
  <c r="DI62" i="3"/>
  <c r="DF206" i="3"/>
  <c r="DG206" i="3"/>
  <c r="DH206" i="3"/>
  <c r="DI206" i="3"/>
  <c r="DJ206" i="3" s="1"/>
  <c r="DG79" i="3"/>
  <c r="DJ79" i="3" s="1"/>
  <c r="DF79" i="3"/>
  <c r="DH79" i="3"/>
  <c r="DI79" i="3"/>
  <c r="BB26" i="1"/>
  <c r="F66" i="1"/>
  <c r="BB359" i="1"/>
  <c r="X40" i="1"/>
  <c r="GM40" i="1" s="1"/>
  <c r="GO40" i="1" s="1"/>
  <c r="CZ40" i="1"/>
  <c r="Y40" i="1"/>
  <c r="CY40" i="1"/>
  <c r="AF53" i="1"/>
  <c r="DF188" i="3"/>
  <c r="DJ188" i="3" s="1"/>
  <c r="DG188" i="3"/>
  <c r="DH188" i="3"/>
  <c r="DI188" i="3"/>
  <c r="EM26" i="1"/>
  <c r="P72" i="1"/>
  <c r="EM359" i="1"/>
  <c r="FV85" i="1"/>
  <c r="EM152" i="1"/>
  <c r="CP187" i="1"/>
  <c r="O187" i="1" s="1"/>
  <c r="DU233" i="1"/>
  <c r="AJ184" i="1"/>
  <c r="W233" i="1"/>
  <c r="X187" i="1"/>
  <c r="Y187" i="1"/>
  <c r="CY187" i="1"/>
  <c r="CZ187" i="1"/>
  <c r="DX233" i="1"/>
  <c r="DF196" i="3"/>
  <c r="DG196" i="3"/>
  <c r="DJ196" i="3" s="1"/>
  <c r="DH196" i="3"/>
  <c r="DI196" i="3"/>
  <c r="BD184" i="1"/>
  <c r="F258" i="1"/>
  <c r="DF227" i="3"/>
  <c r="DJ227" i="3" s="1"/>
  <c r="DI227" i="3"/>
  <c r="DG227" i="3"/>
  <c r="DH227" i="3"/>
  <c r="CY193" i="1"/>
  <c r="X193" i="1"/>
  <c r="Y193" i="1"/>
  <c r="CP193" i="1"/>
  <c r="O193" i="1" s="1"/>
  <c r="CZ193" i="1"/>
  <c r="AE280" i="1"/>
  <c r="CP212" i="1"/>
  <c r="O212" i="1" s="1"/>
  <c r="GM212" i="1" s="1"/>
  <c r="FR212" i="1"/>
  <c r="GA265" i="1"/>
  <c r="ER280" i="1"/>
  <c r="X314" i="1"/>
  <c r="AK329" i="1" s="1"/>
  <c r="Y314" i="1"/>
  <c r="AL329" i="1" s="1"/>
  <c r="AF329" i="1"/>
  <c r="CY314" i="1"/>
  <c r="CZ314" i="1"/>
  <c r="FY184" i="1"/>
  <c r="EP233" i="1"/>
  <c r="DM26" i="1"/>
  <c r="P75" i="1"/>
  <c r="EA184" i="1"/>
  <c r="DN233" i="1"/>
  <c r="CJ312" i="1"/>
  <c r="BA329" i="1"/>
  <c r="F351" i="1"/>
  <c r="U312" i="1"/>
  <c r="AI26" i="1"/>
  <c r="V53" i="1"/>
  <c r="EB26" i="1"/>
  <c r="DO53" i="1"/>
  <c r="CP108" i="1"/>
  <c r="O108" i="1" s="1"/>
  <c r="GM108" i="1" s="1"/>
  <c r="FR108" i="1"/>
  <c r="DW85" i="1"/>
  <c r="DJ152" i="1"/>
  <c r="BA26" i="1"/>
  <c r="F73" i="1"/>
  <c r="GM106" i="1"/>
  <c r="GO106" i="1" s="1"/>
  <c r="AH85" i="1"/>
  <c r="U152" i="1"/>
  <c r="FR148" i="1"/>
  <c r="CP148" i="1"/>
  <c r="O148" i="1" s="1"/>
  <c r="GM148" i="1" s="1"/>
  <c r="BB85" i="1"/>
  <c r="F165" i="1"/>
  <c r="DH198" i="3"/>
  <c r="DF198" i="3"/>
  <c r="DJ198" i="3" s="1"/>
  <c r="DG198" i="3"/>
  <c r="DI198" i="3"/>
  <c r="AS85" i="1"/>
  <c r="F169" i="1"/>
  <c r="X198" i="1"/>
  <c r="CY198" i="1"/>
  <c r="Y198" i="1"/>
  <c r="CZ198" i="1"/>
  <c r="DY265" i="1"/>
  <c r="DL280" i="1"/>
  <c r="X323" i="1"/>
  <c r="GM323" i="1" s="1"/>
  <c r="GO323" i="1" s="1"/>
  <c r="Y323" i="1"/>
  <c r="CY323" i="1"/>
  <c r="CZ323" i="1"/>
  <c r="EK184" i="1"/>
  <c r="P250" i="1"/>
  <c r="CI312" i="1"/>
  <c r="AZ329" i="1"/>
  <c r="AS265" i="1"/>
  <c r="F297" i="1"/>
  <c r="DO329" i="1"/>
  <c r="EB312" i="1"/>
  <c r="AX265" i="1"/>
  <c r="F287" i="1"/>
  <c r="V265" i="1"/>
  <c r="F303" i="1"/>
  <c r="DM329" i="1"/>
  <c r="DZ312" i="1"/>
  <c r="DF137" i="3"/>
  <c r="DG137" i="3"/>
  <c r="DH137" i="3"/>
  <c r="DI137" i="3"/>
  <c r="DJ137" i="3" s="1"/>
  <c r="DF63" i="3"/>
  <c r="DH63" i="3"/>
  <c r="DG63" i="3"/>
  <c r="DJ63" i="3" s="1"/>
  <c r="DI63" i="3"/>
  <c r="DG73" i="3"/>
  <c r="DF73" i="3"/>
  <c r="DH73" i="3"/>
  <c r="DI73" i="3"/>
  <c r="DJ73" i="3" s="1"/>
  <c r="DF112" i="3"/>
  <c r="DG112" i="3"/>
  <c r="DJ112" i="3" s="1"/>
  <c r="DH112" i="3"/>
  <c r="DI112" i="3"/>
  <c r="DF78" i="3"/>
  <c r="DI78" i="3"/>
  <c r="DG78" i="3"/>
  <c r="DJ78" i="3" s="1"/>
  <c r="DH78" i="3"/>
  <c r="DF58" i="3"/>
  <c r="DJ58" i="3" s="1"/>
  <c r="DG58" i="3"/>
  <c r="DI58" i="3"/>
  <c r="DH58" i="3"/>
  <c r="DG148" i="3"/>
  <c r="DJ148" i="3" s="1"/>
  <c r="DI148" i="3"/>
  <c r="DF148" i="3"/>
  <c r="DH148" i="3"/>
  <c r="DF162" i="3"/>
  <c r="DG162" i="3"/>
  <c r="DH162" i="3"/>
  <c r="DI162" i="3"/>
  <c r="DJ162" i="3" s="1"/>
  <c r="DF192" i="3"/>
  <c r="DJ192" i="3" s="1"/>
  <c r="DG192" i="3"/>
  <c r="DH192" i="3"/>
  <c r="DI192" i="3"/>
  <c r="DF184" i="3"/>
  <c r="DG184" i="3"/>
  <c r="DJ184" i="3" s="1"/>
  <c r="DH184" i="3"/>
  <c r="DI184" i="3"/>
  <c r="DG215" i="3"/>
  <c r="DI215" i="3"/>
  <c r="DF215" i="3"/>
  <c r="DJ215" i="3" s="1"/>
  <c r="DH215" i="3"/>
  <c r="AH26" i="1"/>
  <c r="U53" i="1"/>
  <c r="BD26" i="1"/>
  <c r="F78" i="1"/>
  <c r="BD359" i="1"/>
  <c r="GM100" i="1"/>
  <c r="GO100" i="1" s="1"/>
  <c r="DN26" i="1"/>
  <c r="P76" i="1"/>
  <c r="CY109" i="1"/>
  <c r="CZ109" i="1"/>
  <c r="Y109" i="1"/>
  <c r="X109" i="1"/>
  <c r="DG183" i="3"/>
  <c r="DH183" i="3"/>
  <c r="DI183" i="3"/>
  <c r="DJ183" i="3" s="1"/>
  <c r="DF183" i="3"/>
  <c r="CY138" i="1"/>
  <c r="X138" i="1"/>
  <c r="Y138" i="1"/>
  <c r="CZ138" i="1"/>
  <c r="GM145" i="1"/>
  <c r="GM102" i="1"/>
  <c r="GO102" i="1" s="1"/>
  <c r="CP111" i="1"/>
  <c r="O111" i="1" s="1"/>
  <c r="GM111" i="1" s="1"/>
  <c r="GO111" i="1" s="1"/>
  <c r="X150" i="1"/>
  <c r="Y150" i="1"/>
  <c r="CZ150" i="1"/>
  <c r="CY150" i="1"/>
  <c r="CP141" i="1"/>
  <c r="O141" i="1" s="1"/>
  <c r="X189" i="1"/>
  <c r="GM189" i="1" s="1"/>
  <c r="GO189" i="1" s="1"/>
  <c r="CY189" i="1"/>
  <c r="CZ189" i="1"/>
  <c r="Y189" i="1"/>
  <c r="DH220" i="3"/>
  <c r="DI220" i="3"/>
  <c r="DF220" i="3"/>
  <c r="DJ220" i="3" s="1"/>
  <c r="DG220" i="3"/>
  <c r="CP198" i="1"/>
  <c r="O198" i="1" s="1"/>
  <c r="GM198" i="1" s="1"/>
  <c r="GO198" i="1" s="1"/>
  <c r="AC233" i="1"/>
  <c r="CY191" i="1"/>
  <c r="CZ191" i="1"/>
  <c r="X191" i="1"/>
  <c r="GM191" i="1" s="1"/>
  <c r="GO191" i="1" s="1"/>
  <c r="Y191" i="1"/>
  <c r="EB85" i="1"/>
  <c r="DO152" i="1"/>
  <c r="EB184" i="1"/>
  <c r="DO233" i="1"/>
  <c r="CY230" i="1"/>
  <c r="CZ230" i="1"/>
  <c r="X230" i="1"/>
  <c r="Y230" i="1"/>
  <c r="CY223" i="1"/>
  <c r="CZ223" i="1"/>
  <c r="X223" i="1"/>
  <c r="Y223" i="1"/>
  <c r="GM207" i="1"/>
  <c r="GO207" i="1" s="1"/>
  <c r="CP186" i="1"/>
  <c r="O186" i="1" s="1"/>
  <c r="GB184" i="1"/>
  <c r="ES233" i="1"/>
  <c r="W265" i="1"/>
  <c r="F304" i="1"/>
  <c r="EP265" i="1"/>
  <c r="P287" i="1"/>
  <c r="AG265" i="1"/>
  <c r="T280" i="1"/>
  <c r="DU329" i="1"/>
  <c r="CP317" i="1"/>
  <c r="O317" i="1" s="1"/>
  <c r="GM317" i="1" s="1"/>
  <c r="GN317" i="1" s="1"/>
  <c r="CP223" i="1"/>
  <c r="O223" i="1" s="1"/>
  <c r="EU312" i="1"/>
  <c r="P345" i="1"/>
  <c r="GM276" i="1"/>
  <c r="GO276" i="1" s="1"/>
  <c r="DI312" i="1"/>
  <c r="P341" i="1"/>
  <c r="DG144" i="3"/>
  <c r="DH144" i="3"/>
  <c r="DI144" i="3"/>
  <c r="DF144" i="3"/>
  <c r="DJ144" i="3" s="1"/>
  <c r="DF70" i="3"/>
  <c r="DJ70" i="3" s="1"/>
  <c r="DG70" i="3"/>
  <c r="DI70" i="3"/>
  <c r="DH70" i="3"/>
  <c r="DG67" i="3"/>
  <c r="DF67" i="3"/>
  <c r="DH67" i="3"/>
  <c r="DI67" i="3"/>
  <c r="DJ67" i="3" s="1"/>
  <c r="DH60" i="3"/>
  <c r="DF60" i="3"/>
  <c r="DG60" i="3"/>
  <c r="DI60" i="3"/>
  <c r="DJ60" i="3" s="1"/>
  <c r="DF159" i="3"/>
  <c r="DG159" i="3"/>
  <c r="DH159" i="3"/>
  <c r="DI159" i="3"/>
  <c r="DJ159" i="3" s="1"/>
  <c r="DF222" i="3"/>
  <c r="DJ222" i="3" s="1"/>
  <c r="DH222" i="3"/>
  <c r="DI222" i="3"/>
  <c r="DG222" i="3"/>
  <c r="DF200" i="3"/>
  <c r="DJ200" i="3" s="1"/>
  <c r="DH200" i="3"/>
  <c r="DI200" i="3"/>
  <c r="DG200" i="3"/>
  <c r="DF41" i="3"/>
  <c r="DH41" i="3"/>
  <c r="DG41" i="3"/>
  <c r="DI41" i="3"/>
  <c r="DJ41" i="3" s="1"/>
  <c r="X42" i="1"/>
  <c r="GM42" i="1" s="1"/>
  <c r="GO42" i="1" s="1"/>
  <c r="Y42" i="1"/>
  <c r="AL53" i="1" s="1"/>
  <c r="CY42" i="1"/>
  <c r="CZ42" i="1"/>
  <c r="GA26" i="1"/>
  <c r="ER53" i="1"/>
  <c r="DF3" i="3"/>
  <c r="DH3" i="3"/>
  <c r="DI3" i="3"/>
  <c r="DG3" i="3"/>
  <c r="DJ3" i="3" s="1"/>
  <c r="DI55" i="3"/>
  <c r="DF55" i="3"/>
  <c r="DJ55" i="3" s="1"/>
  <c r="DG55" i="3"/>
  <c r="DH55" i="3"/>
  <c r="DI31" i="3"/>
  <c r="DG31" i="3"/>
  <c r="DF31" i="3"/>
  <c r="DJ31" i="3" s="1"/>
  <c r="DH31" i="3"/>
  <c r="DI190" i="3"/>
  <c r="DF190" i="3"/>
  <c r="DG190" i="3"/>
  <c r="DJ190" i="3" s="1"/>
  <c r="DH190" i="3"/>
  <c r="DI160" i="3"/>
  <c r="DF160" i="3"/>
  <c r="DG160" i="3"/>
  <c r="DJ160" i="3" s="1"/>
  <c r="DH160" i="3"/>
  <c r="DG230" i="3"/>
  <c r="DJ230" i="3" s="1"/>
  <c r="DF230" i="3"/>
  <c r="DH230" i="3"/>
  <c r="DI230" i="3"/>
  <c r="DV53" i="1"/>
  <c r="DG237" i="3"/>
  <c r="DJ237" i="3" s="1"/>
  <c r="DF237" i="3"/>
  <c r="DH237" i="3"/>
  <c r="DI237" i="3"/>
  <c r="DF189" i="3"/>
  <c r="DG189" i="3"/>
  <c r="DH189" i="3"/>
  <c r="DI189" i="3"/>
  <c r="DJ189" i="3" s="1"/>
  <c r="DF195" i="3"/>
  <c r="DG195" i="3"/>
  <c r="DH195" i="3"/>
  <c r="DI195" i="3"/>
  <c r="DJ195" i="3" s="1"/>
  <c r="DF202" i="3"/>
  <c r="DG202" i="3"/>
  <c r="DH202" i="3"/>
  <c r="DI202" i="3"/>
  <c r="DJ202" i="3" s="1"/>
  <c r="GM36" i="1"/>
  <c r="GO36" i="1" s="1"/>
  <c r="DF54" i="3"/>
  <c r="DG54" i="3"/>
  <c r="DH54" i="3"/>
  <c r="DI54" i="3"/>
  <c r="DJ54" i="3" s="1"/>
  <c r="X43" i="1"/>
  <c r="EC53" i="1" s="1"/>
  <c r="CY43" i="1"/>
  <c r="CZ43" i="1"/>
  <c r="DX53" i="1"/>
  <c r="Y43" i="1"/>
  <c r="DF49" i="3"/>
  <c r="DH49" i="3"/>
  <c r="DG49" i="3"/>
  <c r="DI49" i="3"/>
  <c r="DJ49" i="3" s="1"/>
  <c r="X44" i="1"/>
  <c r="GM44" i="1" s="1"/>
  <c r="GN44" i="1" s="1"/>
  <c r="CY44" i="1"/>
  <c r="CZ44" i="1"/>
  <c r="Y44" i="1"/>
  <c r="DF46" i="3"/>
  <c r="DJ46" i="3" s="1"/>
  <c r="DG46" i="3"/>
  <c r="DH46" i="3"/>
  <c r="DI46" i="3"/>
  <c r="GM46" i="1"/>
  <c r="GO46" i="1" s="1"/>
  <c r="F72" i="1"/>
  <c r="AU26" i="1"/>
  <c r="AU359" i="1"/>
  <c r="DG152" i="3"/>
  <c r="DH152" i="3"/>
  <c r="DI152" i="3"/>
  <c r="DF152" i="3"/>
  <c r="DJ152" i="3" s="1"/>
  <c r="CY51" i="1"/>
  <c r="CZ51" i="1"/>
  <c r="X51" i="1"/>
  <c r="GM51" i="1" s="1"/>
  <c r="GN51" i="1" s="1"/>
  <c r="FT53" i="1" s="1"/>
  <c r="Y51" i="1"/>
  <c r="GM101" i="1"/>
  <c r="GO101" i="1" s="1"/>
  <c r="CP91" i="1"/>
  <c r="O91" i="1" s="1"/>
  <c r="GM91" i="1" s="1"/>
  <c r="GO91" i="1" s="1"/>
  <c r="FR114" i="1"/>
  <c r="CP114" i="1"/>
  <c r="O114" i="1" s="1"/>
  <c r="GM114" i="1" s="1"/>
  <c r="DH143" i="3"/>
  <c r="DI143" i="3"/>
  <c r="DF143" i="3"/>
  <c r="DG143" i="3"/>
  <c r="DJ143" i="3" s="1"/>
  <c r="FR118" i="1"/>
  <c r="CP118" i="1"/>
  <c r="O118" i="1" s="1"/>
  <c r="GM118" i="1" s="1"/>
  <c r="AD184" i="1"/>
  <c r="Q233" i="1"/>
  <c r="GM196" i="1"/>
  <c r="GO196" i="1" s="1"/>
  <c r="GM201" i="1"/>
  <c r="GO201" i="1" s="1"/>
  <c r="DL85" i="1"/>
  <c r="P173" i="1"/>
  <c r="DG221" i="3"/>
  <c r="DI221" i="3"/>
  <c r="DF221" i="3"/>
  <c r="DJ221" i="3" s="1"/>
  <c r="DH221" i="3"/>
  <c r="AU85" i="1"/>
  <c r="F171" i="1"/>
  <c r="BD265" i="1"/>
  <c r="F305" i="1"/>
  <c r="X213" i="1"/>
  <c r="GM213" i="1" s="1"/>
  <c r="Y213" i="1"/>
  <c r="CY213" i="1"/>
  <c r="CZ213" i="1"/>
  <c r="AG184" i="1"/>
  <c r="T233" i="1"/>
  <c r="AD329" i="1"/>
  <c r="EV265" i="1"/>
  <c r="P305" i="1"/>
  <c r="DF35" i="3"/>
  <c r="DH35" i="3"/>
  <c r="DI35" i="3"/>
  <c r="DG35" i="3"/>
  <c r="DJ35" i="3" s="1"/>
  <c r="DG42" i="3"/>
  <c r="DF42" i="3"/>
  <c r="DJ42" i="3" s="1"/>
  <c r="DI42" i="3"/>
  <c r="DH42" i="3"/>
  <c r="DF83" i="3"/>
  <c r="DG83" i="3"/>
  <c r="DJ83" i="3" s="1"/>
  <c r="DI83" i="3"/>
  <c r="DH83" i="3"/>
  <c r="DG64" i="3"/>
  <c r="DF64" i="3"/>
  <c r="DJ64" i="3" s="1"/>
  <c r="DH64" i="3"/>
  <c r="DI64" i="3"/>
  <c r="DH44" i="3"/>
  <c r="DF44" i="3"/>
  <c r="DJ44" i="3" s="1"/>
  <c r="DG44" i="3"/>
  <c r="DI44" i="3"/>
  <c r="DH40" i="3"/>
  <c r="DI40" i="3"/>
  <c r="DJ40" i="3" s="1"/>
  <c r="DF40" i="3"/>
  <c r="DG40" i="3"/>
  <c r="DF43" i="3"/>
  <c r="DJ43" i="3" s="1"/>
  <c r="DI43" i="3"/>
  <c r="DG43" i="3"/>
  <c r="DH43" i="3"/>
  <c r="DF211" i="3"/>
  <c r="DJ211" i="3" s="1"/>
  <c r="DG211" i="3"/>
  <c r="DH211" i="3"/>
  <c r="DI211" i="3"/>
  <c r="DF59" i="3"/>
  <c r="DI59" i="3"/>
  <c r="DJ59" i="3" s="1"/>
  <c r="DG59" i="3"/>
  <c r="DH59" i="3"/>
  <c r="DH56" i="3"/>
  <c r="DI56" i="3"/>
  <c r="DF56" i="3"/>
  <c r="DJ56" i="3" s="1"/>
  <c r="DG56" i="3"/>
  <c r="CY45" i="1"/>
  <c r="CZ45" i="1"/>
  <c r="X45" i="1"/>
  <c r="GM45" i="1" s="1"/>
  <c r="GN45" i="1" s="1"/>
  <c r="Y45" i="1"/>
  <c r="DH48" i="3"/>
  <c r="DI48" i="3"/>
  <c r="DF48" i="3"/>
  <c r="DJ48" i="3" s="1"/>
  <c r="DG48" i="3"/>
  <c r="DF234" i="3"/>
  <c r="DJ234" i="3" s="1"/>
  <c r="DG234" i="3"/>
  <c r="DH234" i="3"/>
  <c r="DI234" i="3"/>
  <c r="EG26" i="1"/>
  <c r="P57" i="1"/>
  <c r="EG359" i="1"/>
  <c r="GM90" i="1"/>
  <c r="DI147" i="3"/>
  <c r="DJ147" i="3" s="1"/>
  <c r="DH147" i="3"/>
  <c r="DF147" i="3"/>
  <c r="DG147" i="3"/>
  <c r="CP113" i="1"/>
  <c r="O113" i="1" s="1"/>
  <c r="GM113" i="1" s="1"/>
  <c r="FR113" i="1"/>
  <c r="FR104" i="1"/>
  <c r="CP104" i="1"/>
  <c r="O104" i="1" s="1"/>
  <c r="GM104" i="1" s="1"/>
  <c r="DN85" i="1"/>
  <c r="P175" i="1"/>
  <c r="CZ139" i="1"/>
  <c r="X139" i="1"/>
  <c r="Y139" i="1"/>
  <c r="CY139" i="1"/>
  <c r="GM203" i="1"/>
  <c r="GO203" i="1" s="1"/>
  <c r="DG223" i="3"/>
  <c r="DH223" i="3"/>
  <c r="DF223" i="3"/>
  <c r="DJ223" i="3" s="1"/>
  <c r="DI223" i="3"/>
  <c r="CY197" i="1"/>
  <c r="CZ197" i="1"/>
  <c r="X197" i="1"/>
  <c r="Y197" i="1"/>
  <c r="CP197" i="1"/>
  <c r="O197" i="1" s="1"/>
  <c r="AO184" i="1"/>
  <c r="F237" i="1"/>
  <c r="CI265" i="1"/>
  <c r="AZ280" i="1"/>
  <c r="CP230" i="1"/>
  <c r="O230" i="1" s="1"/>
  <c r="GM230" i="1" s="1"/>
  <c r="GM274" i="1"/>
  <c r="GO274" i="1" s="1"/>
  <c r="AK280" i="1"/>
  <c r="F290" i="1"/>
  <c r="AQ265" i="1"/>
  <c r="CP315" i="1"/>
  <c r="O315" i="1" s="1"/>
  <c r="P350" i="1"/>
  <c r="DL312" i="1"/>
  <c r="AI312" i="1"/>
  <c r="V329" i="1"/>
  <c r="DF180" i="3"/>
  <c r="DJ180" i="3" s="1"/>
  <c r="DG180" i="3"/>
  <c r="DH180" i="3"/>
  <c r="DI180" i="3"/>
  <c r="DG243" i="3"/>
  <c r="DF243" i="3"/>
  <c r="DH243" i="3"/>
  <c r="DI243" i="3"/>
  <c r="DJ243" i="3" s="1"/>
  <c r="DG210" i="3"/>
  <c r="DH210" i="3"/>
  <c r="DI210" i="3"/>
  <c r="DF210" i="3"/>
  <c r="DJ210" i="3" s="1"/>
  <c r="DF38" i="3"/>
  <c r="DJ38" i="3" s="1"/>
  <c r="DH38" i="3"/>
  <c r="DG38" i="3"/>
  <c r="DI38" i="3"/>
  <c r="DF30" i="3"/>
  <c r="DJ30" i="3" s="1"/>
  <c r="DH30" i="3"/>
  <c r="DG30" i="3"/>
  <c r="DI30" i="3"/>
  <c r="DF169" i="3"/>
  <c r="DG169" i="3"/>
  <c r="DH169" i="3"/>
  <c r="DI169" i="3"/>
  <c r="DJ169" i="3" s="1"/>
  <c r="DF80" i="3"/>
  <c r="DJ80" i="3" s="1"/>
  <c r="DG80" i="3"/>
  <c r="DH80" i="3"/>
  <c r="DI80" i="3"/>
  <c r="DF23" i="3"/>
  <c r="DH23" i="3"/>
  <c r="DG23" i="3"/>
  <c r="DI23" i="3"/>
  <c r="DJ23" i="3" s="1"/>
  <c r="DG72" i="3"/>
  <c r="DF72" i="3"/>
  <c r="DJ72" i="3" s="1"/>
  <c r="DH72" i="3"/>
  <c r="DI72" i="3"/>
  <c r="DI61" i="3"/>
  <c r="DJ61" i="3" s="1"/>
  <c r="DF61" i="3"/>
  <c r="DG61" i="3"/>
  <c r="DH61" i="3"/>
  <c r="DF98" i="3"/>
  <c r="DI98" i="3"/>
  <c r="DH98" i="3"/>
  <c r="DG98" i="3"/>
  <c r="DJ98" i="3" s="1"/>
  <c r="DI170" i="3"/>
  <c r="DF170" i="3"/>
  <c r="DG170" i="3"/>
  <c r="DJ170" i="3" s="1"/>
  <c r="DH170" i="3"/>
  <c r="DF212" i="3"/>
  <c r="DJ212" i="3" s="1"/>
  <c r="DG212" i="3"/>
  <c r="DH212" i="3"/>
  <c r="DI212" i="3"/>
  <c r="DF37" i="3"/>
  <c r="DJ37" i="3" s="1"/>
  <c r="DG37" i="3"/>
  <c r="DI37" i="3"/>
  <c r="DH37" i="3"/>
  <c r="AC53" i="1"/>
  <c r="CP28" i="1"/>
  <c r="O28" i="1" s="1"/>
  <c r="DG57" i="3"/>
  <c r="DH57" i="3"/>
  <c r="DF57" i="3"/>
  <c r="DJ57" i="3" s="1"/>
  <c r="DI57" i="3"/>
  <c r="DF51" i="3"/>
  <c r="DJ51" i="3" s="1"/>
  <c r="DI51" i="3"/>
  <c r="DG51" i="3"/>
  <c r="DH51" i="3"/>
  <c r="AE53" i="1"/>
  <c r="CI26" i="1"/>
  <c r="AZ53" i="1"/>
  <c r="FQ152" i="1"/>
  <c r="DI150" i="3"/>
  <c r="DF150" i="3"/>
  <c r="DJ150" i="3" s="1"/>
  <c r="DG150" i="3"/>
  <c r="DH150" i="3"/>
  <c r="GM93" i="1"/>
  <c r="GO93" i="1" s="1"/>
  <c r="GM96" i="1"/>
  <c r="GO96" i="1" s="1"/>
  <c r="CP109" i="1"/>
  <c r="O109" i="1" s="1"/>
  <c r="GM109" i="1" s="1"/>
  <c r="GO109" i="1" s="1"/>
  <c r="BD85" i="1"/>
  <c r="F177" i="1"/>
  <c r="FR149" i="1"/>
  <c r="CP149" i="1"/>
  <c r="O149" i="1" s="1"/>
  <c r="GM149" i="1" s="1"/>
  <c r="CG26" i="1"/>
  <c r="AX53" i="1"/>
  <c r="DF194" i="3"/>
  <c r="DJ194" i="3" s="1"/>
  <c r="DG194" i="3"/>
  <c r="DH194" i="3"/>
  <c r="DI194" i="3"/>
  <c r="CZ146" i="1"/>
  <c r="CY146" i="1"/>
  <c r="X146" i="1"/>
  <c r="GM146" i="1" s="1"/>
  <c r="Y146" i="1"/>
  <c r="AG85" i="1"/>
  <c r="T152" i="1"/>
  <c r="EP85" i="1"/>
  <c r="P159" i="1"/>
  <c r="DI219" i="3"/>
  <c r="DJ219" i="3" s="1"/>
  <c r="DH219" i="3"/>
  <c r="DF219" i="3"/>
  <c r="DG219" i="3"/>
  <c r="GM195" i="1"/>
  <c r="GO195" i="1" s="1"/>
  <c r="CP209" i="1"/>
  <c r="O209" i="1" s="1"/>
  <c r="GM209" i="1" s="1"/>
  <c r="FR209" i="1"/>
  <c r="FQ233" i="1" s="1"/>
  <c r="DW280" i="1"/>
  <c r="CP318" i="1"/>
  <c r="O318" i="1" s="1"/>
  <c r="GM318" i="1" s="1"/>
  <c r="GN318" i="1" s="1"/>
  <c r="CB329" i="1" s="1"/>
  <c r="AL280" i="1"/>
  <c r="GA312" i="1"/>
  <c r="ER329" i="1"/>
  <c r="CZ273" i="1"/>
  <c r="CY273" i="1"/>
  <c r="X273" i="1"/>
  <c r="Y273" i="1"/>
  <c r="DN280" i="1"/>
  <c r="DN359" i="1" s="1"/>
  <c r="EA265" i="1"/>
  <c r="X272" i="1"/>
  <c r="GM272" i="1" s="1"/>
  <c r="GO272" i="1" s="1"/>
  <c r="Y272" i="1"/>
  <c r="ED280" i="1" s="1"/>
  <c r="DX280" i="1"/>
  <c r="CY272" i="1"/>
  <c r="CZ272" i="1"/>
  <c r="DF187" i="3"/>
  <c r="DJ187" i="3" s="1"/>
  <c r="DG187" i="3"/>
  <c r="DH187" i="3"/>
  <c r="DI187" i="3"/>
  <c r="DH76" i="3"/>
  <c r="DI76" i="3"/>
  <c r="DG76" i="3"/>
  <c r="DF76" i="3"/>
  <c r="DJ76" i="3" s="1"/>
  <c r="DG36" i="3"/>
  <c r="DH36" i="3"/>
  <c r="DF36" i="3"/>
  <c r="DJ36" i="3" s="1"/>
  <c r="DI36" i="3"/>
  <c r="DF146" i="3"/>
  <c r="DJ146" i="3" s="1"/>
  <c r="DG146" i="3"/>
  <c r="DH146" i="3"/>
  <c r="DI146" i="3"/>
  <c r="DF97" i="3"/>
  <c r="DH97" i="3"/>
  <c r="DG97" i="3"/>
  <c r="DI97" i="3"/>
  <c r="DJ97" i="3" s="1"/>
  <c r="DF81" i="3"/>
  <c r="DJ81" i="3" s="1"/>
  <c r="DG81" i="3"/>
  <c r="DH81" i="3"/>
  <c r="DI81" i="3"/>
  <c r="DI68" i="3"/>
  <c r="DF68" i="3"/>
  <c r="DG68" i="3"/>
  <c r="DJ68" i="3" s="1"/>
  <c r="DH68" i="3"/>
  <c r="DF117" i="3"/>
  <c r="DG117" i="3"/>
  <c r="DJ117" i="3" s="1"/>
  <c r="DI117" i="3"/>
  <c r="DH117" i="3"/>
  <c r="DG101" i="3"/>
  <c r="DH101" i="3"/>
  <c r="DF101" i="3"/>
  <c r="DI101" i="3"/>
  <c r="DJ101" i="3" s="1"/>
  <c r="DG174" i="3"/>
  <c r="DJ174" i="3" s="1"/>
  <c r="DH174" i="3"/>
  <c r="DF174" i="3"/>
  <c r="DI174" i="3"/>
  <c r="DF178" i="3"/>
  <c r="DG178" i="3"/>
  <c r="DJ178" i="3" s="1"/>
  <c r="DH178" i="3"/>
  <c r="DI178" i="3"/>
  <c r="DF228" i="3"/>
  <c r="DJ228" i="3" s="1"/>
  <c r="DG228" i="3"/>
  <c r="DH228" i="3"/>
  <c r="DI228" i="3"/>
  <c r="DG199" i="3"/>
  <c r="DI199" i="3"/>
  <c r="DF199" i="3"/>
  <c r="DJ199" i="3" s="1"/>
  <c r="DH199" i="3"/>
  <c r="DH52" i="3"/>
  <c r="DF52" i="3"/>
  <c r="DJ52" i="3" s="1"/>
  <c r="DG52" i="3"/>
  <c r="DI52" i="3"/>
  <c r="GM34" i="1"/>
  <c r="GO34" i="1" s="1"/>
  <c r="CP126" i="1"/>
  <c r="O126" i="1" s="1"/>
  <c r="GM126" i="1" s="1"/>
  <c r="GO126" i="1" s="1"/>
  <c r="F57" i="1"/>
  <c r="AO26" i="1"/>
  <c r="AO359" i="1"/>
  <c r="CP119" i="1"/>
  <c r="O119" i="1" s="1"/>
  <c r="GM119" i="1" s="1"/>
  <c r="GO119" i="1" s="1"/>
  <c r="CP138" i="1"/>
  <c r="O138" i="1" s="1"/>
  <c r="GM138" i="1" s="1"/>
  <c r="GO138" i="1" s="1"/>
  <c r="DF179" i="3"/>
  <c r="DG179" i="3"/>
  <c r="DJ179" i="3" s="1"/>
  <c r="DH179" i="3"/>
  <c r="DI179" i="3"/>
  <c r="GM134" i="1"/>
  <c r="GO134" i="1" s="1"/>
  <c r="CZ186" i="1"/>
  <c r="X186" i="1"/>
  <c r="AK233" i="1" s="1"/>
  <c r="CY186" i="1"/>
  <c r="Y186" i="1"/>
  <c r="AL233" i="1" s="1"/>
  <c r="AF233" i="1"/>
  <c r="CJ85" i="1"/>
  <c r="BA152" i="1"/>
  <c r="DZ85" i="1"/>
  <c r="DM152" i="1"/>
  <c r="DM359" i="1" s="1"/>
  <c r="DH214" i="3"/>
  <c r="DF214" i="3"/>
  <c r="DJ214" i="3" s="1"/>
  <c r="DG214" i="3"/>
  <c r="DI214" i="3"/>
  <c r="FR216" i="1"/>
  <c r="CP216" i="1"/>
  <c r="O216" i="1" s="1"/>
  <c r="GM216" i="1" s="1"/>
  <c r="AQ184" i="1"/>
  <c r="F243" i="1"/>
  <c r="DI235" i="3"/>
  <c r="DJ235" i="3" s="1"/>
  <c r="DF235" i="3"/>
  <c r="DG235" i="3"/>
  <c r="DH235" i="3"/>
  <c r="EU184" i="1"/>
  <c r="P249" i="1"/>
  <c r="GM200" i="1"/>
  <c r="GO200" i="1" s="1"/>
  <c r="CG184" i="1"/>
  <c r="AX233" i="1"/>
  <c r="CJ184" i="1"/>
  <c r="BA233" i="1"/>
  <c r="CP322" i="1"/>
  <c r="O322" i="1" s="1"/>
  <c r="GM322" i="1" s="1"/>
  <c r="GO322" i="1" s="1"/>
  <c r="DN329" i="1"/>
  <c r="EA312" i="1"/>
  <c r="AF265" i="1"/>
  <c r="S280" i="1"/>
  <c r="AG312" i="1"/>
  <c r="T329" i="1"/>
  <c r="ES26" i="1"/>
  <c r="P73" i="1"/>
  <c r="ES359" i="1"/>
  <c r="CP273" i="1"/>
  <c r="O273" i="1" s="1"/>
  <c r="GM273" i="1" s="1"/>
  <c r="GO273" i="1" s="1"/>
  <c r="DZ184" i="1"/>
  <c r="DM233" i="1"/>
  <c r="CY319" i="1"/>
  <c r="X319" i="1"/>
  <c r="GM319" i="1" s="1"/>
  <c r="GN319" i="1" s="1"/>
  <c r="Y319" i="1"/>
  <c r="CZ319" i="1"/>
  <c r="W312" i="1"/>
  <c r="F353" i="1"/>
  <c r="DG141" i="3"/>
  <c r="DF141" i="3"/>
  <c r="DH141" i="3"/>
  <c r="DI141" i="3"/>
  <c r="DJ141" i="3" s="1"/>
  <c r="DI47" i="3"/>
  <c r="DF47" i="3"/>
  <c r="DJ47" i="3" s="1"/>
  <c r="DG47" i="3"/>
  <c r="DH47" i="3"/>
  <c r="DG39" i="3"/>
  <c r="DH39" i="3"/>
  <c r="DI39" i="3"/>
  <c r="DJ39" i="3" s="1"/>
  <c r="DF39" i="3"/>
  <c r="DI33" i="3"/>
  <c r="DJ33" i="3" s="1"/>
  <c r="DF33" i="3"/>
  <c r="DG33" i="3"/>
  <c r="DH33" i="3"/>
  <c r="DF28" i="3"/>
  <c r="DH28" i="3"/>
  <c r="DI28" i="3"/>
  <c r="DG28" i="3"/>
  <c r="DJ28" i="3" s="1"/>
  <c r="DG27" i="3"/>
  <c r="DH27" i="3"/>
  <c r="DF27" i="3"/>
  <c r="DI27" i="3"/>
  <c r="DJ27" i="3" s="1"/>
  <c r="DF185" i="3"/>
  <c r="DG185" i="3"/>
  <c r="DJ185" i="3" s="1"/>
  <c r="DH185" i="3"/>
  <c r="DI185" i="3"/>
  <c r="DF87" i="3"/>
  <c r="DG87" i="3"/>
  <c r="DH87" i="3"/>
  <c r="DI87" i="3"/>
  <c r="DJ87" i="3" s="1"/>
  <c r="DG34" i="3"/>
  <c r="DJ34" i="3" s="1"/>
  <c r="DH34" i="3"/>
  <c r="DF34" i="3"/>
  <c r="DI34" i="3"/>
  <c r="AD53" i="1"/>
  <c r="ED53" i="1"/>
  <c r="DH151" i="3"/>
  <c r="DI151" i="3"/>
  <c r="DF151" i="3"/>
  <c r="DJ151" i="3" s="1"/>
  <c r="DG151" i="3"/>
  <c r="AP26" i="1"/>
  <c r="F62" i="1"/>
  <c r="DY26" i="1"/>
  <c r="DL53" i="1"/>
  <c r="GM103" i="1"/>
  <c r="DF145" i="3"/>
  <c r="DJ145" i="3" s="1"/>
  <c r="DG145" i="3"/>
  <c r="DH145" i="3"/>
  <c r="DI145" i="3"/>
  <c r="CY129" i="1"/>
  <c r="CZ129" i="1"/>
  <c r="X129" i="1"/>
  <c r="AF152" i="1"/>
  <c r="CP129" i="1"/>
  <c r="O129" i="1" s="1"/>
  <c r="Y129" i="1"/>
  <c r="AL152" i="1" s="1"/>
  <c r="GM120" i="1"/>
  <c r="GO120" i="1" s="1"/>
  <c r="AD152" i="1"/>
  <c r="DI213" i="3"/>
  <c r="DJ213" i="3" s="1"/>
  <c r="DF213" i="3"/>
  <c r="DG213" i="3"/>
  <c r="DH213" i="3"/>
  <c r="GM208" i="1"/>
  <c r="GM218" i="1"/>
  <c r="GO218" i="1" s="1"/>
  <c r="CP268" i="1"/>
  <c r="O268" i="1" s="1"/>
  <c r="DU280" i="1"/>
  <c r="DG236" i="3"/>
  <c r="DJ236" i="3" s="1"/>
  <c r="DI236" i="3"/>
  <c r="DF236" i="3"/>
  <c r="DH236" i="3"/>
  <c r="AC329" i="1"/>
  <c r="CP314" i="1"/>
  <c r="O314" i="1" s="1"/>
  <c r="DY184" i="1"/>
  <c r="DL233" i="1"/>
  <c r="AU265" i="1"/>
  <c r="F299" i="1"/>
  <c r="AU312" i="1"/>
  <c r="F348" i="1"/>
  <c r="AL85" i="1" l="1"/>
  <c r="Y152" i="1"/>
  <c r="EC26" i="1"/>
  <c r="DP53" i="1"/>
  <c r="AK85" i="1"/>
  <c r="X152" i="1"/>
  <c r="AL26" i="1"/>
  <c r="Y53" i="1"/>
  <c r="BY85" i="1"/>
  <c r="AP152" i="1"/>
  <c r="CI152" i="1"/>
  <c r="AS329" i="1"/>
  <c r="CB312" i="1"/>
  <c r="DN22" i="1"/>
  <c r="P382" i="1"/>
  <c r="DN389" i="1"/>
  <c r="FT26" i="1"/>
  <c r="EK53" i="1"/>
  <c r="ED85" i="1"/>
  <c r="DQ152" i="1"/>
  <c r="DM22" i="1"/>
  <c r="DM389" i="1"/>
  <c r="P381" i="1"/>
  <c r="EC85" i="1"/>
  <c r="DP152" i="1"/>
  <c r="T85" i="1"/>
  <c r="F173" i="1"/>
  <c r="AD85" i="1"/>
  <c r="Q152" i="1"/>
  <c r="AK312" i="1"/>
  <c r="X329" i="1"/>
  <c r="ED233" i="1"/>
  <c r="DT26" i="1"/>
  <c r="DG53" i="1"/>
  <c r="F339" i="1"/>
  <c r="AQ312" i="1"/>
  <c r="AY280" i="1"/>
  <c r="CH265" i="1"/>
  <c r="AQ359" i="1"/>
  <c r="AB280" i="1"/>
  <c r="AL265" i="1"/>
  <c r="Y280" i="1"/>
  <c r="DO184" i="1"/>
  <c r="P257" i="1"/>
  <c r="DX265" i="1"/>
  <c r="DK280" i="1"/>
  <c r="GM315" i="1"/>
  <c r="DT329" i="1"/>
  <c r="AU22" i="1"/>
  <c r="AU389" i="1"/>
  <c r="F378" i="1"/>
  <c r="DL26" i="1"/>
  <c r="P74" i="1"/>
  <c r="DL359" i="1"/>
  <c r="AK53" i="1"/>
  <c r="ED265" i="1"/>
  <c r="DQ280" i="1"/>
  <c r="DW265" i="1"/>
  <c r="DJ280" i="1"/>
  <c r="AE26" i="1"/>
  <c r="R53" i="1"/>
  <c r="GM186" i="1"/>
  <c r="AB233" i="1"/>
  <c r="DO85" i="1"/>
  <c r="P176" i="1"/>
  <c r="DJ85" i="1"/>
  <c r="P166" i="1"/>
  <c r="DN184" i="1"/>
  <c r="P256" i="1"/>
  <c r="P291" i="1"/>
  <c r="ER265" i="1"/>
  <c r="EC233" i="1"/>
  <c r="V85" i="1"/>
  <c r="F175" i="1"/>
  <c r="GO29" i="1"/>
  <c r="FU53" i="1" s="1"/>
  <c r="GO267" i="1"/>
  <c r="CC280" i="1" s="1"/>
  <c r="CA280" i="1"/>
  <c r="DK85" i="1"/>
  <c r="P167" i="1"/>
  <c r="AX184" i="1"/>
  <c r="F240" i="1"/>
  <c r="FQ184" i="1"/>
  <c r="GA233" i="1"/>
  <c r="EH233" i="1"/>
  <c r="GM223" i="1"/>
  <c r="DO312" i="1"/>
  <c r="P353" i="1"/>
  <c r="P301" i="1"/>
  <c r="DL265" i="1"/>
  <c r="W184" i="1"/>
  <c r="F257" i="1"/>
  <c r="FX53" i="1"/>
  <c r="FZ53" i="1"/>
  <c r="DH53" i="1"/>
  <c r="DU26" i="1"/>
  <c r="FW53" i="1"/>
  <c r="ES265" i="1"/>
  <c r="P300" i="1"/>
  <c r="F302" i="1"/>
  <c r="U265" i="1"/>
  <c r="ES85" i="1"/>
  <c r="P172" i="1"/>
  <c r="ED26" i="1"/>
  <c r="DQ53" i="1"/>
  <c r="P265" i="1"/>
  <c r="F283" i="1"/>
  <c r="AK265" i="1"/>
  <c r="X280" i="1"/>
  <c r="FT329" i="1"/>
  <c r="BY233" i="1"/>
  <c r="CF233" i="1" s="1"/>
  <c r="S53" i="1"/>
  <c r="AF26" i="1"/>
  <c r="DV85" i="1"/>
  <c r="DI152" i="1"/>
  <c r="U184" i="1"/>
  <c r="F255" i="1"/>
  <c r="AK184" i="1"/>
  <c r="X233" i="1"/>
  <c r="GO87" i="1"/>
  <c r="CC152" i="1" s="1"/>
  <c r="DN265" i="1"/>
  <c r="P303" i="1"/>
  <c r="Q184" i="1"/>
  <c r="F245" i="1"/>
  <c r="DU312" i="1"/>
  <c r="FW329" i="1"/>
  <c r="FX329" i="1"/>
  <c r="FZ329" i="1"/>
  <c r="DH329" i="1"/>
  <c r="DU184" i="1"/>
  <c r="FW233" i="1"/>
  <c r="FX233" i="1"/>
  <c r="FZ233" i="1"/>
  <c r="DH233" i="1"/>
  <c r="ET22" i="1"/>
  <c r="P372" i="1"/>
  <c r="ET389" i="1"/>
  <c r="EU22" i="1"/>
  <c r="P375" i="1"/>
  <c r="EU389" i="1"/>
  <c r="EC280" i="1"/>
  <c r="CH329" i="1"/>
  <c r="P329" i="1"/>
  <c r="AC312" i="1"/>
  <c r="CF329" i="1"/>
  <c r="CE329" i="1"/>
  <c r="AZ26" i="1"/>
  <c r="F64" i="1"/>
  <c r="ES184" i="1"/>
  <c r="P253" i="1"/>
  <c r="W85" i="1"/>
  <c r="F176" i="1"/>
  <c r="AF85" i="1"/>
  <c r="S152" i="1"/>
  <c r="GM268" i="1"/>
  <c r="DT280" i="1"/>
  <c r="T265" i="1"/>
  <c r="F301" i="1"/>
  <c r="GM141" i="1"/>
  <c r="GO141" i="1" s="1"/>
  <c r="BD22" i="1"/>
  <c r="F384" i="1"/>
  <c r="BD389" i="1"/>
  <c r="F340" i="1"/>
  <c r="AZ312" i="1"/>
  <c r="DO26" i="1"/>
  <c r="P77" i="1"/>
  <c r="DO359" i="1"/>
  <c r="R280" i="1"/>
  <c r="AE265" i="1"/>
  <c r="GM187" i="1"/>
  <c r="DT233" i="1"/>
  <c r="DV184" i="1"/>
  <c r="DI233" i="1"/>
  <c r="EP22" i="1"/>
  <c r="P366" i="1"/>
  <c r="EP389" i="1"/>
  <c r="BA265" i="1"/>
  <c r="F300" i="1"/>
  <c r="EV22" i="1"/>
  <c r="P384" i="1"/>
  <c r="EV389" i="1"/>
  <c r="DU265" i="1"/>
  <c r="FW280" i="1"/>
  <c r="FX280" i="1"/>
  <c r="DH280" i="1"/>
  <c r="FZ280" i="1"/>
  <c r="F295" i="1"/>
  <c r="S265" i="1"/>
  <c r="DK53" i="1"/>
  <c r="DX26" i="1"/>
  <c r="BA85" i="1"/>
  <c r="F172" i="1"/>
  <c r="AZ265" i="1"/>
  <c r="F291" i="1"/>
  <c r="DV26" i="1"/>
  <c r="DI53" i="1"/>
  <c r="EP184" i="1"/>
  <c r="P240" i="1"/>
  <c r="EM85" i="1"/>
  <c r="P171" i="1"/>
  <c r="R184" i="1"/>
  <c r="F247" i="1"/>
  <c r="V184" i="1"/>
  <c r="F256" i="1"/>
  <c r="GM188" i="1"/>
  <c r="GO188" i="1" s="1"/>
  <c r="F343" i="1"/>
  <c r="R312" i="1"/>
  <c r="F349" i="1"/>
  <c r="BA312" i="1"/>
  <c r="AD26" i="1"/>
  <c r="Q53" i="1"/>
  <c r="GM129" i="1"/>
  <c r="CA152" i="1" s="1"/>
  <c r="DM85" i="1"/>
  <c r="P174" i="1"/>
  <c r="DN312" i="1"/>
  <c r="P352" i="1"/>
  <c r="ER26" i="1"/>
  <c r="P64" i="1"/>
  <c r="AC184" i="1"/>
  <c r="P233" i="1"/>
  <c r="CH233" i="1"/>
  <c r="CE233" i="1"/>
  <c r="U85" i="1"/>
  <c r="F174" i="1"/>
  <c r="F76" i="1"/>
  <c r="V26" i="1"/>
  <c r="V359" i="1"/>
  <c r="GM193" i="1"/>
  <c r="GO193" i="1" s="1"/>
  <c r="CB26" i="1"/>
  <c r="AS53" i="1"/>
  <c r="Q265" i="1"/>
  <c r="F292" i="1"/>
  <c r="GM43" i="1"/>
  <c r="GO43" i="1" s="1"/>
  <c r="AL312" i="1"/>
  <c r="Y329" i="1"/>
  <c r="T312" i="1"/>
  <c r="F350" i="1"/>
  <c r="DL184" i="1"/>
  <c r="P254" i="1"/>
  <c r="AF184" i="1"/>
  <c r="S233" i="1"/>
  <c r="AD312" i="1"/>
  <c r="Q329" i="1"/>
  <c r="U26" i="1"/>
  <c r="F75" i="1"/>
  <c r="U359" i="1"/>
  <c r="DM312" i="1"/>
  <c r="P351" i="1"/>
  <c r="EM22" i="1"/>
  <c r="P378" i="1"/>
  <c r="EM389" i="1"/>
  <c r="BB22" i="1"/>
  <c r="BB389" i="1"/>
  <c r="F372" i="1"/>
  <c r="EC329" i="1"/>
  <c r="AC85" i="1"/>
  <c r="P152" i="1"/>
  <c r="CE152" i="1"/>
  <c r="CF152" i="1"/>
  <c r="CH152" i="1"/>
  <c r="EI22" i="1"/>
  <c r="EI389" i="1"/>
  <c r="P369" i="1"/>
  <c r="DW26" i="1"/>
  <c r="DJ53" i="1"/>
  <c r="P343" i="1"/>
  <c r="DJ312" i="1"/>
  <c r="DJ184" i="1"/>
  <c r="P247" i="1"/>
  <c r="CE53" i="1"/>
  <c r="CF53" i="1"/>
  <c r="P53" i="1"/>
  <c r="AC26" i="1"/>
  <c r="CH53" i="1"/>
  <c r="EG22" i="1"/>
  <c r="P363" i="1"/>
  <c r="EG389" i="1"/>
  <c r="AX85" i="1"/>
  <c r="F159" i="1"/>
  <c r="GM88" i="1"/>
  <c r="DT152" i="1"/>
  <c r="DM184" i="1"/>
  <c r="P255" i="1"/>
  <c r="AO22" i="1"/>
  <c r="F363" i="1"/>
  <c r="AO389" i="1"/>
  <c r="V312" i="1"/>
  <c r="F352" i="1"/>
  <c r="BA184" i="1"/>
  <c r="F253" i="1"/>
  <c r="AL184" i="1"/>
  <c r="Y233" i="1"/>
  <c r="ER312" i="1"/>
  <c r="P340" i="1"/>
  <c r="AX26" i="1"/>
  <c r="F60" i="1"/>
  <c r="DX184" i="1"/>
  <c r="DK233" i="1"/>
  <c r="DX312" i="1"/>
  <c r="DK329" i="1"/>
  <c r="EP312" i="1"/>
  <c r="P336" i="1"/>
  <c r="CF265" i="1"/>
  <c r="AW280" i="1"/>
  <c r="GM150" i="1"/>
  <c r="W26" i="1"/>
  <c r="F77" i="1"/>
  <c r="W359" i="1"/>
  <c r="ES22" i="1"/>
  <c r="P379" i="1"/>
  <c r="ES389" i="1"/>
  <c r="GM314" i="1"/>
  <c r="AB329" i="1"/>
  <c r="FQ85" i="1"/>
  <c r="GA152" i="1"/>
  <c r="EH152" i="1"/>
  <c r="GM28" i="1"/>
  <c r="AB53" i="1"/>
  <c r="GM197" i="1"/>
  <c r="GO197" i="1" s="1"/>
  <c r="T184" i="1"/>
  <c r="F254" i="1"/>
  <c r="BA359" i="1"/>
  <c r="S329" i="1"/>
  <c r="AF312" i="1"/>
  <c r="AB152" i="1"/>
  <c r="ED329" i="1"/>
  <c r="GM139" i="1"/>
  <c r="CG312" i="1"/>
  <c r="AX329" i="1"/>
  <c r="AV280" i="1"/>
  <c r="CE265" i="1"/>
  <c r="R85" i="1"/>
  <c r="F166" i="1"/>
  <c r="DI265" i="1"/>
  <c r="P292" i="1"/>
  <c r="GM136" i="1"/>
  <c r="DU85" i="1"/>
  <c r="FX152" i="1"/>
  <c r="DH152" i="1"/>
  <c r="FW152" i="1"/>
  <c r="FZ152" i="1"/>
  <c r="T26" i="1"/>
  <c r="F74" i="1"/>
  <c r="T359" i="1"/>
  <c r="CA85" i="1" l="1"/>
  <c r="AR152" i="1"/>
  <c r="CF184" i="1"/>
  <c r="AW233" i="1"/>
  <c r="CC85" i="1"/>
  <c r="AT152" i="1"/>
  <c r="GA184" i="1"/>
  <c r="ER233" i="1"/>
  <c r="DT312" i="1"/>
  <c r="DG329" i="1"/>
  <c r="AS312" i="1"/>
  <c r="F346" i="1"/>
  <c r="AV265" i="1"/>
  <c r="F285" i="1"/>
  <c r="AB26" i="1"/>
  <c r="O53" i="1"/>
  <c r="CF26" i="1"/>
  <c r="AW53" i="1"/>
  <c r="CF85" i="1"/>
  <c r="AW152" i="1"/>
  <c r="F356" i="1"/>
  <c r="Y312" i="1"/>
  <c r="DK26" i="1"/>
  <c r="P68" i="1"/>
  <c r="DK359" i="1"/>
  <c r="CH312" i="1"/>
  <c r="AY329" i="1"/>
  <c r="X184" i="1"/>
  <c r="F259" i="1"/>
  <c r="DH26" i="1"/>
  <c r="P56" i="1"/>
  <c r="DH359" i="1"/>
  <c r="P294" i="1"/>
  <c r="DJ265" i="1"/>
  <c r="GO315" i="1"/>
  <c r="FU329" i="1" s="1"/>
  <c r="FS329" i="1"/>
  <c r="CI85" i="1"/>
  <c r="AZ152" i="1"/>
  <c r="P26" i="1"/>
  <c r="F56" i="1"/>
  <c r="P359" i="1"/>
  <c r="S85" i="1"/>
  <c r="F167" i="1"/>
  <c r="P312" i="1"/>
  <c r="F332" i="1"/>
  <c r="FW184" i="1"/>
  <c r="EN233" i="1"/>
  <c r="EC184" i="1"/>
  <c r="DP233" i="1"/>
  <c r="FZ85" i="1"/>
  <c r="EQ152" i="1"/>
  <c r="AX312" i="1"/>
  <c r="F336" i="1"/>
  <c r="CA53" i="1"/>
  <c r="GO28" i="1"/>
  <c r="CC53" i="1" s="1"/>
  <c r="AV53" i="1"/>
  <c r="CE26" i="1"/>
  <c r="CE85" i="1"/>
  <c r="AV152" i="1"/>
  <c r="U22" i="1"/>
  <c r="U389" i="1"/>
  <c r="F381" i="1"/>
  <c r="CE184" i="1"/>
  <c r="AV233" i="1"/>
  <c r="EP18" i="1"/>
  <c r="P396" i="1"/>
  <c r="EC265" i="1"/>
  <c r="DP280" i="1"/>
  <c r="P332" i="1"/>
  <c r="DH312" i="1"/>
  <c r="FZ26" i="1"/>
  <c r="EQ53" i="1"/>
  <c r="P295" i="1"/>
  <c r="DK265" i="1"/>
  <c r="P55" i="1"/>
  <c r="DG26" i="1"/>
  <c r="DM18" i="1"/>
  <c r="P411" i="1"/>
  <c r="AP85" i="1"/>
  <c r="F161" i="1"/>
  <c r="CH85" i="1"/>
  <c r="AY152" i="1"/>
  <c r="FW85" i="1"/>
  <c r="EN152" i="1"/>
  <c r="F344" i="1"/>
  <c r="S312" i="1"/>
  <c r="EH85" i="1"/>
  <c r="P161" i="1"/>
  <c r="EH359" i="1"/>
  <c r="AW265" i="1"/>
  <c r="F286" i="1"/>
  <c r="CH184" i="1"/>
  <c r="AY233" i="1"/>
  <c r="EU18" i="1"/>
  <c r="P405" i="1"/>
  <c r="FZ312" i="1"/>
  <c r="EQ329" i="1"/>
  <c r="FX26" i="1"/>
  <c r="EO53" i="1"/>
  <c r="DQ265" i="1"/>
  <c r="P307" i="1"/>
  <c r="DH85" i="1"/>
  <c r="P155" i="1"/>
  <c r="GA85" i="1"/>
  <c r="ER152" i="1"/>
  <c r="Y184" i="1"/>
  <c r="F260" i="1"/>
  <c r="GO88" i="1"/>
  <c r="FU152" i="1" s="1"/>
  <c r="FS152" i="1"/>
  <c r="EQ280" i="1"/>
  <c r="FZ265" i="1"/>
  <c r="BD18" i="1"/>
  <c r="F414" i="1"/>
  <c r="EO329" i="1"/>
  <c r="FX312" i="1"/>
  <c r="ED184" i="1"/>
  <c r="DQ233" i="1"/>
  <c r="DQ85" i="1"/>
  <c r="P179" i="1"/>
  <c r="Y26" i="1"/>
  <c r="F80" i="1"/>
  <c r="Y359" i="1"/>
  <c r="DT85" i="1"/>
  <c r="DG152" i="1"/>
  <c r="P85" i="1"/>
  <c r="F155" i="1"/>
  <c r="Q26" i="1"/>
  <c r="F65" i="1"/>
  <c r="Q359" i="1"/>
  <c r="DQ26" i="1"/>
  <c r="P80" i="1"/>
  <c r="FX85" i="1"/>
  <c r="EO152" i="1"/>
  <c r="ED312" i="1"/>
  <c r="DQ329" i="1"/>
  <c r="DP329" i="1"/>
  <c r="EC312" i="1"/>
  <c r="Q312" i="1"/>
  <c r="F341" i="1"/>
  <c r="P184" i="1"/>
  <c r="F236" i="1"/>
  <c r="P283" i="1"/>
  <c r="DH265" i="1"/>
  <c r="DI184" i="1"/>
  <c r="P245" i="1"/>
  <c r="FW312" i="1"/>
  <c r="EN329" i="1"/>
  <c r="DI85" i="1"/>
  <c r="P164" i="1"/>
  <c r="AK26" i="1"/>
  <c r="X53" i="1"/>
  <c r="F355" i="1"/>
  <c r="X312" i="1"/>
  <c r="O329" i="1"/>
  <c r="AB312" i="1"/>
  <c r="AS26" i="1"/>
  <c r="F70" i="1"/>
  <c r="AS359" i="1"/>
  <c r="DI26" i="1"/>
  <c r="P65" i="1"/>
  <c r="DI359" i="1"/>
  <c r="EO280" i="1"/>
  <c r="FX265" i="1"/>
  <c r="ET18" i="1"/>
  <c r="P402" i="1"/>
  <c r="AR280" i="1"/>
  <c r="CA265" i="1"/>
  <c r="DL22" i="1"/>
  <c r="DL389" i="1"/>
  <c r="P380" i="1"/>
  <c r="Y265" i="1"/>
  <c r="F307" i="1"/>
  <c r="EK26" i="1"/>
  <c r="P70" i="1"/>
  <c r="EK359" i="1"/>
  <c r="X85" i="1"/>
  <c r="F178" i="1"/>
  <c r="GO314" i="1"/>
  <c r="CC329" i="1" s="1"/>
  <c r="CA329" i="1"/>
  <c r="P344" i="1"/>
  <c r="DK312" i="1"/>
  <c r="EG18" i="1"/>
  <c r="P393" i="1"/>
  <c r="DJ26" i="1"/>
  <c r="P67" i="1"/>
  <c r="DJ359" i="1"/>
  <c r="BB18" i="1"/>
  <c r="F402" i="1"/>
  <c r="S184" i="1"/>
  <c r="F248" i="1"/>
  <c r="FW265" i="1"/>
  <c r="EN280" i="1"/>
  <c r="DT184" i="1"/>
  <c r="DG233" i="1"/>
  <c r="AT280" i="1"/>
  <c r="CC265" i="1"/>
  <c r="Q85" i="1"/>
  <c r="F164" i="1"/>
  <c r="FU26" i="1"/>
  <c r="EL53" i="1"/>
  <c r="AB85" i="1"/>
  <c r="O152" i="1"/>
  <c r="S26" i="1"/>
  <c r="F68" i="1"/>
  <c r="S359" i="1"/>
  <c r="DP26" i="1"/>
  <c r="P79" i="1"/>
  <c r="DP359" i="1"/>
  <c r="BY184" i="1"/>
  <c r="AP233" i="1"/>
  <c r="AP359" i="1" s="1"/>
  <c r="CI233" i="1"/>
  <c r="FS53" i="1"/>
  <c r="H16" i="2"/>
  <c r="AO18" i="1"/>
  <c r="F393" i="1"/>
  <c r="CH26" i="1"/>
  <c r="AY53" i="1"/>
  <c r="EI18" i="1"/>
  <c r="P399" i="1"/>
  <c r="W16" i="2"/>
  <c r="F294" i="1"/>
  <c r="R265" i="1"/>
  <c r="DT265" i="1"/>
  <c r="DG280" i="1"/>
  <c r="CF312" i="1"/>
  <c r="AW329" i="1"/>
  <c r="FZ184" i="1"/>
  <c r="EQ233" i="1"/>
  <c r="FT312" i="1"/>
  <c r="EK329" i="1"/>
  <c r="GO186" i="1"/>
  <c r="CC233" i="1" s="1"/>
  <c r="CA233" i="1"/>
  <c r="AU18" i="1"/>
  <c r="F408" i="1"/>
  <c r="Y85" i="1"/>
  <c r="F179" i="1"/>
  <c r="ES18" i="1"/>
  <c r="P409" i="1"/>
  <c r="GO187" i="1"/>
  <c r="FU233" i="1" s="1"/>
  <c r="FS233" i="1"/>
  <c r="O280" i="1"/>
  <c r="AB265" i="1"/>
  <c r="DN18" i="1"/>
  <c r="P412" i="1"/>
  <c r="BA22" i="1"/>
  <c r="F379" i="1"/>
  <c r="BA389" i="1"/>
  <c r="DK184" i="1"/>
  <c r="P248" i="1"/>
  <c r="EM18" i="1"/>
  <c r="P408" i="1"/>
  <c r="V22" i="1"/>
  <c r="V389" i="1"/>
  <c r="F382" i="1"/>
  <c r="EV18" i="1"/>
  <c r="P414" i="1"/>
  <c r="CE312" i="1"/>
  <c r="AV329" i="1"/>
  <c r="DH184" i="1"/>
  <c r="P236" i="1"/>
  <c r="AB184" i="1"/>
  <c r="O233" i="1"/>
  <c r="AQ22" i="1"/>
  <c r="AQ389" i="1"/>
  <c r="F369" i="1"/>
  <c r="T22" i="1"/>
  <c r="F380" i="1"/>
  <c r="T389" i="1"/>
  <c r="W22" i="1"/>
  <c r="F383" i="1"/>
  <c r="W389" i="1"/>
  <c r="AX359" i="1"/>
  <c r="DO22" i="1"/>
  <c r="P383" i="1"/>
  <c r="DO389" i="1"/>
  <c r="GO268" i="1"/>
  <c r="FU280" i="1" s="1"/>
  <c r="FS280" i="1"/>
  <c r="FX184" i="1"/>
  <c r="EO233" i="1"/>
  <c r="F306" i="1"/>
  <c r="X265" i="1"/>
  <c r="FW26" i="1"/>
  <c r="EN53" i="1"/>
  <c r="EH184" i="1"/>
  <c r="P242" i="1"/>
  <c r="R26" i="1"/>
  <c r="F67" i="1"/>
  <c r="R359" i="1"/>
  <c r="AY265" i="1"/>
  <c r="F288" i="1"/>
  <c r="DP85" i="1"/>
  <c r="P178" i="1"/>
  <c r="AP22" i="1" l="1"/>
  <c r="AP389" i="1"/>
  <c r="F368" i="1"/>
  <c r="G16" i="2" s="1"/>
  <c r="EQ26" i="1"/>
  <c r="P61" i="1"/>
  <c r="EQ359" i="1"/>
  <c r="FS26" i="1"/>
  <c r="EJ53" i="1"/>
  <c r="DQ184" i="1"/>
  <c r="P260" i="1"/>
  <c r="FU312" i="1"/>
  <c r="EL329" i="1"/>
  <c r="EN26" i="1"/>
  <c r="P58" i="1"/>
  <c r="EN359" i="1"/>
  <c r="W18" i="1"/>
  <c r="F413" i="1"/>
  <c r="BA18" i="1"/>
  <c r="F409" i="1"/>
  <c r="CI184" i="1"/>
  <c r="AZ233" i="1"/>
  <c r="EK22" i="1"/>
  <c r="P376" i="1"/>
  <c r="T16" i="2" s="1"/>
  <c r="EK389" i="1"/>
  <c r="X26" i="1"/>
  <c r="F79" i="1"/>
  <c r="X359" i="1"/>
  <c r="DG312" i="1"/>
  <c r="P331" i="1"/>
  <c r="AX22" i="1"/>
  <c r="AX389" i="1"/>
  <c r="F366" i="1"/>
  <c r="Q22" i="1"/>
  <c r="F371" i="1"/>
  <c r="Q389" i="1"/>
  <c r="AY184" i="1"/>
  <c r="F241" i="1"/>
  <c r="AV85" i="1"/>
  <c r="F157" i="1"/>
  <c r="DJ22" i="1"/>
  <c r="DJ389" i="1"/>
  <c r="P373" i="1"/>
  <c r="EO265" i="1"/>
  <c r="P286" i="1"/>
  <c r="AY85" i="1"/>
  <c r="F160" i="1"/>
  <c r="DG265" i="1"/>
  <c r="P282" i="1"/>
  <c r="EL26" i="1"/>
  <c r="P71" i="1"/>
  <c r="ER85" i="1"/>
  <c r="P163" i="1"/>
  <c r="ER359" i="1"/>
  <c r="EN184" i="1"/>
  <c r="P238" i="1"/>
  <c r="AV312" i="1"/>
  <c r="F334" i="1"/>
  <c r="AP184" i="1"/>
  <c r="F242" i="1"/>
  <c r="DI22" i="1"/>
  <c r="DI389" i="1"/>
  <c r="P371" i="1"/>
  <c r="EO312" i="1"/>
  <c r="P335" i="1"/>
  <c r="P306" i="1"/>
  <c r="DP265" i="1"/>
  <c r="AV26" i="1"/>
  <c r="F58" i="1"/>
  <c r="AV359" i="1"/>
  <c r="DH22" i="1"/>
  <c r="DH389" i="1"/>
  <c r="P362" i="1"/>
  <c r="AW85" i="1"/>
  <c r="F158" i="1"/>
  <c r="ER184" i="1"/>
  <c r="P244" i="1"/>
  <c r="CA184" i="1"/>
  <c r="AR233" i="1"/>
  <c r="DP22" i="1"/>
  <c r="DP389" i="1"/>
  <c r="P385" i="1"/>
  <c r="P355" i="1"/>
  <c r="DP312" i="1"/>
  <c r="EH22" i="1"/>
  <c r="P368" i="1"/>
  <c r="V16" i="2" s="1"/>
  <c r="EH389" i="1"/>
  <c r="CC26" i="1"/>
  <c r="AT53" i="1"/>
  <c r="CC184" i="1"/>
  <c r="AT233" i="1"/>
  <c r="AT265" i="1"/>
  <c r="F298" i="1"/>
  <c r="DQ312" i="1"/>
  <c r="P356" i="1"/>
  <c r="DG85" i="1"/>
  <c r="P154" i="1"/>
  <c r="CA26" i="1"/>
  <c r="AR53" i="1"/>
  <c r="AW26" i="1"/>
  <c r="F59" i="1"/>
  <c r="AW359" i="1"/>
  <c r="AT85" i="1"/>
  <c r="F170" i="1"/>
  <c r="EK312" i="1"/>
  <c r="P346" i="1"/>
  <c r="DG184" i="1"/>
  <c r="P235" i="1"/>
  <c r="AS22" i="1"/>
  <c r="AS389" i="1"/>
  <c r="F376" i="1"/>
  <c r="E16" i="2" s="1"/>
  <c r="EO26" i="1"/>
  <c r="P59" i="1"/>
  <c r="EO359" i="1"/>
  <c r="DG359" i="1"/>
  <c r="P22" i="1"/>
  <c r="P389" i="1"/>
  <c r="F362" i="1"/>
  <c r="FS312" i="1"/>
  <c r="EJ329" i="1"/>
  <c r="T18" i="1"/>
  <c r="F410" i="1"/>
  <c r="EO184" i="1"/>
  <c r="P239" i="1"/>
  <c r="EN312" i="1"/>
  <c r="P334" i="1"/>
  <c r="EJ280" i="1"/>
  <c r="FS265" i="1"/>
  <c r="V18" i="1"/>
  <c r="F412" i="1"/>
  <c r="O265" i="1"/>
  <c r="F282" i="1"/>
  <c r="AY26" i="1"/>
  <c r="F61" i="1"/>
  <c r="AY359" i="1"/>
  <c r="S22" i="1"/>
  <c r="S389" i="1"/>
  <c r="F374" i="1"/>
  <c r="DL18" i="1"/>
  <c r="P410" i="1"/>
  <c r="EO85" i="1"/>
  <c r="P158" i="1"/>
  <c r="Y22" i="1"/>
  <c r="F386" i="1"/>
  <c r="Y389" i="1"/>
  <c r="EQ265" i="1"/>
  <c r="P288" i="1"/>
  <c r="AV184" i="1"/>
  <c r="F238" i="1"/>
  <c r="O26" i="1"/>
  <c r="F55" i="1"/>
  <c r="O359" i="1"/>
  <c r="AW184" i="1"/>
  <c r="F239" i="1"/>
  <c r="FU265" i="1"/>
  <c r="EL280" i="1"/>
  <c r="AQ18" i="1"/>
  <c r="F399" i="1"/>
  <c r="FS85" i="1"/>
  <c r="EJ152" i="1"/>
  <c r="F337" i="1"/>
  <c r="AY312" i="1"/>
  <c r="DO18" i="1"/>
  <c r="P413" i="1"/>
  <c r="AR329" i="1"/>
  <c r="CA312" i="1"/>
  <c r="DQ359" i="1"/>
  <c r="FU85" i="1"/>
  <c r="EL152" i="1"/>
  <c r="EN85" i="1"/>
  <c r="P157" i="1"/>
  <c r="AZ85" i="1"/>
  <c r="F163" i="1"/>
  <c r="AZ359" i="1"/>
  <c r="AR85" i="1"/>
  <c r="F180" i="1"/>
  <c r="R22" i="1"/>
  <c r="R389" i="1"/>
  <c r="F373" i="1"/>
  <c r="FS184" i="1"/>
  <c r="EJ233" i="1"/>
  <c r="EQ184" i="1"/>
  <c r="P241" i="1"/>
  <c r="P285" i="1"/>
  <c r="EN265" i="1"/>
  <c r="EQ312" i="1"/>
  <c r="P337" i="1"/>
  <c r="EQ85" i="1"/>
  <c r="P160" i="1"/>
  <c r="FU184" i="1"/>
  <c r="EL233" i="1"/>
  <c r="O184" i="1"/>
  <c r="F235" i="1"/>
  <c r="AW312" i="1"/>
  <c r="F335" i="1"/>
  <c r="O85" i="1"/>
  <c r="F154" i="1"/>
  <c r="AT329" i="1"/>
  <c r="CC312" i="1"/>
  <c r="F308" i="1"/>
  <c r="AR265" i="1"/>
  <c r="F331" i="1"/>
  <c r="O312" i="1"/>
  <c r="U18" i="1"/>
  <c r="F411" i="1"/>
  <c r="DP184" i="1"/>
  <c r="P259" i="1"/>
  <c r="DK22" i="1"/>
  <c r="P374" i="1"/>
  <c r="DK389" i="1"/>
  <c r="EK18" i="1" l="1"/>
  <c r="P406" i="1"/>
  <c r="AV22" i="1"/>
  <c r="AV389" i="1"/>
  <c r="F364" i="1"/>
  <c r="EL184" i="1"/>
  <c r="P251" i="1"/>
  <c r="Q18" i="1"/>
  <c r="F401" i="1"/>
  <c r="P18" i="1"/>
  <c r="F392" i="1"/>
  <c r="DP18" i="1"/>
  <c r="P415" i="1"/>
  <c r="AZ184" i="1"/>
  <c r="F244" i="1"/>
  <c r="R18" i="1"/>
  <c r="F403" i="1"/>
  <c r="F357" i="1"/>
  <c r="AR312" i="1"/>
  <c r="O22" i="1"/>
  <c r="O389" i="1"/>
  <c r="F361" i="1"/>
  <c r="EJ26" i="1"/>
  <c r="P81" i="1"/>
  <c r="EJ359" i="1"/>
  <c r="EJ265" i="1"/>
  <c r="P308" i="1"/>
  <c r="DG22" i="1"/>
  <c r="DG389" i="1"/>
  <c r="P361" i="1"/>
  <c r="AT184" i="1"/>
  <c r="F251" i="1"/>
  <c r="AR184" i="1"/>
  <c r="F261" i="1"/>
  <c r="AX18" i="1"/>
  <c r="F396" i="1"/>
  <c r="EJ312" i="1"/>
  <c r="P357" i="1"/>
  <c r="DQ22" i="1"/>
  <c r="P386" i="1"/>
  <c r="DQ389" i="1"/>
  <c r="AZ22" i="1"/>
  <c r="F370" i="1"/>
  <c r="AZ389" i="1"/>
  <c r="AW22" i="1"/>
  <c r="F365" i="1"/>
  <c r="AW389" i="1"/>
  <c r="ER22" i="1"/>
  <c r="P370" i="1"/>
  <c r="ER389" i="1"/>
  <c r="Y16" i="2"/>
  <c r="S18" i="1"/>
  <c r="F404" i="1"/>
  <c r="AT26" i="1"/>
  <c r="F71" i="1"/>
  <c r="AT359" i="1"/>
  <c r="DJ18" i="1"/>
  <c r="P403" i="1"/>
  <c r="EL312" i="1"/>
  <c r="P347" i="1"/>
  <c r="J16" i="2"/>
  <c r="EO22" i="1"/>
  <c r="EO389" i="1"/>
  <c r="P365" i="1"/>
  <c r="EQ22" i="1"/>
  <c r="EQ389" i="1"/>
  <c r="P367" i="1"/>
  <c r="EJ85" i="1"/>
  <c r="P180" i="1"/>
  <c r="AT312" i="1"/>
  <c r="F347" i="1"/>
  <c r="F81" i="1"/>
  <c r="AR26" i="1"/>
  <c r="AR359" i="1"/>
  <c r="EL359" i="1"/>
  <c r="EN22" i="1"/>
  <c r="P364" i="1"/>
  <c r="EN389" i="1"/>
  <c r="DI18" i="1"/>
  <c r="P401" i="1"/>
  <c r="AP18" i="1"/>
  <c r="F398" i="1"/>
  <c r="EL265" i="1"/>
  <c r="P298" i="1"/>
  <c r="DH18" i="1"/>
  <c r="P392" i="1"/>
  <c r="DK18" i="1"/>
  <c r="P404" i="1"/>
  <c r="AY22" i="1"/>
  <c r="AY389" i="1"/>
  <c r="F367" i="1"/>
  <c r="EH18" i="1"/>
  <c r="P398" i="1"/>
  <c r="X22" i="1"/>
  <c r="X389" i="1"/>
  <c r="F385" i="1"/>
  <c r="AS18" i="1"/>
  <c r="F406" i="1"/>
  <c r="EJ184" i="1"/>
  <c r="P261" i="1"/>
  <c r="EL85" i="1"/>
  <c r="P170" i="1"/>
  <c r="Y18" i="1"/>
  <c r="F416" i="1"/>
  <c r="AW18" i="1" l="1"/>
  <c r="F395" i="1"/>
  <c r="DQ18" i="1"/>
  <c r="P416" i="1"/>
  <c r="DG18" i="1"/>
  <c r="P391" i="1"/>
  <c r="EL22" i="1"/>
  <c r="EL389" i="1"/>
  <c r="P377" i="1"/>
  <c r="U16" i="2" s="1"/>
  <c r="X16" i="2" s="1"/>
  <c r="AC16" i="2" s="1"/>
  <c r="AZ18" i="1"/>
  <c r="F400" i="1"/>
  <c r="EN18" i="1"/>
  <c r="P394" i="1"/>
  <c r="AV18" i="1"/>
  <c r="F394" i="1"/>
  <c r="AR22" i="1"/>
  <c r="AR389" i="1"/>
  <c r="F387" i="1"/>
  <c r="ER18" i="1"/>
  <c r="P400" i="1"/>
  <c r="O18" i="1"/>
  <c r="F391" i="1"/>
  <c r="EO18" i="1"/>
  <c r="P395" i="1"/>
  <c r="EJ22" i="1"/>
  <c r="P387" i="1"/>
  <c r="EJ389" i="1"/>
  <c r="AT22" i="1"/>
  <c r="F377" i="1"/>
  <c r="F16" i="2" s="1"/>
  <c r="I16" i="2" s="1"/>
  <c r="N16" i="2" s="1"/>
  <c r="AT389" i="1"/>
  <c r="AY18" i="1"/>
  <c r="F397" i="1"/>
  <c r="EQ18" i="1"/>
  <c r="P397" i="1"/>
  <c r="X18" i="1"/>
  <c r="F415" i="1"/>
  <c r="EL18" i="1" l="1"/>
  <c r="P407" i="1"/>
  <c r="AT18" i="1"/>
  <c r="F407" i="1"/>
  <c r="AR18" i="1"/>
  <c r="F417" i="1"/>
  <c r="EJ18" i="1"/>
  <c r="P417" i="1"/>
</calcChain>
</file>

<file path=xl/sharedStrings.xml><?xml version="1.0" encoding="utf-8"?>
<sst xmlns="http://schemas.openxmlformats.org/spreadsheetml/2006/main" count="16205" uniqueCount="701">
  <si>
    <t>Smeta.RU  (495) 974-1589</t>
  </si>
  <si>
    <t>_PS_</t>
  </si>
  <si>
    <t>Smeta.RU</t>
  </si>
  <si>
    <t/>
  </si>
  <si>
    <t>Капитальный ремонт здания Государственного бюджетного общеобразовательного учреждения города Москвы «Школа №1574», расположенного по адресу: г. Москва, Старопименовский переулок, д. 5. 1 этап</t>
  </si>
  <si>
    <t>02-01-09</t>
  </si>
  <si>
    <t>02-01-09 СОУЭ 20.07</t>
  </si>
  <si>
    <t>2024-00375-01-0-ИОС5.2.</t>
  </si>
  <si>
    <t>О.А.Гришечкина</t>
  </si>
  <si>
    <t>Ведущий инженер-сметчик</t>
  </si>
  <si>
    <t>И.В.Феденко</t>
  </si>
  <si>
    <t>Начальник отдела</t>
  </si>
  <si>
    <t>Сметные нормы списания</t>
  </si>
  <si>
    <t>Коды ОКП для ТСН-2001 МГЭ Дополнение 81</t>
  </si>
  <si>
    <t>ТСН-2001 (МГЭ) Доп 81 - Новое строительство</t>
  </si>
  <si>
    <t>Типовой расчет для ТСН-2001 МГЭ, Дополнение 81, строительство</t>
  </si>
  <si>
    <t>Территориальные сметные нормативы для Москвы ТСН-2001 (МГЭ), дополнение 81</t>
  </si>
  <si>
    <t>Поправки для ТСН-2001 от 07.04.2026 г. доп.81</t>
  </si>
  <si>
    <t>Территориальные сметные нормативы для Москвы (ТСН-2001)</t>
  </si>
  <si>
    <t>ТЕР</t>
  </si>
  <si>
    <t>Система оповещения и управления эвакуацией</t>
  </si>
  <si>
    <t>2024-00375-01-0-ИОС5.2</t>
  </si>
  <si>
    <t>Новый раздел</t>
  </si>
  <si>
    <t>Демонтажные работы (письмо от  АНО «РГТ» об утверждении объёмов демонтажных работ)</t>
  </si>
  <si>
    <t>1</t>
  </si>
  <si>
    <t>4.10-32-2</t>
  </si>
  <si>
    <t>Монтаж стойки, полустойки, каркаса стойки или шкафа массой до 300 кг / демонтаж шкафа управления оповещения и эвакуацией пожарного</t>
  </si>
  <si>
    <t>1  ШТ.</t>
  </si>
  <si>
    <t>ТСН-2001.4 Доп. 80, Сб. 10, т. 32, поз. 2</t>
  </si>
  <si>
    <t>*1)*0</t>
  </si>
  <si>
    <t>*1,2)*0,3</t>
  </si>
  <si>
    <t>Монтаж оборудования</t>
  </si>
  <si>
    <t>ТСН-2001.4-10. Прокладка и монтаж сетей связи</t>
  </si>
  <si>
    <t>ТСН-2001.4-10-1</t>
  </si>
  <si>
    <t>Поправка: Гл.12.Прил.8.п.8. 3_12.00.01.11.001
Поправка: Гл.4.Прил.2.2.п.2.2.29_04.00.01.35.003</t>
  </si>
  <si>
    <t>2</t>
  </si>
  <si>
    <t>4.10-151-4</t>
  </si>
  <si>
    <t>Установка пульта или табло вызывной сигнализации с количеством сигналов до 20 / демонтаж пульта микрофонного</t>
  </si>
  <si>
    <t>ТСН-2001.4 Доп. 68, Сб. 10, т. 151, поз. 4</t>
  </si>
  <si>
    <t>3</t>
  </si>
  <si>
    <t>4.10-80-2</t>
  </si>
  <si>
    <t>Аппараты приемные, приборы ПС приемно-контрольные, пусковые, концентратор, блок базовый на 20 лучей / демонтаж Прибор приемно-контрольный и управления охранно-пожарный</t>
  </si>
  <si>
    <t>ТСН-2001.4 Доп. 68, Сб. 10, т. 80, поз. 2</t>
  </si>
  <si>
    <t>4</t>
  </si>
  <si>
    <t>4.10-34-5</t>
  </si>
  <si>
    <t>Монтаж коммутатора служебной связи / демонтаж модуля речевых сообщений</t>
  </si>
  <si>
    <t>ТСН-2001.4 Доп. 80, Сб. 10, т. 34, поз. 5</t>
  </si>
  <si>
    <t>5</t>
  </si>
  <si>
    <t>4.10-167-1</t>
  </si>
  <si>
    <t>Монтаж блока питания сети (БПС) в диспетчерской / демонтаж блоков электропитания</t>
  </si>
  <si>
    <t>ТСН-2001.4 Доп. 69, Сб. 10, т. 167, поз. 1</t>
  </si>
  <si>
    <t>6</t>
  </si>
  <si>
    <t>4.10-81-2</t>
  </si>
  <si>
    <t>Извещатели ПС автоматические, дымовой, фотоэлектрический, радиоизотопный, световой в нормальном исполнении / демонтаж оповещателей</t>
  </si>
  <si>
    <t>ТСН-2001.4. Доп. 1-42. Сб. 10, т. 81, поз. 2</t>
  </si>
  <si>
    <t>7</t>
  </si>
  <si>
    <t>4.10-76-7</t>
  </si>
  <si>
    <t>Монтаж громкоговорителя или звуковой колонки в помещении / демонтаж громкоговорителей</t>
  </si>
  <si>
    <t>ТСН-2001.4 Доп. 67, Сб. 10, т. 76, поз. 7</t>
  </si>
  <si>
    <t>ТСН-2001.4-10. Монтаж радиотелевизионного и электронного оборудования</t>
  </si>
  <si>
    <t>ТСН-2001.4-10-2</t>
  </si>
  <si>
    <t>8</t>
  </si>
  <si>
    <t>4.10-118-12</t>
  </si>
  <si>
    <t>Установка для трубных проводок коробки оконечной / демонтаж фильтра оконечного</t>
  </si>
  <si>
    <t>100 шт.</t>
  </si>
  <si>
    <t>ТСН-2001.4 Доп. 79, Сб. 10, т. 118, поз. 12</t>
  </si>
  <si>
    <t>6.67-6-1</t>
  </si>
  <si>
    <t>Демонтаж кабеля</t>
  </si>
  <si>
    <t>100 м</t>
  </si>
  <si>
    <t>ТСН-2001.6. Доп. 1-42. Сб. 67, т. 6, поз. 1</t>
  </si>
  <si>
    <t>*1</t>
  </si>
  <si>
    <t>*1,2</t>
  </si>
  <si>
    <t>Ремонтно-строительные работы</t>
  </si>
  <si>
    <t>ТСН-2001.6-67. Электромонтажные работы</t>
  </si>
  <si>
    <t>ТСН-2001.6-67-1</t>
  </si>
  <si>
    <t>Поправка: Гл.12.Прил.8.п.8. 3_12.00.01.11.001</t>
  </si>
  <si>
    <t>9</t>
  </si>
  <si>
    <t>4.10-185-8</t>
  </si>
  <si>
    <t>Прокладка кабеля связи огнестойкого в трубах гофрированных с использованием скобы СМД: по бетонным поверхностям</t>
  </si>
  <si>
    <t>ТСН-2001.4 Доп. 80, Сб. 10, т. 185, поз. 8</t>
  </si>
  <si>
    <t>6.67-5-12</t>
  </si>
  <si>
    <t>Демонтаж трубных проводок, трубы в борозде диаметром 25 мм / ПВХ</t>
  </si>
  <si>
    <t>ТСН-2001.6. Доп. 1-42. Сб. 67, т. 5, поз. 12</t>
  </si>
  <si>
    <t>10</t>
  </si>
  <si>
    <t>3.17-12-1</t>
  </si>
  <si>
    <t>Установка вентиляционных решеток площадью в свету до 0,05 м2 / демонтаж защитного кожуха</t>
  </si>
  <si>
    <t>ТСН-2001.3 Доп. 79, Сб. 17, т. 12, поз. 1</t>
  </si>
  <si>
    <t>*1,2)*0,8</t>
  </si>
  <si>
    <t>Строительные работы</t>
  </si>
  <si>
    <t>ТСН-2001.3-17. Водопровод и канализация - внутренние устройства</t>
  </si>
  <si>
    <t>ТСН-2001.3-17-1</t>
  </si>
  <si>
    <t>Поправка: Гл.12.Прил.8.п.8. 3_12.00.01.11.001
Поправка: Гл.6.Прил.2.2.п.2.2.12_06.00.01.35.002</t>
  </si>
  <si>
    <t>ПЗ</t>
  </si>
  <si>
    <t>Прямые затраты</t>
  </si>
  <si>
    <t>СтМатОб</t>
  </si>
  <si>
    <t>Стоимость материальных ресурсов (всего)</t>
  </si>
  <si>
    <t>СтМатОбЗак</t>
  </si>
  <si>
    <t>Стоимость материалов и оборудования заказчика</t>
  </si>
  <si>
    <t>СтМатОбПод</t>
  </si>
  <si>
    <t>Стоимость материалов и оборудования подрядчика</t>
  </si>
  <si>
    <t>СтМат</t>
  </si>
  <si>
    <t>Стоимость материалов (всего)</t>
  </si>
  <si>
    <t>СтМатЗак</t>
  </si>
  <si>
    <t>Стоимость материалов заказчика</t>
  </si>
  <si>
    <t>СтМатПод</t>
  </si>
  <si>
    <t>Стоимость материалов подрядчика</t>
  </si>
  <si>
    <t>Оборуд</t>
  </si>
  <si>
    <t>Стоимость оборудования (всего)</t>
  </si>
  <si>
    <t>ОборудЗак</t>
  </si>
  <si>
    <t>Стоимость оборудования заказчика</t>
  </si>
  <si>
    <t>ОборудПод</t>
  </si>
  <si>
    <t>Стоимость оборудования подрядчика</t>
  </si>
  <si>
    <t>ЭММ</t>
  </si>
  <si>
    <t>Эксплуатация машин</t>
  </si>
  <si>
    <t>ЭММсНРиСП</t>
  </si>
  <si>
    <t>Эксплуатация машин по ТСН-2001.16</t>
  </si>
  <si>
    <t>ЗПМ</t>
  </si>
  <si>
    <t>ЗП машинистов</t>
  </si>
  <si>
    <t>ОЗП</t>
  </si>
  <si>
    <t>Основная ЗП рабочих</t>
  </si>
  <si>
    <t>ОЗПсНРиСП</t>
  </si>
  <si>
    <t>Основная ЗП рабочих по ТСН-2001.16</t>
  </si>
  <si>
    <t>Строит</t>
  </si>
  <si>
    <t>Строительные работы с НР и СП</t>
  </si>
  <si>
    <t>Монтаж</t>
  </si>
  <si>
    <t>Монтажные работы с НР и СП</t>
  </si>
  <si>
    <t>Прочие</t>
  </si>
  <si>
    <t>Прочие работы с НР и СП</t>
  </si>
  <si>
    <t>ПрочиеЗатр</t>
  </si>
  <si>
    <t>Прочие затраты по ТСН-2001.16</t>
  </si>
  <si>
    <t>ВозврМат</t>
  </si>
  <si>
    <t>Возврат материалов</t>
  </si>
  <si>
    <t>ТрудСтр</t>
  </si>
  <si>
    <t>Трудозатраты строителей</t>
  </si>
  <si>
    <t>ТрудМаш</t>
  </si>
  <si>
    <t>Трудозатраты машинистов</t>
  </si>
  <si>
    <t>ТранспМат</t>
  </si>
  <si>
    <t>Транспорт материалов</t>
  </si>
  <si>
    <t>Перевозка</t>
  </si>
  <si>
    <t>Перевозка грузов</t>
  </si>
  <si>
    <t>НР</t>
  </si>
  <si>
    <t>Накладные расходы</t>
  </si>
  <si>
    <t>СмПриб</t>
  </si>
  <si>
    <t>Сметная прибыль</t>
  </si>
  <si>
    <t>Всего</t>
  </si>
  <si>
    <t>Всего с НР и СП</t>
  </si>
  <si>
    <t>Центральное оборудование системы</t>
  </si>
  <si>
    <t>11</t>
  </si>
  <si>
    <t>Монтаж стойки, полустойки, каркаса стойки или шкафа массой до 300 кг</t>
  </si>
  <si>
    <t>12</t>
  </si>
  <si>
    <t>КА, п.1</t>
  </si>
  <si>
    <t>Шкаф управления оповещения и эвакуацией пожарный SONAR RACK SPM 16U Ш-18-0425</t>
  </si>
  <si>
    <t>ШТ</t>
  </si>
  <si>
    <t>Оборудование, отсутствующие в СНБ</t>
  </si>
  <si>
    <t>Оборуд. КА</t>
  </si>
  <si>
    <t>[731 490,5 / 1,22 /  7,57] +  3% Трансп +  1,2% Заг.скл</t>
  </si>
  <si>
    <t>1,2</t>
  </si>
  <si>
    <t>КА, п.2</t>
  </si>
  <si>
    <t>Sonar RD-8 (вилка) - Блок розеток 1U, 8 розеток, 16A, Максимальная мощность потребления 3,5 кВт. Шнур с вилкой SCHUKO Sonar RD-8 (вилка) (Калибр+) ЗС000077190</t>
  </si>
  <si>
    <t>Материалы, отсутствующие в СНБ (Строительные)</t>
  </si>
  <si>
    <t>МР КА Строительные</t>
  </si>
  <si>
    <t>[7 664 / 1,22 /  9,84] +  2% Заг.скл</t>
  </si>
  <si>
    <t>0</t>
  </si>
  <si>
    <t>4.11-12-1</t>
  </si>
  <si>
    <t>Установка съемных и выдвижных блоков (модулей, ячеек, ТЭЗ) массой до 5 кг</t>
  </si>
  <si>
    <t>ТСН-2001.4 Доп. 68, Сб. 11, т. 12, поз. 1</t>
  </si>
  <si>
    <t>ТСН-2001.4-11. Приборы и средства автоматизации и вычислительной техники</t>
  </si>
  <si>
    <t>ТСН-2001.4-11-1</t>
  </si>
  <si>
    <t>4.10-170-2</t>
  </si>
  <si>
    <t>Монтаж блока информационно-управляющего (БИУ) в диспетчерской</t>
  </si>
  <si>
    <t>ТСН-2001.4 Доп. 67, Сб. 10, т. 170, поз. 2</t>
  </si>
  <si>
    <t>КА, п.3</t>
  </si>
  <si>
    <t>Конвертер DAP-IP Sonar SNCA-8002</t>
  </si>
  <si>
    <t>[60 500 / 1,22 /  7,57] +  3% Трансп +  1,2% Заг.скл</t>
  </si>
  <si>
    <t>4.11-12-3</t>
  </si>
  <si>
    <t>Установка съемных и выдвижных блоков (модулей, ячеек, ТЭЗ) массой до 20 кг</t>
  </si>
  <si>
    <t>ТСН-2001.4 Доп. 68, Сб. 11, т. 12, поз. 3</t>
  </si>
  <si>
    <t>4.10-80-1</t>
  </si>
  <si>
    <t>Аппараты приемные, приборы ПС приемно-контрольные, пусковые, концентратор, блок базовый на 10 лучей</t>
  </si>
  <si>
    <t>ТСН-2001.4 Доп. 68, Сб. 10, т. 80, поз. 1</t>
  </si>
  <si>
    <t>КА, п.4</t>
  </si>
  <si>
    <t>Прибор управления оповещением Sonar SPM-C20050-AR</t>
  </si>
  <si>
    <t>[228 085 / 1,22 /  7,57] +  3% Трансп +  1,2% Заг.скл</t>
  </si>
  <si>
    <t>Монтаж блока питания сети (БПС) в диспетчерской</t>
  </si>
  <si>
    <t>КА, п.5</t>
  </si>
  <si>
    <t>Зарядное устройство SONAR SВС-3250</t>
  </si>
  <si>
    <t>[49 701 / 1,22 /  7,57] +  3% Трансп +  1,2% Заг.скл</t>
  </si>
  <si>
    <t>4.8-257-1</t>
  </si>
  <si>
    <t>Монтаж вентилятора</t>
  </si>
  <si>
    <t>ТСН-2001.4 Доп. 81, Сб. 8, т. 257, поз. 1</t>
  </si>
  <si>
    <t>ТСН-2001.4-8. Электротехнические установки</t>
  </si>
  <si>
    <t>ТСН-2001.4-8-1</t>
  </si>
  <si>
    <t>КА, п.6</t>
  </si>
  <si>
    <t>Sonar RBV-024 (v2) - Вентилятор на заднюю панель шкафов RRM и STAND</t>
  </si>
  <si>
    <t>[13 472 / 1,22 /  7,57] +  3% Трансп +  1,2% Заг.скл</t>
  </si>
  <si>
    <t>КА, п.7</t>
  </si>
  <si>
    <t>Sonar SAB-1112-SE - Блок управления вентилятором, крепление на заднюю панель</t>
  </si>
  <si>
    <t>[26 993 / 1,22 /  7,57] +  3% Трансп +  1,2% Заг.скл</t>
  </si>
  <si>
    <t>КА, п.8</t>
  </si>
  <si>
    <t>Sonar SBB-2450 - Блок АКБ 24В. Заменяемые АКБ 12 В, 5 Ач, количество элементов в корпусе - 18 шт.</t>
  </si>
  <si>
    <t>[77 000 / 1,22 /  7,57] +  3% Трансп +  1,2% Заг.скл</t>
  </si>
  <si>
    <t>КА, п.9</t>
  </si>
  <si>
    <t>Sonar SBB-2455 - Блок АКБ 24В. Заменяемые АКБ 12 В, 5 Ач, количество элементов в корпусе - 10 шт.</t>
  </si>
  <si>
    <t>[49 500 / 1,22 /  7,57] +  3% Трансп +  1,2% Заг.скл</t>
  </si>
  <si>
    <t>13</t>
  </si>
  <si>
    <t>4.10-151-2</t>
  </si>
  <si>
    <t>Установка пульта или табло вызывной сигнализации с количеством сигналов до 10</t>
  </si>
  <si>
    <t>ТСН-2001.4 Доп. 67, Сб. 10, т. 151, поз. 2</t>
  </si>
  <si>
    <t>Установка пульта или табло вызывной сигнализации с количеством сигналов до 20</t>
  </si>
  <si>
    <t>14</t>
  </si>
  <si>
    <t>КА, п.10</t>
  </si>
  <si>
    <t>Sonar SRM-7010, - Пульт микрофонный СОУЭ: 10 зон, подключение к моноблокам ППУ-2, ППУ-3 по интерфейсу DAP, доп. вход питания 24 В, прием сигнала АВАРИЯ (сухой контакт) от ИВЭПР</t>
  </si>
  <si>
    <t>[39 325 / 1,22 /  7,57] +  3% Трансп +  1,2% Заг.скл</t>
  </si>
  <si>
    <t>15</t>
  </si>
  <si>
    <t>Аппараты приемные, приборы ПС приемно-контрольные, пусковые, концентратор, блок базовый на 20 лучей</t>
  </si>
  <si>
    <t>16</t>
  </si>
  <si>
    <t>КА, п.11</t>
  </si>
  <si>
    <t>Прибор приемно-контрольный и управления охранно-пожарный адресный R3-Рубеж-2ОП</t>
  </si>
  <si>
    <t>[39 543 / 1,22 /  7,57] +  3% Трансп +  1,2% Заг.скл</t>
  </si>
  <si>
    <t>17</t>
  </si>
  <si>
    <t>Монтаж коммутатора служебной связи</t>
  </si>
  <si>
    <t>18</t>
  </si>
  <si>
    <t>КА, п.12</t>
  </si>
  <si>
    <t>Цифровой модуль речевых сообщений AL-DV16</t>
  </si>
  <si>
    <t>[61 623 / 1,22 /  7,57] +  3% Трансп +  1,2% Заг.скл</t>
  </si>
  <si>
    <t>19</t>
  </si>
  <si>
    <t>20</t>
  </si>
  <si>
    <t>КА, п.13</t>
  </si>
  <si>
    <t>Источник вторичного электропитания резервированный адресный ИВЭПР 12/2 RS-R3 2х12 БР</t>
  </si>
  <si>
    <t>[7 634 / 1,22 /  7,57] +  3% Трансп +  1,2% Заг.скл</t>
  </si>
  <si>
    <t>21</t>
  </si>
  <si>
    <t>КА, п.14</t>
  </si>
  <si>
    <t>Источник вторичного электропитания резервированный адресный ИВЭПР 12/2 RS-R3 2х7 БР</t>
  </si>
  <si>
    <t>[7 512 / 1,22 /  7,57] +  3% Трансп +  1,2% Заг.скл</t>
  </si>
  <si>
    <t>22</t>
  </si>
  <si>
    <t>КА, п.15</t>
  </si>
  <si>
    <t>Аккумуляторная батарея 7 Ач PTK-BATTERY 12-7Ah</t>
  </si>
  <si>
    <t>[1 705,33 / 1,22 /  7,57] +  3% Трансп +  1,2% Заг.скл</t>
  </si>
  <si>
    <t>23</t>
  </si>
  <si>
    <t>КА, п.16</t>
  </si>
  <si>
    <t>Аккумуляторная батарея 7 Ач PTK-BATTERY 12-12Ah</t>
  </si>
  <si>
    <t>[2 770 / 1,22 /  7,57] +  3% Трансп +  1,2% Заг.скл</t>
  </si>
  <si>
    <t>Оборудование устанавливаемое по месту</t>
  </si>
  <si>
    <t>24</t>
  </si>
  <si>
    <t>4.8-245-10</t>
  </si>
  <si>
    <t>Монтаж светильников с лампами накаливания, светового настенного указателя</t>
  </si>
  <si>
    <t>ТСН-2001.4 Доп. 79, Сб. 8, т. 245, поз. 10</t>
  </si>
  <si>
    <t>Извещатели ПС автоматические, дымовой, фотоэлектрический, радиоизотопный, световой в нормальном исполнении</t>
  </si>
  <si>
    <t>25</t>
  </si>
  <si>
    <t>1.22-4-9</t>
  </si>
  <si>
    <t>Указатель световой, светодиодный, аварийный "Выход", степень защиты IP20, мощность 5 Вт / прим. ОПОП 1-R3 "ВЫХОД + стрелка влево"</t>
  </si>
  <si>
    <t>шт.</t>
  </si>
  <si>
    <t>ТСН-2001.1 Доп. 79, Р. 22, о. 4, поз. 9</t>
  </si>
  <si>
    <t>Материалы монтажные</t>
  </si>
  <si>
    <t>ТСН-2001.1 Материалы монтажные</t>
  </si>
  <si>
    <t>ТСН-2001.1-2</t>
  </si>
  <si>
    <t>26</t>
  </si>
  <si>
    <t>Указатель световой, светодиодный, аварийный "Выход", степень защиты IP20, мощность 5 Вт / прим. ОПОП 1-R3 "ВЫХОД + стрелка вправо"</t>
  </si>
  <si>
    <t>27</t>
  </si>
  <si>
    <t>Указатель световой, светодиодный, аварийный "Выход", степень защиты IP20, мощность 5 Вт / прим. ОПОП 1-R3 "Насосная станция"</t>
  </si>
  <si>
    <t>28</t>
  </si>
  <si>
    <t>Указатель световой, светодиодный, аварийный "Выход", степень защиты IP20, мощность 5 Вт / прим. ОПОП 1-R3 "Насосная станция+стрелка влево"</t>
  </si>
  <si>
    <t>29</t>
  </si>
  <si>
    <t>Указатель световой, светодиодный, аварийный "Выход", степень защиты IP20, мощность 5 Вт / прим. ОПОП 1-R3 "Насосная станция+стрелка вправо"</t>
  </si>
  <si>
    <t>30</t>
  </si>
  <si>
    <t>Указатель световой, светодиодный, аварийный "Выход", степень защиты IP20, мощность 5 Вт / прим. ОПОП 1-R3 "Выход для МГН"</t>
  </si>
  <si>
    <t>31</t>
  </si>
  <si>
    <t>Указатель световой, светодиодный, аварийный "Выход", степень защиты IP20, мощность 5 Вт / прим. ОПОП 1-R3 "Направление движения МГН"</t>
  </si>
  <si>
    <t>32</t>
  </si>
  <si>
    <t>Указатель световой, светодиодный, аварийный "Выход", степень защиты IP20, мощность 5 Вт / прим. ОПОП 1-R3 "ВЫХОД"</t>
  </si>
  <si>
    <t>33</t>
  </si>
  <si>
    <t>4.10-80-12</t>
  </si>
  <si>
    <t>Аппараты приемные, устройства промежуточные на 5 лучей</t>
  </si>
  <si>
    <t>ТСН-2001.4. Доп. 1-42. Сб. 10, т. 80, поз. 12</t>
  </si>
  <si>
    <t>34</t>
  </si>
  <si>
    <t>КА, п.17</t>
  </si>
  <si>
    <t>Адресная метка АМ-4-R3</t>
  </si>
  <si>
    <t>[1 683 / 1,22 /  7,57] +  3% Трансп +  1,2% Заг.скл</t>
  </si>
  <si>
    <t>35</t>
  </si>
  <si>
    <t>4.10-80-13</t>
  </si>
  <si>
    <t>Аппараты приемные, устройства промежуточные на 1 луч</t>
  </si>
  <si>
    <t>ТСН-2001.4. Доп. 1-42. Сб. 10, т. 80, поз. 13</t>
  </si>
  <si>
    <t>36</t>
  </si>
  <si>
    <t>КА, п.18</t>
  </si>
  <si>
    <t>Адресный релейный модуль РМ-1К-R3</t>
  </si>
  <si>
    <t>[3 108 / 1,22 /  7,57] +  3% Трансп +  1,2% Заг.скл</t>
  </si>
  <si>
    <t>37</t>
  </si>
  <si>
    <t>38</t>
  </si>
  <si>
    <t>КА, п.19</t>
  </si>
  <si>
    <t>Адресный релейный модуль РМ-4К-R3</t>
  </si>
  <si>
    <t>[4 672 / 1,22 /  7,57] +  3% Трансп +  1,2% Заг.скл</t>
  </si>
  <si>
    <t>39</t>
  </si>
  <si>
    <t>Монтаж громкоговорителя или звуковой колонки в помещении</t>
  </si>
  <si>
    <t>40</t>
  </si>
  <si>
    <t>13.1-2-285</t>
  </si>
  <si>
    <t>Громкоговоритель настенный, мощность 3 Вт. Диапазон частот от 150 до 12000 Гц, корпус пластиковый, габаритные размеры 183х268х116 мм / прим. Громкоговоритель трансляционный настенный SW-06-03</t>
  </si>
  <si>
    <t>ТСН-2001.13-2. Доп. 43. 13.1-2-285</t>
  </si>
  <si>
    <t>Сметная стоимость оборудования</t>
  </si>
  <si>
    <t>ТСН-2001.13. Сметная стоимость оборудования</t>
  </si>
  <si>
    <t>ТСН-2001.13</t>
  </si>
  <si>
    <t>41</t>
  </si>
  <si>
    <t>13.1-2-156</t>
  </si>
  <si>
    <t>Громкоговоритель потолочный. Мощность 3 Вт, диапазон частот от 100 до 10000 Гц, чувствительность 90 дБ, с алюминиевым огнезащитным колпаком, диаметр 228 мм, высота 97 мм / прим. Акустическая система потолочная SCS-06-03</t>
  </si>
  <si>
    <t>ТСН-2001.13-2. Доп. 34. 13.1-2-156</t>
  </si>
  <si>
    <t>42</t>
  </si>
  <si>
    <t>43</t>
  </si>
  <si>
    <t>13.1-2-611</t>
  </si>
  <si>
    <t>Оповещатель охранно-пожарный световой, типа МАЯК-12-С. Напряжение питания от 10,2 до 15 В, потребляемый ток от 18 до 22 мА, степень защиты IP55, диапазон рабочих температур от -40 до +55°С, габаритные размеры 100х80х30 мм</t>
  </si>
  <si>
    <t>ТСН-2001.13-2. Доп. 36. 13.1-2-611</t>
  </si>
  <si>
    <t>44</t>
  </si>
  <si>
    <t>Установка для трубных проводок коробки оконечной</t>
  </si>
  <si>
    <t>45</t>
  </si>
  <si>
    <t>КА, п.20</t>
  </si>
  <si>
    <t>Фильтр оконечный Sonar SFT-2300-M</t>
  </si>
  <si>
    <t>[5 238 / 1,22 /  7,57] +  3% Трансп +  1,2% Заг.скл</t>
  </si>
  <si>
    <t>Огнестойкая кабельная линия</t>
  </si>
  <si>
    <t>46</t>
  </si>
  <si>
    <t>47</t>
  </si>
  <si>
    <t>КА, п.21</t>
  </si>
  <si>
    <t>Гибкая гофрированная ПЛЛ труба без содержания галогенов, ДУ20, O19.7 / 14.8 мм, протяжка, цвет белый</t>
  </si>
  <si>
    <t>м</t>
  </si>
  <si>
    <t>[133,33 / 1,22 /  9,84] +  2% Заг.скл</t>
  </si>
  <si>
    <t>48</t>
  </si>
  <si>
    <t>КА, п.22</t>
  </si>
  <si>
    <t>Держатель оцинкованный двусторонний, д.19-20мм с крепежным отверстием 8.5х6 мм</t>
  </si>
  <si>
    <t>[18 / 1,22 /  9,84] +  2% Заг.скл</t>
  </si>
  <si>
    <t>49</t>
  </si>
  <si>
    <t>КА, п.23</t>
  </si>
  <si>
    <t>Огнестойкий низкотоксичный кабель, КСРВнг(А)-FRLSLTx 1x2x0,97</t>
  </si>
  <si>
    <t>[110,85 / 1,22 /  9,84] +  2% Заг.скл</t>
  </si>
  <si>
    <t>50</t>
  </si>
  <si>
    <t>КА, п.24</t>
  </si>
  <si>
    <t>Огнестойкий низкотоксичный кабель, ParLan F/UTP Cat5e PVCLSнг(А)-FRLSLTx 2х2х0,52</t>
  </si>
  <si>
    <t>[152,38 / 1,22 /  9,84] +  2% Заг.скл</t>
  </si>
  <si>
    <t>51</t>
  </si>
  <si>
    <t>КА, п.25</t>
  </si>
  <si>
    <t>Коробка пластиковая FS с кабельными вводами и клеммниками, IP55,100х100х50мм, 6р, 450V,6A, 4мм.кв</t>
  </si>
  <si>
    <t>[1 503 / 1,22 /  9,84] +  2% Заг.скл</t>
  </si>
  <si>
    <t>Материалы</t>
  </si>
  <si>
    <t>52</t>
  </si>
  <si>
    <t>4.10-81-6</t>
  </si>
  <si>
    <t>Конструкция для установки извещателя / прим.  защитный кожух</t>
  </si>
  <si>
    <t>ТСН-2001.4. Доп. 1-42. Сб. 10, т. 81, поз. 6</t>
  </si>
  <si>
    <t>53</t>
  </si>
  <si>
    <t>КА, п.26</t>
  </si>
  <si>
    <t>Защитный кожух ЗК-8 для акустической колонки</t>
  </si>
  <si>
    <t>[940 / 1,22 /  9,84] +  2% Заг.скл</t>
  </si>
  <si>
    <t>54</t>
  </si>
  <si>
    <t>КА, п.27</t>
  </si>
  <si>
    <t>Защитный кожух ЗК-7 для дымовых извещателей и светозвуковых оповещателей</t>
  </si>
  <si>
    <t>[670 / 1,22 /  9,84] +  2% Заг.скл</t>
  </si>
  <si>
    <t>55</t>
  </si>
  <si>
    <t>КА, п.28</t>
  </si>
  <si>
    <t>Защитный кожух ЗК-6 для светового табло</t>
  </si>
  <si>
    <t>[740 / 1,22 /  9,84] +  2% Заг.скл</t>
  </si>
  <si>
    <t>4.8-86-2</t>
  </si>
  <si>
    <t>Герметизация прохода при вводе кабелей, заделка прохода при прокладке кабелей по стенам и потолкам</t>
  </si>
  <si>
    <t>100 М УЛОЖЕННОГО КАБЕЛЯ</t>
  </si>
  <si>
    <t>ТСН-2001.4 Доп. 67, Сб. 8, т. 86, поз. 2</t>
  </si>
  <si>
    <t>1.1-1-7994</t>
  </si>
  <si>
    <t>Шнур асбестовый, общего назначения, типа ШАОН, диаметр от 3 до 5 мм</t>
  </si>
  <si>
    <t>т</t>
  </si>
  <si>
    <t>ТСН-2001.1 Доп. 79, Р. 1, о. 1, поз. 7994</t>
  </si>
  <si>
    <t>56</t>
  </si>
  <si>
    <t>1.1-1-8066</t>
  </si>
  <si>
    <t>кг</t>
  </si>
  <si>
    <t>ТСН-2001.1 Доп. 79, Р. 1, о. 1, поз. 8066</t>
  </si>
  <si>
    <t>ОБ_ПР</t>
  </si>
  <si>
    <t>Объект производственного назначения</t>
  </si>
  <si>
    <t>ОБ_НПР</t>
  </si>
  <si>
    <t>Объект непроизводственного назначения</t>
  </si>
  <si>
    <t>3.27_АВТО</t>
  </si>
  <si>
    <t>{вкл} - НР и СП по п.18.1 "Автомобильные дороги"  {выкл} - НР и СП по п.18.2 "Устройство покрытий дорожек, тротуаров, мостовых и площадок и прочее"  3.27 Табл. 3.27-121, расценки 3.27-26-1...4</t>
  </si>
  <si>
    <t>3.29_ЗАКР</t>
  </si>
  <si>
    <t>{вкл} - Тоннели и метрополитены: закрытый способ работ  {выкл} - Тоннели и метрополитены: открытый способ работ  3.29 Отдел 1.5; табл. 3.29-1905...1906</t>
  </si>
  <si>
    <t>4.10_МЕЖГ</t>
  </si>
  <si>
    <t>{вкл} - Прокладка и монтаж междугородных линий связи  {выкл} - Прокладка и монтаж сетей связи  4.10 Раздел 1.7.3...1.7.5</t>
  </si>
  <si>
    <t>Базовый уровень цен</t>
  </si>
  <si>
    <t>Сборник индексов</t>
  </si>
  <si>
    <t>Коэффициенты к ТСН-2001 МГЭ Дополнение 81, строительство</t>
  </si>
  <si>
    <t>Текущий уровень цен</t>
  </si>
  <si>
    <t>219/81</t>
  </si>
  <si>
    <t>Коэффициенты к ТСН-2001.13-2 Дополнение 47</t>
  </si>
  <si>
    <t>64/47</t>
  </si>
  <si>
    <t>_OBSM_</t>
  </si>
  <si>
    <t>9999990008</t>
  </si>
  <si>
    <t>Трудозатраты рабочих</t>
  </si>
  <si>
    <t>чел.-ч.</t>
  </si>
  <si>
    <t>2.1-4-12</t>
  </si>
  <si>
    <t>ТСН-2001.2. Доп. 68. п.1-4-12 (040205)</t>
  </si>
  <si>
    <t>Автопогрузчики вилочные, грузоподъемность до 5 т</t>
  </si>
  <si>
    <t>маш.-ч</t>
  </si>
  <si>
    <t>9999990009</t>
  </si>
  <si>
    <t>2.1-4-30</t>
  </si>
  <si>
    <t>ТСН-2001.2. Доп. 68. п.1-4-30 (042901)</t>
  </si>
  <si>
    <t>Лебедки электрические, тяговое усилие до 4,9 кН (0,5 тс)</t>
  </si>
  <si>
    <t>1.1-1-404</t>
  </si>
  <si>
    <t>ТСН-2001.1 Доп. 79, Р. 1, о. 1, поз. 404</t>
  </si>
  <si>
    <t>Клей столярный</t>
  </si>
  <si>
    <t>1.1-1-655</t>
  </si>
  <si>
    <t>ТСН-2001.1. Доп. 1-42. Р. 1, о. 1, поз. 655</t>
  </si>
  <si>
    <t>Мешковина</t>
  </si>
  <si>
    <t>м2</t>
  </si>
  <si>
    <t>2.1-30-102</t>
  </si>
  <si>
    <t>ТСН-2001.2. Доп. 68. п.1-30-102 (303704)</t>
  </si>
  <si>
    <t>Дрели, мощность до 800 Вт</t>
  </si>
  <si>
    <t>1.1-1-238</t>
  </si>
  <si>
    <t>ТСН-2001.1 Доп. 80, Р. 1, о. 1, поз. 238</t>
  </si>
  <si>
    <t>Дюбель пластмассовый</t>
  </si>
  <si>
    <t>1.1-1-3607</t>
  </si>
  <si>
    <t>ТСН-2001.1 Доп. 79, Р. 1, о. 1, поз. 3607</t>
  </si>
  <si>
    <t>Шурупы с полукруглой головкой, диаметр 4 мм, длина 40 мм</t>
  </si>
  <si>
    <t>1.1-1-945</t>
  </si>
  <si>
    <t>ТСН-2001.1 Доп. 79, Р. 1, о. 1, поз. 945</t>
  </si>
  <si>
    <t>Припой оловянно-свинцовый, в прутках, диаметр 8 мм, типа ПОС-40</t>
  </si>
  <si>
    <t>2.1-30-56</t>
  </si>
  <si>
    <t>ТСН-2001.2. Доп. 68. п.1-30-56 (309101)</t>
  </si>
  <si>
    <t>Шуруповерты</t>
  </si>
  <si>
    <t>1.1-1-2628</t>
  </si>
  <si>
    <t>ТСН-2001.1 Доп. 79, Р. 1, о. 1, поз. 2628</t>
  </si>
  <si>
    <t>Винты самонарезающие, оцинкованные, для металла, диаметр 4 мм, длина 35 мм</t>
  </si>
  <si>
    <t>1.7-3-112</t>
  </si>
  <si>
    <t>ТСН-2001.1 Доп. 67, Р. 7, о. 3, поз. 112</t>
  </si>
  <si>
    <t>Сверло спиральное HSS, для сверления алюминия, нержавеющей стали, углеродистой стали и чугуна, диаметр 4 мм, длина 75 мм</t>
  </si>
  <si>
    <t>1.1-1-1502</t>
  </si>
  <si>
    <t>ТСН-2001.1 Доп. 79, Р. 1, о. 1, поз. 1502</t>
  </si>
  <si>
    <t>Шурупы с потайной головкой, черные, диаметр 8 мм, длина 100 мм</t>
  </si>
  <si>
    <t>1.21-5-1229</t>
  </si>
  <si>
    <t>ТСН-2001.1 Доп. 67, Р. 21, о. 5, поз. 1229</t>
  </si>
  <si>
    <t>Лента электроизоляционная, термостойкая, ширина 26 мм, толщина от 0,5 до 0,8 мм, типа ЛЭТСАР</t>
  </si>
  <si>
    <t>1.23-13-260</t>
  </si>
  <si>
    <t>ТСН-2001.1 Доп. 79, Р. 23, о. 13, поз. 260</t>
  </si>
  <si>
    <t>Провод силовой с медной жилой, марка ПРТО, напряжение 660 В, число жил и сечение 1х1,5 мм2</t>
  </si>
  <si>
    <t>км</t>
  </si>
  <si>
    <t>1.1-1-1092</t>
  </si>
  <si>
    <t>ТСН-2001.1 Доп. 79, Р. 1, о. 1, поз. 1092</t>
  </si>
  <si>
    <t>Полоса из стали углеродистой обыкновенного качества, спокойной</t>
  </si>
  <si>
    <t>1.1-1-1583</t>
  </si>
  <si>
    <t>ТСН-2001.1 Доп. 79, Р. 1, о. 1, поз. 1583</t>
  </si>
  <si>
    <t>Эмаль эпоксидная, белая или цветная, типа ЭП-140</t>
  </si>
  <si>
    <t>1.1-1-3693</t>
  </si>
  <si>
    <t>ТСН-2001.1 Доп. 80, Р. 1, о. 1, поз. 3693</t>
  </si>
  <si>
    <t>Дюбель распорный пластмассовый, диаметр 6 мм, длина 40 мм</t>
  </si>
  <si>
    <t>9999990002</t>
  </si>
  <si>
    <t>Масса оборудования</t>
  </si>
  <si>
    <t>2.1-30-10</t>
  </si>
  <si>
    <t>ТСН-2001.2. Доп. 68. п.1-30-10 (304101)</t>
  </si>
  <si>
    <t>Перфораторы, мощность до 800 Вт</t>
  </si>
  <si>
    <t>1.21-5-1180</t>
  </si>
  <si>
    <t>ТСН-2001.1 Доп. 79, Р. 21, о. 5, поз. 1180</t>
  </si>
  <si>
    <t>Бирка маркировочная для кабелей и проводов, типа У134 У3,5</t>
  </si>
  <si>
    <t>1000 шт.</t>
  </si>
  <si>
    <t>1.21-5-926</t>
  </si>
  <si>
    <t>ТСН-2001.1 Доп. 67, Р. 21, о. 5, поз. 926</t>
  </si>
  <si>
    <t>Хомут (стяжка) кабельный из полиамида, размеры 3,6х200 мм</t>
  </si>
  <si>
    <t>1.7-3-122</t>
  </si>
  <si>
    <t>ТСН-2001.1 Доп. 79, Р. 7, о. 3, поз. 122</t>
  </si>
  <si>
    <t>Бур с наконечником из твердого сплава, с хвостовиком SDS-plus, диаметр 10 мм, длина 260 мм</t>
  </si>
  <si>
    <t>9999990001</t>
  </si>
  <si>
    <t>Масса мусора</t>
  </si>
  <si>
    <t>2.1-18-7</t>
  </si>
  <si>
    <t>ТСН-2001.2. Доп. 68. п.1-18-7 (183001)</t>
  </si>
  <si>
    <t>Автомобили грузовые бортовые, грузоподъемность до 5 т</t>
  </si>
  <si>
    <t>1.1-1-2085</t>
  </si>
  <si>
    <t>ТСН-2001.1 Доп. 79, Р. 1, о. 1, поз. 2085</t>
  </si>
  <si>
    <t>Герметик силиконовый</t>
  </si>
  <si>
    <t>л</t>
  </si>
  <si>
    <t>1.1-1-3726</t>
  </si>
  <si>
    <t>ТСН-2001.1 Доп. 80, Р. 1, о. 1, поз. 3726</t>
  </si>
  <si>
    <t>Дюбель пластиковый, с бортиком, со стальным шурупом, диаметр 6 мм, длина 35 мм, типа "К"</t>
  </si>
  <si>
    <t>1.1-1-1723</t>
  </si>
  <si>
    <t>ТСН-2001.1 Доп. 79, Р. 1, о. 1, поз. 1723</t>
  </si>
  <si>
    <t>Лента изоляционная, прорезиненная, односторонняя</t>
  </si>
  <si>
    <t>2.1-30-96</t>
  </si>
  <si>
    <t>ТСН-2001.2. Доп. 64. п.1-30-96 (303703)</t>
  </si>
  <si>
    <t>Дрели электрические, мощность до 200 Вт</t>
  </si>
  <si>
    <t>1.23-10-18</t>
  </si>
  <si>
    <t>ТСН-2001.1 Доп. 79, Р. 23, о. 10, поз. 18</t>
  </si>
  <si>
    <t>Провод неизолированный для воздушных линий электропередач состоящий из скрученных медных проволок, марка М, сечение 4 мм2</t>
  </si>
  <si>
    <t>5295300000</t>
  </si>
  <si>
    <t>Стойки, полустойки, каркасы стойки или шкафа массой до 300 кг</t>
  </si>
  <si>
    <t>6652000000</t>
  </si>
  <si>
    <t>Пульты или табло вызывной сигнализации</t>
  </si>
  <si>
    <t>5295150000</t>
  </si>
  <si>
    <t>Коммутаторы служебной связи</t>
  </si>
  <si>
    <t>4372900000</t>
  </si>
  <si>
    <t>Блоки питания сети (БПС)</t>
  </si>
  <si>
    <t>6652300000</t>
  </si>
  <si>
    <t>Громкоговорители, звуковые колонки</t>
  </si>
  <si>
    <t>5296220000</t>
  </si>
  <si>
    <t>Коробки оконечные</t>
  </si>
  <si>
    <t>2248200000</t>
  </si>
  <si>
    <t>Трубы электротехнические гофрированные (2248100000)</t>
  </si>
  <si>
    <t>3449953000</t>
  </si>
  <si>
    <t>Скобы для крепления кабеля</t>
  </si>
  <si>
    <t>3574000000</t>
  </si>
  <si>
    <t>Кабели связи огнестойкие</t>
  </si>
  <si>
    <t>5285920000</t>
  </si>
  <si>
    <t>Анкеры клиновые</t>
  </si>
  <si>
    <t>3972280000</t>
  </si>
  <si>
    <t>Сверла победитовые</t>
  </si>
  <si>
    <t>5699500000</t>
  </si>
  <si>
    <t>Изделия фурнитуры для закрывания проемов</t>
  </si>
  <si>
    <t>4200000000</t>
  </si>
  <si>
    <t>Съемные и выдвижные блоки, ячейки, модули, типовые элементы замены (4300000000)</t>
  </si>
  <si>
    <t>4372420000</t>
  </si>
  <si>
    <t>Блоки информационно-управляющие (БИУ)</t>
  </si>
  <si>
    <t>3464000000</t>
  </si>
  <si>
    <t>Розетки потолочные</t>
  </si>
  <si>
    <t>3464730000</t>
  </si>
  <si>
    <t>Крюки для крепления вентиляторов потолочных</t>
  </si>
  <si>
    <t>3468950000</t>
  </si>
  <si>
    <t>Вентиляторы потолочные</t>
  </si>
  <si>
    <t>3461500000</t>
  </si>
  <si>
    <t>Светильники с лампами накаливания</t>
  </si>
  <si>
    <t>3466100000</t>
  </si>
  <si>
    <t>Лампы накаливания</t>
  </si>
  <si>
    <t>10 шт.</t>
  </si>
  <si>
    <t>Гл.12.Прил.8.п.8. 3_12.00.01.11.001</t>
  </si>
  <si>
    <t>При наличии напряженных и стесненных условий производства работ (стесненность, сложность складирования и транспортной логистики и т.п.) для объектов, расположенных в пределах круговой магистральной системы улиц "Садовое кольцо" города Москвы</t>
  </si>
  <si>
    <t>Глава 12</t>
  </si>
  <si>
    <t>*0</t>
  </si>
  <si>
    <t>*0,3</t>
  </si>
  <si>
    <t>Гл.4.Прил.2.2.п.2.2.29_04.00.01.35.003</t>
  </si>
  <si>
    <t>При демонтаже оборудования, предназначенного в лом</t>
  </si>
  <si>
    <t>Глава 4</t>
  </si>
  <si>
    <t>*0,8</t>
  </si>
  <si>
    <t>Гл.6.Прил.2.2.п.2.2.12_06.00.01.35.002</t>
  </si>
  <si>
    <t>При демонтаже сборных деревянных и пластмассовых конструкций</t>
  </si>
  <si>
    <t>Глава 6</t>
  </si>
  <si>
    <t>1.1</t>
  </si>
  <si>
    <t>КА</t>
  </si>
  <si>
    <t>ООО «Системы видеонаблюдения»</t>
  </si>
  <si>
    <t>2221217421</t>
  </si>
  <si>
    <t>стр. п.</t>
  </si>
  <si>
    <t>1.2</t>
  </si>
  <si>
    <t>ООО "Армада"</t>
  </si>
  <si>
    <t>2224208062</t>
  </si>
  <si>
    <t>1.3</t>
  </si>
  <si>
    <t>ООО "Строй-Ал"</t>
  </si>
  <si>
    <t>2223579498</t>
  </si>
  <si>
    <t>10.1</t>
  </si>
  <si>
    <t>ООО «ВИДЕОГЛАЗ ЦЕНТР»</t>
  </si>
  <si>
    <t>7719840097</t>
  </si>
  <si>
    <t>10.2</t>
  </si>
  <si>
    <t>ООО «ТД ТИНКО»</t>
  </si>
  <si>
    <t>7722753969</t>
  </si>
  <si>
    <t>10.3</t>
  </si>
  <si>
    <t>ООО "Тантос"</t>
  </si>
  <si>
    <t>9721058155</t>
  </si>
  <si>
    <t>11.1</t>
  </si>
  <si>
    <t>АО "ЧИП и ДИП"</t>
  </si>
  <si>
    <t>7729108750</t>
  </si>
  <si>
    <t>11.2</t>
  </si>
  <si>
    <t>11.3</t>
  </si>
  <si>
    <t>12.1</t>
  </si>
  <si>
    <t>12.2</t>
  </si>
  <si>
    <t>АО «ТД ЭЛЕКТРОТЕХМОНТАЖ»</t>
  </si>
  <si>
    <t>7842224734</t>
  </si>
  <si>
    <t>12.3</t>
  </si>
  <si>
    <t>ООО «Омега Саунд»</t>
  </si>
  <si>
    <t>7802113403</t>
  </si>
  <si>
    <t>13.1</t>
  </si>
  <si>
    <t>13.2</t>
  </si>
  <si>
    <t>13.3</t>
  </si>
  <si>
    <t>14.1</t>
  </si>
  <si>
    <t>14.2</t>
  </si>
  <si>
    <t>14.3</t>
  </si>
  <si>
    <t>15.1</t>
  </si>
  <si>
    <t>15.2</t>
  </si>
  <si>
    <t>ООО "ТД Тинко"</t>
  </si>
  <si>
    <t>7702680818</t>
  </si>
  <si>
    <t>15.3</t>
  </si>
  <si>
    <t>16.1</t>
  </si>
  <si>
    <t>ООО «Мираплюс»</t>
  </si>
  <si>
    <t>6453073463</t>
  </si>
  <si>
    <t>16.2</t>
  </si>
  <si>
    <t>ООО «Маяк+СБ»</t>
  </si>
  <si>
    <t>7203410534</t>
  </si>
  <si>
    <t>16.3</t>
  </si>
  <si>
    <t>ООО «Е-Энергия»</t>
  </si>
  <si>
    <t>7731292231</t>
  </si>
  <si>
    <t>17.1</t>
  </si>
  <si>
    <t>17.2</t>
  </si>
  <si>
    <t>17.3</t>
  </si>
  <si>
    <t>18.1</t>
  </si>
  <si>
    <t>18.2</t>
  </si>
  <si>
    <t>18.3</t>
  </si>
  <si>
    <t>19.1</t>
  </si>
  <si>
    <t>19.2</t>
  </si>
  <si>
    <t>19.3</t>
  </si>
  <si>
    <t>20.1</t>
  </si>
  <si>
    <t>20.2</t>
  </si>
  <si>
    <t>20.3</t>
  </si>
  <si>
    <t>21.1</t>
  </si>
  <si>
    <t>21.2</t>
  </si>
  <si>
    <t>21.3</t>
  </si>
  <si>
    <t>22.1</t>
  </si>
  <si>
    <t>22.2</t>
  </si>
  <si>
    <t>22.3</t>
  </si>
  <si>
    <t>ООО "Элевел"</t>
  </si>
  <si>
    <t>7720298746</t>
  </si>
  <si>
    <t>23.1</t>
  </si>
  <si>
    <t>23.2</t>
  </si>
  <si>
    <t>23.3</t>
  </si>
  <si>
    <t>24.1</t>
  </si>
  <si>
    <t>24.2</t>
  </si>
  <si>
    <t>24.3</t>
  </si>
  <si>
    <t>25.1</t>
  </si>
  <si>
    <t>ООО «ВсеИнструменты.ру»</t>
  </si>
  <si>
    <t>25.2</t>
  </si>
  <si>
    <t>25.3</t>
  </si>
  <si>
    <t>26.1</t>
  </si>
  <si>
    <t>26.2</t>
  </si>
  <si>
    <t>ООО "ТД Твоя безопасность"</t>
  </si>
  <si>
    <t>9715308907</t>
  </si>
  <si>
    <t>26.3</t>
  </si>
  <si>
    <t>27.1</t>
  </si>
  <si>
    <t>27.2</t>
  </si>
  <si>
    <t>27.3</t>
  </si>
  <si>
    <t>28.1</t>
  </si>
  <si>
    <t>28.2</t>
  </si>
  <si>
    <t>28.3</t>
  </si>
  <si>
    <t>Поправка: Гл.12.Прил.8.п.8. 3_12.00.01.11.001
Наименование: При наличии напряженных и стесненных условий производства работ (стесненность, сложность складирования и транспортной логистики и т.п.) для объектов, расположенных в пределах круговой магистральной системы улиц "Садовое кольцо" города Москвы
Поправка: Гл.4.Прил.2.2.п.2.2.29_04.00.01.35.003
Наименование: При демонтаже оборудования, предназначенного в лом</t>
  </si>
  <si>
    <t>Поправка: Гл.12.Прил.8.п.8. 3_12.00.01.11.001
Наименование: При наличии напряженных и стесненных условий производства работ (стесненность, сложность складирования и транспортной логистики и т.п.) для объектов, расположенных в пределах круговой магистральной системы улиц "Садовое кольцо" города Москвы</t>
  </si>
  <si>
    <t>Поправка: Гл.12.Прил.8.п.8. 3_12.00.01.11.001
Наименование: При наличии напряженных и стесненных условий производства работ (стесненность, сложность складирования и транспортной логистики и т.п.) для объектов, расположенных в пределах круговой магистральной системы улиц "Садовое кольцо" города Москвы
Поправка: Гл.6.Прил.2.2.п.2.2.12_06.00.01.35.002
Наименование: При демонтаже сборных деревянных и пластмассовых конструкций</t>
  </si>
  <si>
    <t>Поправка: Гл.12.Прил.8.п.8. 3_12.00.01.11.001_x000D_
Наименование: При наличии напряженных и стесненных условий производства работ (стесненность, сложность складирования и транспортной логистики и т.п.) для объектов, расположенных в пределах круговой магистральной системы улиц "Садовое кольцо" города Москвы</t>
  </si>
  <si>
    <t>Герметик огнезащитный, однокомпонентный, акриловый, тиксотропный, плотность от 1530 до 1610 кг/м3, температура нанесения от +5 до +50°С, температура эксплуатации от -35 до +80°С, для устройства огнестойких деформационных, строительных швов, заделки стыков, отверстий, трещин, щелей, полостей в строительных конструкциях, для применения в составе изделий противопожарного назначения</t>
  </si>
  <si>
    <t>"СОГЛАСОВАНО"</t>
  </si>
  <si>
    <t>"УТВЕРЖДАЮ"</t>
  </si>
  <si>
    <t>Форма № 4б</t>
  </si>
  <si>
    <t>"_____"________________ 2026 г.</t>
  </si>
  <si>
    <t>(наименование стройки и/или объекта)</t>
  </si>
  <si>
    <t>(наименование работ и затрат)</t>
  </si>
  <si>
    <t>В
базисном
уровне
цен</t>
  </si>
  <si>
    <t>В
текущем
уровне
цен</t>
  </si>
  <si>
    <t>Сметная стоимость</t>
  </si>
  <si>
    <t>Работы по монтажу оборудования</t>
  </si>
  <si>
    <t>Оборудование</t>
  </si>
  <si>
    <t>Прочие работы и затраты</t>
  </si>
  <si>
    <t>Средства на оплату труда</t>
  </si>
  <si>
    <t>Затраты труда</t>
  </si>
  <si>
    <t xml:space="preserve">Кроме того: </t>
  </si>
  <si>
    <t>№ п/п</t>
  </si>
  <si>
    <t>Шифр расценки и коды ресурсов</t>
  </si>
  <si>
    <t>Наименование работ и затрат</t>
  </si>
  <si>
    <t>Ед. изм.</t>
  </si>
  <si>
    <t>Кол-во
единиц</t>
  </si>
  <si>
    <t>Цена на
ед. изм.,
руб.</t>
  </si>
  <si>
    <t>Попра-
вочные
коэффи-
циенты</t>
  </si>
  <si>
    <t>Коэффи-
циенты
зимних
удорожа-
ний</t>
  </si>
  <si>
    <t>Коэффи-
циенты
(индек-
сы) пере-
счета,
нормы
НР и СП</t>
  </si>
  <si>
    <t>ВСЕГО
затрат в
текущем
уровне цен,
руб.</t>
  </si>
  <si>
    <t>Капитальный ремонт здания Государственного бюджетного общеобразовательного учреждения города Москвы «Школа №1574», расположенного по адресу: г. Москва, Старопименовский переулок, д. 5. 1 этап. 02-01-09 СОУЭ 20.07</t>
  </si>
  <si>
    <t>Составлен(а) по ТСН-2001 с учетом Дополнения №: 81</t>
  </si>
  <si>
    <t>№ и период сборника коэффициентов (индексов) пересчета: Коэффициенты к ТСН-2001 МГЭ Дополнение 81, строительство №219/81 I квартал 2026 года и Коэффициенты к ТСН-2001.13-2 Дополнение 47 №64/47 I квартал 2026 года</t>
  </si>
  <si>
    <t>Всего в
ценах на
январь 2000 года,
руб.</t>
  </si>
  <si>
    <t>ЗП</t>
  </si>
  <si>
    <t>1,2*0,3</t>
  </si>
  <si>
    <t>ЭМ</t>
  </si>
  <si>
    <t>в т.ч. ЗПМ</t>
  </si>
  <si>
    <t>НР от ФОТ</t>
  </si>
  <si>
    <t>%</t>
  </si>
  <si>
    <t>СП от ФОТ</t>
  </si>
  <si>
    <t>ЗТР</t>
  </si>
  <si>
    <t>чел-ч</t>
  </si>
  <si>
    <t>ВСЕГО работ по позиции:</t>
  </si>
  <si>
    <t>ВСЕГО оборудование по позиции:</t>
  </si>
  <si>
    <t>ВСЕГО по позиции:</t>
  </si>
  <si>
    <t>1,2*0,8</t>
  </si>
  <si>
    <t xml:space="preserve">   Итого по ТСН-2001.16</t>
  </si>
  <si>
    <t xml:space="preserve">   Итого возвратных сумм</t>
  </si>
  <si>
    <t>МР</t>
  </si>
  <si>
    <r>
      <t>ОБОРУДОВАНИЕ:_x000D_
Шкаф управления оповещения и эвакуацией пожарный SONAR RACK SPM 16U Ш-18-0425</t>
    </r>
    <r>
      <rPr>
        <i/>
        <sz val="10"/>
        <color rgb="FF821E82"/>
        <rFont val="Arial"/>
        <family val="2"/>
        <charset val="204"/>
      </rPr>
      <t xml:space="preserve">
82 560,19 = [731 490,5 / 1,22 /  7,57] +  3% Трансп +  1,2% Заг.скл</t>
    </r>
  </si>
  <si>
    <r>
      <t>ОБОРУДОВАНИЕ:_x000D_
Sonar SRM-7010, - Пульт микрофонный СОУЭ: 10 зон, подключение к моноблокам ППУ-2, ППУ-3 по интерфейсу DAP, доп. вход питания 24 В, прием сигнала АВАРИЯ (сухой контакт) от ИВЭПР</t>
    </r>
    <r>
      <rPr>
        <i/>
        <sz val="10"/>
        <color rgb="FF821E82"/>
        <rFont val="Arial"/>
        <family val="2"/>
        <charset val="204"/>
      </rPr>
      <t xml:space="preserve">
4 438,44 = [39 325 / 1,22 /  7,57] +  3% Трансп +  1,2% Заг.скл</t>
    </r>
  </si>
  <si>
    <r>
      <t>ОБОРУДОВАНИЕ:_x000D_
Прибор приемно-контрольный и управления охранно-пожарный адресный R3-Рубеж-2ОП</t>
    </r>
    <r>
      <rPr>
        <i/>
        <sz val="10"/>
        <color rgb="FF821E82"/>
        <rFont val="Arial"/>
        <family val="2"/>
        <charset val="204"/>
      </rPr>
      <t xml:space="preserve">
4 463,05 = [39 543 / 1,22 /  7,57] +  3% Трансп +  1,2% Заг.скл</t>
    </r>
  </si>
  <si>
    <r>
      <t>ОБОРУДОВАНИЕ:_x000D_
Цифровой модуль речевых сообщений AL-DV16</t>
    </r>
    <r>
      <rPr>
        <i/>
        <sz val="10"/>
        <color rgb="FF821E82"/>
        <rFont val="Arial"/>
        <family val="2"/>
        <charset val="204"/>
      </rPr>
      <t xml:space="preserve">
6 955,12 = [61 623 / 1,22 /  7,57] +  3% Трансп +  1,2% Заг.скл</t>
    </r>
  </si>
  <si>
    <r>
      <t>ОБОРУДОВАНИЕ:_x000D_
Источник вторичного электропитания резервированный адресный ИВЭПР 12/2 RS-R3 2х12 БР</t>
    </r>
    <r>
      <rPr>
        <i/>
        <sz val="10"/>
        <color rgb="FF821E82"/>
        <rFont val="Arial"/>
        <family val="2"/>
        <charset val="204"/>
      </rPr>
      <t xml:space="preserve">
861,62 = [7 634 / 1,22 /  7,57] +  3% Трансп +  1,2% Заг.скл</t>
    </r>
  </si>
  <si>
    <r>
      <t>ОБОРУДОВАНИЕ:_x000D_
Источник вторичного электропитания резервированный адресный ИВЭПР 12/2 RS-R3 2х7 БР</t>
    </r>
    <r>
      <rPr>
        <i/>
        <sz val="10"/>
        <color rgb="FF821E82"/>
        <rFont val="Arial"/>
        <family val="2"/>
        <charset val="204"/>
      </rPr>
      <t xml:space="preserve">
847,84 = [7 512 / 1,22 /  7,57] +  3% Трансп +  1,2% Заг.скл</t>
    </r>
  </si>
  <si>
    <r>
      <t>ОБОРУДОВАНИЕ:_x000D_
Аккумуляторная батарея 7 Ач PTK-BATTERY 12-7Ah</t>
    </r>
    <r>
      <rPr>
        <i/>
        <sz val="10"/>
        <color rgb="FF821E82"/>
        <rFont val="Arial"/>
        <family val="2"/>
        <charset val="204"/>
      </rPr>
      <t xml:space="preserve">
192,47 = [1 705,33 / 1,22 /  7,57] +  3% Трансп +  1,2% Заг.скл</t>
    </r>
  </si>
  <si>
    <r>
      <t>ОБОРУДОВАНИЕ:_x000D_
Аккумуляторная батарея 7 Ач PTK-BATTERY 12-12Ah</t>
    </r>
    <r>
      <rPr>
        <i/>
        <sz val="10"/>
        <color rgb="FF821E82"/>
        <rFont val="Arial"/>
        <family val="2"/>
        <charset val="204"/>
      </rPr>
      <t xml:space="preserve">
312,64 = [2 770 / 1,22 /  7,57] +  3% Трансп +  1,2% Заг.скл</t>
    </r>
  </si>
  <si>
    <r>
      <t>ОБОРУДОВАНИЕ:_x000D_
Адресная метка АМ-4-R3</t>
    </r>
    <r>
      <rPr>
        <i/>
        <sz val="10"/>
        <color rgb="FF821E82"/>
        <rFont val="Arial"/>
        <family val="2"/>
        <charset val="204"/>
      </rPr>
      <t xml:space="preserve">
189,95 = [1 683 / 1,22 /  7,57] +  3% Трансп +  1,2% Заг.скл</t>
    </r>
  </si>
  <si>
    <r>
      <t>ОБОРУДОВАНИЕ:_x000D_
Адресный релейный модуль РМ-1К-R3</t>
    </r>
    <r>
      <rPr>
        <i/>
        <sz val="10"/>
        <color rgb="FF821E82"/>
        <rFont val="Arial"/>
        <family val="2"/>
        <charset val="204"/>
      </rPr>
      <t xml:space="preserve">
350,79 = [3 108 / 1,22 /  7,57] +  3% Трансп +  1,2% Заг.скл</t>
    </r>
  </si>
  <si>
    <r>
      <t>ОБОРУДОВАНИЕ:_x000D_
Адресный релейный модуль РМ-4К-R3</t>
    </r>
    <r>
      <rPr>
        <i/>
        <sz val="10"/>
        <color rgb="FF821E82"/>
        <rFont val="Arial"/>
        <family val="2"/>
        <charset val="204"/>
      </rPr>
      <t xml:space="preserve">
527,31 = [4 672 / 1,22 /  7,57] +  3% Трансп +  1,2% Заг.скл</t>
    </r>
  </si>
  <si>
    <t>ОБОРУДОВАНИЕ:_x000D_
Громкоговоритель настенный, мощность 3 Вт. Диапазон частот от 150 до 12000 Гц, корпус пластиковый, габаритные размеры 183х268х116 мм / прим. Громкоговоритель трансляционный настенный SW-06-03</t>
  </si>
  <si>
    <t>ОБОРУДОВАНИЕ:_x000D_
Громкоговоритель потолочный. Мощность 3 Вт, диапазон частот от 100 до 10000 Гц, чувствительность 90 дБ, с алюминиевым огнезащитным колпаком, диаметр 228 мм, высота 97 мм / прим. Акустическая система потолочная SCS-06-03</t>
  </si>
  <si>
    <t>ОБОРУДОВАНИЕ:_x000D_
Оповещатель охранно-пожарный световой, типа МАЯК-12-С. Напряжение питания от 10,2 до 15 В, потребляемый ток от 18 до 22 мА, степень защиты IP55, диапазон рабочих температур от -40 до +55°С, габаритные размеры 100х80х30 мм</t>
  </si>
  <si>
    <r>
      <t>ОБОРУДОВАНИЕ:_x000D_
Фильтр оконечный Sonar SFT-2300-M</t>
    </r>
    <r>
      <rPr>
        <i/>
        <sz val="10"/>
        <color rgb="FF821E82"/>
        <rFont val="Arial"/>
        <family val="2"/>
        <charset val="204"/>
      </rPr>
      <t xml:space="preserve">
591,20 = [5 238 / 1,22 /  7,57] +  3% Трансп +  1,2% Заг.скл</t>
    </r>
  </si>
  <si>
    <r>
      <t>Гибкая гофрированная ПЛЛ труба без содержания галогенов, ДУ20, O19.7 / 14.8 мм, протяжка, цвет белый</t>
    </r>
    <r>
      <rPr>
        <i/>
        <sz val="10"/>
        <rFont val="Arial"/>
        <family val="2"/>
        <charset val="204"/>
      </rPr>
      <t xml:space="preserve">
11,33 = [133,33 / 1,22 /  9,84] +  2% Заг.скл</t>
    </r>
  </si>
  <si>
    <r>
      <t>Держатель оцинкованный двусторонний, д.19-20мм с крепежным отверстием 8.5х6 мм</t>
    </r>
    <r>
      <rPr>
        <i/>
        <sz val="10"/>
        <rFont val="Arial"/>
        <family val="2"/>
        <charset val="204"/>
      </rPr>
      <t xml:space="preserve">
1,53 = [18 / 1,22 /  9,84] +  2% Заг.скл</t>
    </r>
  </si>
  <si>
    <r>
      <t>Огнестойкий низкотоксичный кабель, КСРВнг(А)-FRLSLTx 1x2x0,97</t>
    </r>
    <r>
      <rPr>
        <i/>
        <sz val="10"/>
        <rFont val="Arial"/>
        <family val="2"/>
        <charset val="204"/>
      </rPr>
      <t xml:space="preserve">
9,41 = [110,85 / 1,22 /  9,84] +  2% Заг.скл</t>
    </r>
  </si>
  <si>
    <r>
      <t>Огнестойкий низкотоксичный кабель, ParLan F/UTP Cat5e PVCLSнг(А)-FRLSLTx 2х2х0,52</t>
    </r>
    <r>
      <rPr>
        <i/>
        <sz val="10"/>
        <rFont val="Arial"/>
        <family val="2"/>
        <charset val="204"/>
      </rPr>
      <t xml:space="preserve">
12,94 = [152,38 / 1,22 /  9,84] +  2% Заг.скл</t>
    </r>
  </si>
  <si>
    <r>
      <t>Коробка пластиковая FS с кабельными вводами и клеммниками, IP55,100х100х50мм, 6р, 450V,6A, 4мм.кв</t>
    </r>
    <r>
      <rPr>
        <i/>
        <sz val="10"/>
        <rFont val="Arial"/>
        <family val="2"/>
        <charset val="204"/>
      </rPr>
      <t xml:space="preserve">
127,70 = [1 503 / 1,22 /  9,84] +  2% Заг.скл</t>
    </r>
  </si>
  <si>
    <r>
      <t>Защитный кожух ЗК-8 для акустической колонки</t>
    </r>
    <r>
      <rPr>
        <i/>
        <sz val="10"/>
        <rFont val="Arial"/>
        <family val="2"/>
        <charset val="204"/>
      </rPr>
      <t xml:space="preserve">
79,87 = [940 / 1,22 /  9,84] +  2% Заг.скл</t>
    </r>
  </si>
  <si>
    <r>
      <t>Защитный кожух ЗК-7 для дымовых извещателей и светозвуковых оповещателей</t>
    </r>
    <r>
      <rPr>
        <i/>
        <sz val="10"/>
        <rFont val="Arial"/>
        <family val="2"/>
        <charset val="204"/>
      </rPr>
      <t xml:space="preserve">
56,93 = [670 / 1,22 /  9,84] +  2% Заг.скл</t>
    </r>
  </si>
  <si>
    <r>
      <t>Защитный кожух ЗК-6 для светового табло</t>
    </r>
    <r>
      <rPr>
        <i/>
        <sz val="10"/>
        <rFont val="Arial"/>
        <family val="2"/>
        <charset val="204"/>
      </rPr>
      <t xml:space="preserve">
62,87 = [740 / 1,22 /  9,84] +  2% Заг.скл</t>
    </r>
  </si>
  <si>
    <t xml:space="preserve"> тыс.руб.</t>
  </si>
  <si>
    <t xml:space="preserve">Составил   </t>
  </si>
  <si>
    <t>(должность, подпись, инициалы, фамилия)</t>
  </si>
  <si>
    <t xml:space="preserve">Проверил   </t>
  </si>
  <si>
    <t xml:space="preserve">Капитальный ремонт здания Государственного бюджетного общеобразовательного учреждения города Москвы «Школа №1574», расположенного по адресу: г. Москва, Старопименовский переулок, д. 5. 1 этап.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</si>
</sst>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;[Red]\-\ #,##0.00"/>
  </numFmts>
  <fonts count="25" x14ac:knownFonts="1">
    <font>
      <sz val="10"/>
      <name val="Arial"/>
      <charset val="204"/>
    </font>
    <font>
      <b/>
      <sz val="10"/>
      <color indexed="12"/>
      <name val="Arial"/>
      <family val="2"/>
      <charset val="204"/>
    </font>
    <font>
      <sz val="10"/>
      <color indexed="18"/>
      <name val="Arial"/>
      <family val="2"/>
      <charset val="204"/>
    </font>
    <font>
      <b/>
      <sz val="10"/>
      <color indexed="16"/>
      <name val="Arial"/>
      <family val="2"/>
      <charset val="204"/>
    </font>
    <font>
      <b/>
      <sz val="10"/>
      <color indexed="20"/>
      <name val="Arial"/>
      <family val="2"/>
      <charset val="204"/>
    </font>
    <font>
      <b/>
      <sz val="10"/>
      <color indexed="17"/>
      <name val="Arial"/>
      <family val="2"/>
      <charset val="204"/>
    </font>
    <font>
      <sz val="10"/>
      <color indexed="17"/>
      <name val="Arial"/>
      <family val="2"/>
      <charset val="204"/>
    </font>
    <font>
      <sz val="10"/>
      <color indexed="12"/>
      <name val="Arial"/>
      <family val="2"/>
      <charset val="204"/>
    </font>
    <font>
      <sz val="10"/>
      <color indexed="14"/>
      <name val="Arial"/>
      <family val="2"/>
      <charset val="204"/>
    </font>
    <font>
      <sz val="10"/>
      <color indexed="16"/>
      <name val="Arial"/>
      <family val="2"/>
      <charset val="204"/>
    </font>
    <font>
      <sz val="10"/>
      <name val="Arial"/>
      <family val="2"/>
      <charset val="204"/>
    </font>
    <font>
      <sz val="9"/>
      <name val="Arial"/>
      <family val="2"/>
      <charset val="204"/>
    </font>
    <font>
      <sz val="11"/>
      <name val="Arial"/>
      <family val="2"/>
      <charset val="204"/>
    </font>
    <font>
      <b/>
      <sz val="13"/>
      <name val="Arial"/>
      <family val="2"/>
      <charset val="204"/>
    </font>
    <font>
      <b/>
      <sz val="12"/>
      <name val="Arial"/>
      <family val="2"/>
      <charset val="204"/>
    </font>
    <font>
      <sz val="12"/>
      <name val="Arial"/>
      <family val="2"/>
      <charset val="204"/>
    </font>
    <font>
      <b/>
      <sz val="14"/>
      <name val="Arial"/>
      <family val="2"/>
      <charset val="204"/>
    </font>
    <font>
      <b/>
      <sz val="11"/>
      <name val="Arial"/>
      <family val="2"/>
      <charset val="204"/>
    </font>
    <font>
      <i/>
      <sz val="11"/>
      <name val="Arial"/>
      <family val="2"/>
      <charset val="204"/>
    </font>
    <font>
      <sz val="11"/>
      <color rgb="FF821E82"/>
      <name val="Arial"/>
      <family val="2"/>
      <charset val="204"/>
    </font>
    <font>
      <i/>
      <sz val="11"/>
      <color rgb="FF821E82"/>
      <name val="Arial"/>
      <family val="2"/>
      <charset val="204"/>
    </font>
    <font>
      <i/>
      <sz val="10"/>
      <color rgb="FF821E82"/>
      <name val="Arial"/>
      <family val="2"/>
      <charset val="204"/>
    </font>
    <font>
      <sz val="10"/>
      <color rgb="FF821E82"/>
      <name val="Arial"/>
      <family val="2"/>
      <charset val="204"/>
    </font>
    <font>
      <b/>
      <sz val="11"/>
      <color rgb="FF821E82"/>
      <name val="Arial"/>
      <family val="2"/>
      <charset val="204"/>
    </font>
    <font>
      <i/>
      <sz val="10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10" fillId="0" borderId="0"/>
  </cellStyleXfs>
  <cellXfs count="78">
    <xf numFmtId="0" fontId="0" fillId="0" borderId="0" xfId="0"/>
    <xf numFmtId="0" fontId="1" fillId="0" borderId="0" xfId="0" applyFont="1"/>
    <xf numFmtId="0" fontId="2" fillId="0" borderId="0" xfId="0" applyFont="1" applyAlignment="1"/>
    <xf numFmtId="0" fontId="0" fillId="0" borderId="0" xfId="0" applyAlignme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/>
    <xf numFmtId="0" fontId="1" fillId="0" borderId="0" xfId="0" applyFont="1" applyAlignment="1"/>
    <xf numFmtId="0" fontId="3" fillId="0" borderId="0" xfId="0" applyFont="1" applyAlignment="1"/>
    <xf numFmtId="0" fontId="4" fillId="0" borderId="0" xfId="0" applyFont="1" applyAlignment="1"/>
    <xf numFmtId="0" fontId="5" fillId="0" borderId="0" xfId="0" applyFont="1" applyAlignment="1"/>
    <xf numFmtId="0" fontId="6" fillId="0" borderId="0" xfId="0" applyFont="1" applyAlignment="1"/>
    <xf numFmtId="0" fontId="11" fillId="0" borderId="0" xfId="0" applyFont="1"/>
    <xf numFmtId="0" fontId="12" fillId="0" borderId="0" xfId="0" applyFont="1" applyAlignment="1">
      <alignment horizontal="right"/>
    </xf>
    <xf numFmtId="0" fontId="12" fillId="0" borderId="0" xfId="0" applyFont="1"/>
    <xf numFmtId="0" fontId="13" fillId="0" borderId="0" xfId="0" applyFont="1"/>
    <xf numFmtId="0" fontId="12" fillId="0" borderId="0" xfId="0" applyFont="1" applyAlignment="1">
      <alignment horizontal="left"/>
    </xf>
    <xf numFmtId="0" fontId="12" fillId="0" borderId="0" xfId="0" applyFont="1" applyAlignment="1">
      <alignment wrapText="1"/>
    </xf>
    <xf numFmtId="0" fontId="12" fillId="0" borderId="0" xfId="0" applyFont="1" applyAlignment="1">
      <alignment horizontal="left" wrapText="1"/>
    </xf>
    <xf numFmtId="164" fontId="17" fillId="0" borderId="0" xfId="0" applyNumberFormat="1" applyFont="1"/>
    <xf numFmtId="0" fontId="17" fillId="0" borderId="0" xfId="0" applyFont="1"/>
    <xf numFmtId="164" fontId="12" fillId="0" borderId="0" xfId="0" applyNumberFormat="1" applyFont="1"/>
    <xf numFmtId="0" fontId="12" fillId="0" borderId="3" xfId="0" applyFont="1" applyBorder="1" applyAlignment="1">
      <alignment horizontal="center" vertical="center" wrapText="1"/>
    </xf>
    <xf numFmtId="0" fontId="12" fillId="0" borderId="4" xfId="0" applyFont="1" applyBorder="1" applyAlignment="1">
      <alignment horizontal="center" vertical="center" wrapText="1"/>
    </xf>
    <xf numFmtId="0" fontId="14" fillId="0" borderId="1" xfId="0" applyFont="1" applyBorder="1" applyAlignment="1">
      <alignment horizontal="center" wrapText="1"/>
    </xf>
    <xf numFmtId="0" fontId="12" fillId="0" borderId="1" xfId="0" applyFont="1" applyBorder="1" applyAlignment="1">
      <alignment horizontal="left" wrapText="1"/>
    </xf>
    <xf numFmtId="0" fontId="13" fillId="0" borderId="0" xfId="0" applyFont="1" applyAlignment="1">
      <alignment horizontal="center" vertical="top" wrapText="1"/>
    </xf>
    <xf numFmtId="0" fontId="12" fillId="0" borderId="0" xfId="0" applyFont="1" applyAlignment="1">
      <alignment horizontal="left" vertical="top" wrapText="1"/>
    </xf>
    <xf numFmtId="0" fontId="12" fillId="0" borderId="0" xfId="0" applyFont="1" applyAlignment="1">
      <alignment horizontal="right" vertical="top"/>
    </xf>
    <xf numFmtId="0" fontId="18" fillId="0" borderId="0" xfId="0" applyFont="1" applyAlignment="1">
      <alignment horizontal="right" vertical="top" wrapText="1"/>
    </xf>
    <xf numFmtId="0" fontId="12" fillId="0" borderId="0" xfId="0" applyFont="1" applyAlignment="1">
      <alignment horizontal="right" vertical="top" wrapText="1"/>
    </xf>
    <xf numFmtId="164" fontId="12" fillId="0" borderId="0" xfId="0" applyNumberFormat="1" applyFont="1" applyAlignment="1">
      <alignment horizontal="right" vertical="top"/>
    </xf>
    <xf numFmtId="0" fontId="12" fillId="0" borderId="0" xfId="0" quotePrefix="1" applyFont="1" applyAlignment="1">
      <alignment horizontal="right" vertical="top" wrapText="1"/>
    </xf>
    <xf numFmtId="164" fontId="18" fillId="0" borderId="0" xfId="0" applyNumberFormat="1" applyFont="1" applyAlignment="1">
      <alignment horizontal="right" vertical="top"/>
    </xf>
    <xf numFmtId="0" fontId="12" fillId="0" borderId="1" xfId="0" applyFont="1" applyBorder="1" applyAlignment="1">
      <alignment horizontal="left" vertical="top" wrapText="1"/>
    </xf>
    <xf numFmtId="0" fontId="18" fillId="0" borderId="1" xfId="0" applyFont="1" applyBorder="1" applyAlignment="1">
      <alignment horizontal="right" vertical="top" wrapText="1"/>
    </xf>
    <xf numFmtId="0" fontId="12" fillId="0" borderId="1" xfId="0" applyFont="1" applyBorder="1" applyAlignment="1">
      <alignment horizontal="right" vertical="top"/>
    </xf>
    <xf numFmtId="164" fontId="12" fillId="0" borderId="1" xfId="0" applyNumberFormat="1" applyFont="1" applyBorder="1" applyAlignment="1">
      <alignment horizontal="right" vertical="top"/>
    </xf>
    <xf numFmtId="0" fontId="12" fillId="0" borderId="1" xfId="0" quotePrefix="1" applyFont="1" applyBorder="1" applyAlignment="1">
      <alignment horizontal="right" vertical="top" wrapText="1"/>
    </xf>
    <xf numFmtId="0" fontId="17" fillId="0" borderId="0" xfId="0" applyFont="1" applyAlignment="1">
      <alignment vertical="top"/>
    </xf>
    <xf numFmtId="164" fontId="0" fillId="0" borderId="0" xfId="0" applyNumberFormat="1"/>
    <xf numFmtId="0" fontId="10" fillId="0" borderId="0" xfId="0" applyFont="1" applyAlignment="1">
      <alignment vertical="top" wrapText="1"/>
    </xf>
    <xf numFmtId="0" fontId="17" fillId="0" borderId="0" xfId="0" applyFont="1" applyAlignment="1">
      <alignment horizontal="left" wrapText="1"/>
    </xf>
    <xf numFmtId="0" fontId="19" fillId="0" borderId="1" xfId="0" applyFont="1" applyBorder="1" applyAlignment="1">
      <alignment horizontal="left" vertical="top" wrapText="1"/>
    </xf>
    <xf numFmtId="0" fontId="20" fillId="0" borderId="1" xfId="0" applyFont="1" applyBorder="1" applyAlignment="1">
      <alignment horizontal="right" vertical="top" wrapText="1"/>
    </xf>
    <xf numFmtId="0" fontId="19" fillId="0" borderId="1" xfId="0" applyFont="1" applyBorder="1" applyAlignment="1">
      <alignment horizontal="right" vertical="top"/>
    </xf>
    <xf numFmtId="164" fontId="19" fillId="0" borderId="1" xfId="0" applyNumberFormat="1" applyFont="1" applyBorder="1" applyAlignment="1">
      <alignment horizontal="right" vertical="top"/>
    </xf>
    <xf numFmtId="0" fontId="19" fillId="0" borderId="1" xfId="0" quotePrefix="1" applyFont="1" applyBorder="1" applyAlignment="1">
      <alignment horizontal="right" vertical="top" wrapText="1"/>
    </xf>
    <xf numFmtId="0" fontId="22" fillId="0" borderId="0" xfId="0" applyFont="1"/>
    <xf numFmtId="0" fontId="23" fillId="0" borderId="0" xfId="0" applyFont="1" applyAlignment="1">
      <alignment vertical="top"/>
    </xf>
    <xf numFmtId="0" fontId="0" fillId="0" borderId="1" xfId="0" applyBorder="1"/>
    <xf numFmtId="0" fontId="10" fillId="0" borderId="1" xfId="0" applyFont="1" applyBorder="1" applyAlignment="1">
      <alignment vertical="top" wrapText="1"/>
    </xf>
    <xf numFmtId="0" fontId="12" fillId="0" borderId="1" xfId="0" applyFont="1" applyBorder="1"/>
    <xf numFmtId="0" fontId="12" fillId="0" borderId="0" xfId="0" applyFont="1" applyAlignment="1">
      <alignment horizontal="center" vertical="top" wrapText="1"/>
    </xf>
    <xf numFmtId="0" fontId="12" fillId="0" borderId="3" xfId="0" applyFont="1" applyBorder="1" applyAlignment="1">
      <alignment horizontal="center" vertical="top" wrapText="1"/>
    </xf>
    <xf numFmtId="0" fontId="12" fillId="0" borderId="0" xfId="0" applyFont="1" applyAlignment="1">
      <alignment horizontal="right" vertical="center"/>
    </xf>
    <xf numFmtId="0" fontId="12" fillId="0" borderId="0" xfId="0" applyFont="1" applyAlignment="1">
      <alignment horizontal="left"/>
    </xf>
    <xf numFmtId="0" fontId="11" fillId="0" borderId="2" xfId="0" applyFont="1" applyBorder="1" applyAlignment="1">
      <alignment horizontal="center"/>
    </xf>
    <xf numFmtId="0" fontId="17" fillId="0" borderId="0" xfId="0" applyFont="1" applyAlignment="1">
      <alignment horizontal="left" wrapText="1"/>
    </xf>
    <xf numFmtId="164" fontId="17" fillId="0" borderId="0" xfId="0" applyNumberFormat="1" applyFont="1" applyAlignment="1">
      <alignment horizontal="right" vertical="top"/>
    </xf>
    <xf numFmtId="0" fontId="17" fillId="0" borderId="0" xfId="0" applyFont="1" applyAlignment="1">
      <alignment horizontal="right" vertical="top"/>
    </xf>
    <xf numFmtId="164" fontId="17" fillId="0" borderId="2" xfId="0" applyNumberFormat="1" applyFont="1" applyBorder="1" applyAlignment="1">
      <alignment horizontal="right" vertical="top"/>
    </xf>
    <xf numFmtId="0" fontId="13" fillId="0" borderId="0" xfId="0" applyFont="1" applyAlignment="1">
      <alignment horizontal="center" vertical="top" wrapText="1"/>
    </xf>
    <xf numFmtId="164" fontId="23" fillId="0" borderId="2" xfId="0" applyNumberFormat="1" applyFont="1" applyBorder="1" applyAlignment="1">
      <alignment horizontal="right" vertical="top"/>
    </xf>
    <xf numFmtId="0" fontId="12" fillId="0" borderId="1" xfId="0" applyFont="1" applyBorder="1" applyAlignment="1">
      <alignment horizontal="left" wrapText="1"/>
    </xf>
    <xf numFmtId="0" fontId="12" fillId="0" borderId="0" xfId="1" applyFont="1" applyAlignment="1">
      <alignment horizontal="left"/>
    </xf>
    <xf numFmtId="0" fontId="16" fillId="0" borderId="1" xfId="0" applyFont="1" applyBorder="1" applyAlignment="1">
      <alignment horizontal="center" wrapText="1"/>
    </xf>
    <xf numFmtId="0" fontId="11" fillId="0" borderId="0" xfId="0" applyFont="1" applyAlignment="1">
      <alignment horizontal="center" wrapText="1"/>
    </xf>
    <xf numFmtId="0" fontId="0" fillId="0" borderId="0" xfId="0"/>
    <xf numFmtId="0" fontId="17" fillId="0" borderId="0" xfId="0" applyFont="1" applyAlignment="1">
      <alignment horizontal="left"/>
    </xf>
    <xf numFmtId="0" fontId="12" fillId="0" borderId="0" xfId="0" applyFont="1" applyAlignment="1">
      <alignment horizontal="left" wrapText="1"/>
    </xf>
    <xf numFmtId="0" fontId="12" fillId="0" borderId="0" xfId="0" applyFont="1" applyAlignment="1">
      <alignment horizontal="right"/>
    </xf>
    <xf numFmtId="0" fontId="14" fillId="0" borderId="1" xfId="0" applyFont="1" applyBorder="1" applyAlignment="1">
      <alignment horizontal="center" wrapText="1"/>
    </xf>
    <xf numFmtId="0" fontId="15" fillId="0" borderId="1" xfId="0" applyFont="1" applyBorder="1" applyAlignment="1">
      <alignment horizontal="center" wrapText="1"/>
    </xf>
    <xf numFmtId="0" fontId="14" fillId="0" borderId="0" xfId="0" applyFont="1" applyAlignment="1">
      <alignment horizontal="left"/>
    </xf>
  </cellXfs>
  <cellStyles count="2">
    <cellStyle name="Обычный" xfId="0" builtinId="0"/>
    <cellStyle name="Обычный 4" xfId="1" xr:uid="{D856CC56-7C8C-4ADF-8182-CFF73AE2E0F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A6F4FC-BA0F-4E2E-8EE9-2C78D81ECB02}">
  <sheetPr>
    <pageSetUpPr fitToPage="1"/>
  </sheetPr>
  <dimension ref="A1:AQ454"/>
  <sheetViews>
    <sheetView tabSelected="1" view="pageBreakPreview" topLeftCell="A428" zoomScaleNormal="100" zoomScaleSheetLayoutView="100" workbookViewId="0">
      <selection activeCell="A445" sqref="A445:XFD445"/>
    </sheetView>
  </sheetViews>
  <sheetFormatPr defaultRowHeight="12.5" x14ac:dyDescent="0.25"/>
  <cols>
    <col min="1" max="1" width="5.6328125" customWidth="1"/>
    <col min="2" max="2" width="11.6328125" customWidth="1"/>
    <col min="3" max="3" width="40.6328125" customWidth="1"/>
    <col min="4" max="4" width="11.6328125" customWidth="1"/>
    <col min="5" max="5" width="7.7265625" bestFit="1" customWidth="1"/>
    <col min="6" max="6" width="9.6328125" bestFit="1" customWidth="1"/>
    <col min="7" max="7" width="8.453125" bestFit="1" customWidth="1"/>
    <col min="9" max="9" width="9.90625" bestFit="1" customWidth="1"/>
    <col min="10" max="10" width="9.81640625" bestFit="1" customWidth="1"/>
    <col min="11" max="11" width="12.54296875" bestFit="1" customWidth="1"/>
    <col min="15" max="41" width="0" hidden="1" customWidth="1"/>
    <col min="42" max="42" width="127.26953125" hidden="1" customWidth="1"/>
    <col min="43" max="43" width="94.90625" hidden="1" customWidth="1"/>
    <col min="44" max="47" width="0" hidden="1" customWidth="1"/>
  </cols>
  <sheetData>
    <row r="1" spans="1:42" x14ac:dyDescent="0.25">
      <c r="A1" s="15" t="str">
        <f>Source!B1</f>
        <v>Smeta.RU  (495) 974-1589</v>
      </c>
    </row>
    <row r="2" spans="1:42" ht="14" x14ac:dyDescent="0.3">
      <c r="A2" s="16"/>
      <c r="B2" s="16"/>
      <c r="C2" s="16"/>
      <c r="D2" s="16"/>
      <c r="E2" s="16"/>
      <c r="F2" s="16"/>
      <c r="G2" s="16"/>
      <c r="H2" s="16"/>
      <c r="I2" s="16"/>
      <c r="J2" s="74" t="s">
        <v>630</v>
      </c>
      <c r="K2" s="74"/>
    </row>
    <row r="3" spans="1:42" ht="16.5" hidden="1" x14ac:dyDescent="0.35">
      <c r="A3" s="18"/>
      <c r="B3" s="77" t="s">
        <v>628</v>
      </c>
      <c r="C3" s="77"/>
      <c r="D3" s="77"/>
      <c r="E3" s="77"/>
      <c r="F3" s="17"/>
      <c r="G3" s="77" t="s">
        <v>629</v>
      </c>
      <c r="H3" s="77"/>
      <c r="I3" s="77"/>
      <c r="J3" s="77"/>
      <c r="K3" s="77"/>
    </row>
    <row r="4" spans="1:42" ht="14" hidden="1" x14ac:dyDescent="0.3">
      <c r="A4" s="17"/>
      <c r="B4" s="59"/>
      <c r="C4" s="59"/>
      <c r="D4" s="59"/>
      <c r="E4" s="59"/>
      <c r="F4" s="17"/>
      <c r="G4" s="59"/>
      <c r="H4" s="59"/>
      <c r="I4" s="59"/>
      <c r="J4" s="59"/>
      <c r="K4" s="59"/>
    </row>
    <row r="5" spans="1:42" ht="14" hidden="1" x14ac:dyDescent="0.3">
      <c r="A5" s="17"/>
      <c r="B5" s="17"/>
      <c r="C5" s="19"/>
      <c r="D5" s="19"/>
      <c r="E5" s="19"/>
      <c r="F5" s="17"/>
      <c r="G5" s="19"/>
      <c r="H5" s="19"/>
      <c r="I5" s="19"/>
      <c r="J5" s="19"/>
      <c r="K5" s="19"/>
    </row>
    <row r="6" spans="1:42" ht="14" hidden="1" x14ac:dyDescent="0.3">
      <c r="A6" s="19"/>
      <c r="B6" s="59" t="str">
        <f>CONCATENATE("______________________ ", IF(Source!AL12&lt;&gt;"", Source!AL12, ""))</f>
        <v xml:space="preserve">______________________ </v>
      </c>
      <c r="C6" s="59"/>
      <c r="D6" s="59"/>
      <c r="E6" s="59"/>
      <c r="F6" s="17"/>
      <c r="G6" s="59" t="str">
        <f>CONCATENATE("______________________ ", IF(Source!AH12&lt;&gt;"", Source!AH12, ""))</f>
        <v xml:space="preserve">______________________ </v>
      </c>
      <c r="H6" s="59"/>
      <c r="I6" s="59"/>
      <c r="J6" s="59"/>
      <c r="K6" s="59"/>
    </row>
    <row r="7" spans="1:42" ht="14" hidden="1" x14ac:dyDescent="0.3">
      <c r="A7" s="20"/>
      <c r="B7" s="73" t="s">
        <v>631</v>
      </c>
      <c r="C7" s="73"/>
      <c r="D7" s="73"/>
      <c r="E7" s="73"/>
      <c r="F7" s="17"/>
      <c r="G7" s="73" t="s">
        <v>631</v>
      </c>
      <c r="H7" s="73"/>
      <c r="I7" s="73"/>
      <c r="J7" s="73"/>
      <c r="K7" s="73"/>
    </row>
    <row r="8" spans="1:42" hidden="1" x14ac:dyDescent="0.25"/>
    <row r="9" spans="1:42" ht="14" x14ac:dyDescent="0.3">
      <c r="A9" s="17"/>
      <c r="B9" s="17"/>
      <c r="C9" s="17"/>
      <c r="D9" s="17"/>
      <c r="E9" s="17"/>
      <c r="F9" s="17"/>
      <c r="G9" s="17"/>
      <c r="H9" s="17"/>
      <c r="I9" s="17"/>
      <c r="J9" s="17"/>
      <c r="K9" s="17"/>
    </row>
    <row r="10" spans="1:42" ht="46.5" x14ac:dyDescent="0.35">
      <c r="A10" s="75" t="s">
        <v>700</v>
      </c>
      <c r="B10" s="75"/>
      <c r="C10" s="75"/>
      <c r="D10" s="75"/>
      <c r="E10" s="75"/>
      <c r="F10" s="75"/>
      <c r="G10" s="75"/>
      <c r="H10" s="75"/>
      <c r="I10" s="75"/>
      <c r="J10" s="75"/>
      <c r="K10" s="75"/>
      <c r="AP10" s="27" t="s">
        <v>653</v>
      </c>
    </row>
    <row r="11" spans="1:42" x14ac:dyDescent="0.25">
      <c r="A11" s="60" t="s">
        <v>632</v>
      </c>
      <c r="B11" s="60"/>
      <c r="C11" s="60"/>
      <c r="D11" s="60"/>
      <c r="E11" s="60"/>
      <c r="F11" s="60"/>
      <c r="G11" s="60"/>
      <c r="H11" s="60"/>
      <c r="I11" s="60"/>
      <c r="J11" s="60"/>
      <c r="K11" s="60"/>
    </row>
    <row r="12" spans="1:42" ht="14" x14ac:dyDescent="0.3">
      <c r="A12" s="17"/>
      <c r="B12" s="17"/>
      <c r="C12" s="17"/>
      <c r="D12" s="17"/>
      <c r="E12" s="17"/>
      <c r="F12" s="17"/>
      <c r="G12" s="17"/>
      <c r="H12" s="17"/>
      <c r="I12" s="17"/>
      <c r="J12" s="17"/>
      <c r="K12" s="17"/>
    </row>
    <row r="13" spans="1:42" ht="15.5" x14ac:dyDescent="0.35">
      <c r="A13" s="75" t="str">
        <f>CONCATENATE( "ЛОКАЛЬНАЯ СМЕТА № ",IF(Source!F12&lt;&gt;"Новый объект", Source!F12, ""))</f>
        <v>ЛОКАЛЬНАЯ СМЕТА № 02-01-09</v>
      </c>
      <c r="B13" s="76"/>
      <c r="C13" s="76"/>
      <c r="D13" s="76"/>
      <c r="E13" s="76"/>
      <c r="F13" s="76"/>
      <c r="G13" s="76"/>
      <c r="H13" s="76"/>
      <c r="I13" s="76"/>
      <c r="J13" s="76"/>
      <c r="K13" s="76"/>
    </row>
    <row r="14" spans="1:42" ht="14" x14ac:dyDescent="0.3">
      <c r="A14" s="17"/>
      <c r="B14" s="17"/>
      <c r="C14" s="17"/>
      <c r="D14" s="17"/>
      <c r="E14" s="17"/>
      <c r="F14" s="17"/>
      <c r="G14" s="17"/>
      <c r="H14" s="17"/>
      <c r="I14" s="17"/>
      <c r="J14" s="17"/>
      <c r="K14" s="17"/>
    </row>
    <row r="15" spans="1:42" ht="18" x14ac:dyDescent="0.4">
      <c r="A15" s="69" t="str">
        <f>Source!G20</f>
        <v>Система оповещения и управления эвакуацией</v>
      </c>
      <c r="B15" s="69"/>
      <c r="C15" s="69"/>
      <c r="D15" s="69"/>
      <c r="E15" s="69"/>
      <c r="F15" s="69"/>
      <c r="G15" s="69"/>
      <c r="H15" s="69"/>
      <c r="I15" s="69"/>
      <c r="J15" s="69"/>
      <c r="K15" s="69"/>
    </row>
    <row r="16" spans="1:42" x14ac:dyDescent="0.25">
      <c r="A16" s="70" t="s">
        <v>633</v>
      </c>
      <c r="B16" s="71"/>
      <c r="C16" s="71"/>
      <c r="D16" s="71"/>
      <c r="E16" s="71"/>
      <c r="F16" s="71"/>
      <c r="G16" s="71"/>
      <c r="H16" s="71"/>
      <c r="I16" s="71"/>
      <c r="J16" s="71"/>
      <c r="K16" s="71"/>
    </row>
    <row r="17" spans="1:42" ht="14" x14ac:dyDescent="0.3">
      <c r="A17" s="17"/>
      <c r="B17" s="17"/>
      <c r="C17" s="17"/>
      <c r="D17" s="17"/>
      <c r="E17" s="17"/>
      <c r="F17" s="17"/>
      <c r="G17" s="17"/>
      <c r="H17" s="17"/>
      <c r="I17" s="17"/>
      <c r="J17" s="17"/>
      <c r="K17" s="17"/>
    </row>
    <row r="18" spans="1:42" ht="14" x14ac:dyDescent="0.3">
      <c r="A18" s="67" t="str">
        <f>CONCATENATE( "Основание: чертежи № ", Source!J12)</f>
        <v>Основание: чертежи № 2024-00375-01-0-ИОС5.2.</v>
      </c>
      <c r="B18" s="67"/>
      <c r="C18" s="67"/>
      <c r="D18" s="67"/>
      <c r="E18" s="67"/>
      <c r="F18" s="67"/>
      <c r="G18" s="67"/>
      <c r="H18" s="67"/>
      <c r="I18" s="67"/>
      <c r="J18" s="67"/>
      <c r="K18" s="67"/>
    </row>
    <row r="19" spans="1:42" ht="14" x14ac:dyDescent="0.3">
      <c r="A19" s="21"/>
      <c r="B19" s="21"/>
      <c r="C19" s="21"/>
      <c r="D19" s="21"/>
      <c r="E19" s="21"/>
      <c r="F19" s="21"/>
      <c r="G19" s="21"/>
      <c r="H19" s="21"/>
      <c r="I19" s="21"/>
      <c r="J19" s="21"/>
      <c r="K19" s="21"/>
    </row>
    <row r="20" spans="1:42" ht="56" x14ac:dyDescent="0.3">
      <c r="A20" s="17"/>
      <c r="B20" s="17"/>
      <c r="C20" s="17"/>
      <c r="D20" s="17"/>
      <c r="E20" s="17"/>
      <c r="F20" s="17"/>
      <c r="G20" s="17"/>
      <c r="H20" s="17"/>
      <c r="I20" s="56" t="s">
        <v>634</v>
      </c>
      <c r="J20" s="56" t="s">
        <v>635</v>
      </c>
      <c r="K20" s="17"/>
    </row>
    <row r="21" spans="1:42" ht="14" x14ac:dyDescent="0.3">
      <c r="A21" s="17"/>
      <c r="B21" s="17"/>
      <c r="C21" s="17"/>
      <c r="D21" s="17"/>
      <c r="E21" s="72" t="s">
        <v>636</v>
      </c>
      <c r="F21" s="72"/>
      <c r="G21" s="72"/>
      <c r="H21" s="72"/>
      <c r="I21" s="22">
        <f>I22+I23+I24+I25</f>
        <v>410.23</v>
      </c>
      <c r="J21" s="22">
        <f>J22+J23+J24+J25</f>
        <v>8624.83</v>
      </c>
      <c r="K21" s="23" t="s">
        <v>696</v>
      </c>
    </row>
    <row r="22" spans="1:42" ht="14" x14ac:dyDescent="0.3">
      <c r="A22" s="17"/>
      <c r="B22" s="17"/>
      <c r="C22" s="17"/>
      <c r="D22" s="17"/>
      <c r="E22" s="59" t="s">
        <v>88</v>
      </c>
      <c r="F22" s="59"/>
      <c r="G22" s="59"/>
      <c r="H22" s="59"/>
      <c r="I22" s="24">
        <f>ROUND((Source!F406)/1000, 2)</f>
        <v>0.88</v>
      </c>
      <c r="J22" s="24">
        <f>ROUND((Source!P406)/1000, 2)</f>
        <v>12.92</v>
      </c>
      <c r="K22" s="17" t="s">
        <v>696</v>
      </c>
    </row>
    <row r="23" spans="1:42" ht="14" x14ac:dyDescent="0.3">
      <c r="A23" s="17"/>
      <c r="B23" s="17"/>
      <c r="C23" s="17"/>
      <c r="D23" s="17"/>
      <c r="E23" s="59" t="s">
        <v>637</v>
      </c>
      <c r="F23" s="59"/>
      <c r="G23" s="59"/>
      <c r="H23" s="59"/>
      <c r="I23" s="24">
        <f>ROUND((Source!F407)/1000, 2)</f>
        <v>232.84</v>
      </c>
      <c r="J23" s="24">
        <f>ROUND((Source!P407)/1000, 2)</f>
        <v>7294.27</v>
      </c>
      <c r="K23" s="17" t="s">
        <v>696</v>
      </c>
    </row>
    <row r="24" spans="1:42" ht="14" x14ac:dyDescent="0.3">
      <c r="A24" s="17"/>
      <c r="B24" s="17"/>
      <c r="C24" s="17"/>
      <c r="D24" s="17"/>
      <c r="E24" s="59" t="s">
        <v>638</v>
      </c>
      <c r="F24" s="59"/>
      <c r="G24" s="59"/>
      <c r="H24" s="59"/>
      <c r="I24" s="24">
        <f>ROUND((Source!F398)/1000, 2)</f>
        <v>176.51</v>
      </c>
      <c r="J24" s="24">
        <f>ROUND((Source!P398)/1000, 2)</f>
        <v>1317.64</v>
      </c>
      <c r="K24" s="17" t="s">
        <v>696</v>
      </c>
    </row>
    <row r="25" spans="1:42" ht="14" x14ac:dyDescent="0.3">
      <c r="A25" s="17"/>
      <c r="B25" s="17"/>
      <c r="C25" s="17"/>
      <c r="D25" s="17"/>
      <c r="E25" s="59" t="s">
        <v>639</v>
      </c>
      <c r="F25" s="59"/>
      <c r="G25" s="59"/>
      <c r="H25" s="59"/>
      <c r="I25" s="24">
        <f>ROUND((Source!F408+Source!F409)/1000, 2)</f>
        <v>0</v>
      </c>
      <c r="J25" s="24">
        <f>ROUND((Source!P408+Source!P409)/1000, 2)</f>
        <v>0</v>
      </c>
      <c r="K25" s="17" t="s">
        <v>696</v>
      </c>
    </row>
    <row r="26" spans="1:42" ht="14" x14ac:dyDescent="0.3">
      <c r="A26" s="17"/>
      <c r="B26" s="17"/>
      <c r="C26" s="17"/>
      <c r="D26" s="17"/>
      <c r="E26" s="59" t="s">
        <v>640</v>
      </c>
      <c r="F26" s="59"/>
      <c r="G26" s="59"/>
      <c r="H26" s="59"/>
      <c r="I26" s="24">
        <f>(Source!F404+ Source!F403)/1000</f>
        <v>41.679340000000003</v>
      </c>
      <c r="J26" s="24">
        <f>((Source!P404 + Source!P403)/1000)</f>
        <v>2348.6308000000004</v>
      </c>
      <c r="K26" s="17" t="s">
        <v>696</v>
      </c>
    </row>
    <row r="27" spans="1:42" ht="14" x14ac:dyDescent="0.3">
      <c r="A27" s="17"/>
      <c r="B27" s="17"/>
      <c r="C27" s="17"/>
      <c r="D27" s="17"/>
      <c r="E27" s="59" t="s">
        <v>641</v>
      </c>
      <c r="F27" s="59"/>
      <c r="G27" s="59"/>
      <c r="H27" s="59"/>
      <c r="I27" s="24">
        <f>Source!F411</f>
        <v>3479.8297069199998</v>
      </c>
      <c r="J27" s="24"/>
      <c r="K27" s="17" t="s">
        <v>387</v>
      </c>
    </row>
    <row r="28" spans="1:42" ht="14" hidden="1" x14ac:dyDescent="0.3">
      <c r="A28" s="17"/>
      <c r="B28" s="17"/>
      <c r="C28" s="17"/>
      <c r="D28" s="17"/>
      <c r="E28" s="59" t="s">
        <v>642</v>
      </c>
      <c r="F28" s="59"/>
      <c r="G28" s="59"/>
      <c r="H28" s="59"/>
      <c r="I28" s="24"/>
      <c r="J28" s="24"/>
      <c r="K28" s="17"/>
    </row>
    <row r="29" spans="1:42" ht="14" hidden="1" x14ac:dyDescent="0.3">
      <c r="A29" s="17"/>
      <c r="B29" s="17"/>
      <c r="C29" s="17"/>
      <c r="D29" s="17"/>
      <c r="E29" s="68" t="s">
        <v>131</v>
      </c>
      <c r="F29" s="68"/>
      <c r="G29" s="68"/>
      <c r="H29" s="68"/>
      <c r="I29" s="24">
        <f>SUM(Y1:Y447)/1000</f>
        <v>0</v>
      </c>
      <c r="J29" s="24">
        <f>SUM(Z1:Z447)/1000</f>
        <v>0</v>
      </c>
      <c r="K29" s="17" t="s">
        <v>696</v>
      </c>
    </row>
    <row r="30" spans="1:42" ht="14" x14ac:dyDescent="0.3">
      <c r="A30" s="17"/>
      <c r="B30" s="17"/>
      <c r="C30" s="17"/>
      <c r="D30" s="17"/>
      <c r="E30" s="17"/>
      <c r="F30" s="19"/>
      <c r="G30" s="19"/>
      <c r="H30" s="19"/>
      <c r="I30" s="24"/>
      <c r="J30" s="24"/>
      <c r="K30" s="17"/>
    </row>
    <row r="31" spans="1:42" ht="14" x14ac:dyDescent="0.3">
      <c r="A31" s="17" t="s">
        <v>654</v>
      </c>
      <c r="B31" s="17"/>
      <c r="C31" s="17"/>
      <c r="D31" s="17"/>
      <c r="E31" s="17"/>
      <c r="F31" s="19"/>
      <c r="G31" s="19"/>
      <c r="H31" s="19"/>
      <c r="I31" s="24"/>
      <c r="J31" s="24"/>
      <c r="K31" s="17"/>
    </row>
    <row r="32" spans="1:42" ht="28" x14ac:dyDescent="0.3">
      <c r="A32" s="67" t="s">
        <v>655</v>
      </c>
      <c r="B32" s="67"/>
      <c r="C32" s="67"/>
      <c r="D32" s="67"/>
      <c r="E32" s="67"/>
      <c r="F32" s="67"/>
      <c r="G32" s="67"/>
      <c r="H32" s="67"/>
      <c r="I32" s="67"/>
      <c r="J32" s="67"/>
      <c r="K32" s="67"/>
      <c r="AP32" s="28" t="s">
        <v>655</v>
      </c>
    </row>
    <row r="33" spans="1:42" ht="98" x14ac:dyDescent="0.25">
      <c r="A33" s="25" t="s">
        <v>643</v>
      </c>
      <c r="B33" s="25" t="s">
        <v>644</v>
      </c>
      <c r="C33" s="25" t="s">
        <v>645</v>
      </c>
      <c r="D33" s="25" t="s">
        <v>646</v>
      </c>
      <c r="E33" s="25" t="s">
        <v>647</v>
      </c>
      <c r="F33" s="25" t="s">
        <v>648</v>
      </c>
      <c r="G33" s="26" t="s">
        <v>649</v>
      </c>
      <c r="H33" s="26" t="s">
        <v>650</v>
      </c>
      <c r="I33" s="25" t="s">
        <v>656</v>
      </c>
      <c r="J33" s="57" t="s">
        <v>651</v>
      </c>
      <c r="K33" s="25" t="s">
        <v>652</v>
      </c>
    </row>
    <row r="34" spans="1:42" ht="14" x14ac:dyDescent="0.25">
      <c r="A34" s="25">
        <v>1</v>
      </c>
      <c r="B34" s="25">
        <v>2</v>
      </c>
      <c r="C34" s="25">
        <v>3</v>
      </c>
      <c r="D34" s="25">
        <v>4</v>
      </c>
      <c r="E34" s="25">
        <v>5</v>
      </c>
      <c r="F34" s="25">
        <v>6</v>
      </c>
      <c r="G34" s="25">
        <v>7</v>
      </c>
      <c r="H34" s="25">
        <v>8</v>
      </c>
      <c r="I34" s="25">
        <v>9</v>
      </c>
      <c r="J34" s="25">
        <v>10</v>
      </c>
      <c r="K34" s="25">
        <v>11</v>
      </c>
    </row>
    <row r="36" spans="1:42" ht="16.5" x14ac:dyDescent="0.25">
      <c r="A36" s="65" t="str">
        <f>CONCATENATE("Локальная смета: ",IF(Source!G20&lt;&gt;"Новая локальная смета", Source!G20, ""))</f>
        <v>Локальная смета: Система оповещения и управления эвакуацией</v>
      </c>
      <c r="B36" s="65"/>
      <c r="C36" s="65"/>
      <c r="D36" s="65"/>
      <c r="E36" s="65"/>
      <c r="F36" s="65"/>
      <c r="G36" s="65"/>
      <c r="H36" s="65"/>
      <c r="I36" s="65"/>
      <c r="J36" s="65"/>
      <c r="K36" s="65"/>
    </row>
    <row r="38" spans="1:42" ht="16.5" x14ac:dyDescent="0.25">
      <c r="A38" s="65" t="str">
        <f>CONCATENATE("Раздел: ",IF(Source!G24&lt;&gt;"Новый раздел", Source!G24, ""))</f>
        <v>Раздел: Демонтажные работы (письмо от  АНО «РГТ» об утверждении объёмов демонтажных работ)</v>
      </c>
      <c r="B38" s="65"/>
      <c r="C38" s="65"/>
      <c r="D38" s="65"/>
      <c r="E38" s="65"/>
      <c r="F38" s="65"/>
      <c r="G38" s="65"/>
      <c r="H38" s="65"/>
      <c r="I38" s="65"/>
      <c r="J38" s="65"/>
      <c r="K38" s="65"/>
      <c r="AP38" s="29" t="str">
        <f>CONCATENATE("Раздел: ",IF(Source!G24&lt;&gt;"Новый раздел", Source!G24, ""))</f>
        <v>Раздел: Демонтажные работы (письмо от  АНО «РГТ» об утверждении объёмов демонтажных работ)</v>
      </c>
    </row>
    <row r="39" spans="1:42" ht="56" x14ac:dyDescent="0.25">
      <c r="A39" s="30">
        <v>1</v>
      </c>
      <c r="B39" s="30" t="str">
        <f>Source!F28</f>
        <v>4.10-32-2</v>
      </c>
      <c r="C39" s="30" t="s">
        <v>26</v>
      </c>
      <c r="D39" s="32" t="str">
        <f>Source!H28</f>
        <v>1  ШТ.</v>
      </c>
      <c r="E39" s="31">
        <f>Source!I28</f>
        <v>1</v>
      </c>
      <c r="F39" s="34"/>
      <c r="G39" s="33"/>
      <c r="H39" s="31"/>
      <c r="I39" s="34"/>
      <c r="J39" s="31"/>
      <c r="K39" s="34"/>
      <c r="Q39">
        <f>Source!X28</f>
        <v>53.14</v>
      </c>
      <c r="R39">
        <f>Source!X29</f>
        <v>2994.21</v>
      </c>
      <c r="S39">
        <f>Source!Y28</f>
        <v>27.16</v>
      </c>
      <c r="T39">
        <f>Source!Y29</f>
        <v>1530.37</v>
      </c>
      <c r="U39">
        <f>ROUND((175/100)*ROUND(Source!R28, 2), 2)</f>
        <v>4.5</v>
      </c>
      <c r="V39">
        <f>ROUND((0/100)*ROUND(Source!R29, 2), 2)</f>
        <v>0</v>
      </c>
      <c r="AC39">
        <v>0</v>
      </c>
    </row>
    <row r="40" spans="1:42" ht="14.5" x14ac:dyDescent="0.25">
      <c r="A40" s="30"/>
      <c r="B40" s="30"/>
      <c r="C40" s="30" t="s">
        <v>657</v>
      </c>
      <c r="D40" s="32"/>
      <c r="E40" s="31"/>
      <c r="F40" s="34">
        <f>Source!AO28</f>
        <v>149.81</v>
      </c>
      <c r="G40" s="35" t="s">
        <v>658</v>
      </c>
      <c r="H40" s="31">
        <f>Source!AV29</f>
        <v>1.0469999999999999</v>
      </c>
      <c r="I40" s="34">
        <f>Source!S28</f>
        <v>56.47</v>
      </c>
      <c r="J40" s="31">
        <f>IF(Source!BA29&lt;&gt; 0, Source!BA29, 1)</f>
        <v>56.35</v>
      </c>
      <c r="K40" s="34">
        <f>Source!S29</f>
        <v>3182.08</v>
      </c>
    </row>
    <row r="41" spans="1:42" ht="14.5" x14ac:dyDescent="0.25">
      <c r="A41" s="30"/>
      <c r="B41" s="30"/>
      <c r="C41" s="30" t="s">
        <v>659</v>
      </c>
      <c r="D41" s="32"/>
      <c r="E41" s="31"/>
      <c r="F41" s="34">
        <f>Source!AM28</f>
        <v>63.24</v>
      </c>
      <c r="G41" s="35" t="s">
        <v>658</v>
      </c>
      <c r="H41" s="31">
        <f>Source!AV29</f>
        <v>1.0469999999999999</v>
      </c>
      <c r="I41" s="34">
        <f>Source!Q28</f>
        <v>23.84</v>
      </c>
      <c r="J41" s="31">
        <f>IF(Source!BB29&lt;&gt; 0, Source!BB29, 1)</f>
        <v>16.04</v>
      </c>
      <c r="K41" s="34">
        <f>Source!Q29</f>
        <v>382.39</v>
      </c>
    </row>
    <row r="42" spans="1:42" ht="14.5" x14ac:dyDescent="0.25">
      <c r="A42" s="30"/>
      <c r="B42" s="30"/>
      <c r="C42" s="30" t="s">
        <v>660</v>
      </c>
      <c r="D42" s="32"/>
      <c r="E42" s="31"/>
      <c r="F42" s="34">
        <f>Source!AN28</f>
        <v>6.81</v>
      </c>
      <c r="G42" s="35" t="s">
        <v>658</v>
      </c>
      <c r="H42" s="31">
        <f>Source!AV29</f>
        <v>1.0469999999999999</v>
      </c>
      <c r="I42" s="36">
        <f>Source!R28</f>
        <v>2.57</v>
      </c>
      <c r="J42" s="31">
        <f>IF(Source!BS29&lt;&gt; 0, Source!BS29, 1)</f>
        <v>56.35</v>
      </c>
      <c r="K42" s="36">
        <f>Source!R29</f>
        <v>144.82</v>
      </c>
    </row>
    <row r="43" spans="1:42" ht="14.5" x14ac:dyDescent="0.25">
      <c r="A43" s="30"/>
      <c r="B43" s="30"/>
      <c r="C43" s="30" t="s">
        <v>661</v>
      </c>
      <c r="D43" s="32" t="s">
        <v>662</v>
      </c>
      <c r="E43" s="31">
        <f>Source!BZ29</f>
        <v>90</v>
      </c>
      <c r="F43" s="34"/>
      <c r="G43" s="33"/>
      <c r="H43" s="31"/>
      <c r="I43" s="34">
        <f>SUM(Q39:Q42)</f>
        <v>53.14</v>
      </c>
      <c r="J43" s="31">
        <f>Source!AT29</f>
        <v>90</v>
      </c>
      <c r="K43" s="34">
        <f>SUM(R39:R42)</f>
        <v>2994.21</v>
      </c>
    </row>
    <row r="44" spans="1:42" ht="14.5" x14ac:dyDescent="0.25">
      <c r="A44" s="30"/>
      <c r="B44" s="30"/>
      <c r="C44" s="30" t="s">
        <v>663</v>
      </c>
      <c r="D44" s="32" t="s">
        <v>662</v>
      </c>
      <c r="E44" s="31">
        <f>Source!CA29</f>
        <v>46</v>
      </c>
      <c r="F44" s="34"/>
      <c r="G44" s="33"/>
      <c r="H44" s="31"/>
      <c r="I44" s="34">
        <f>SUM(S39:S43)</f>
        <v>27.16</v>
      </c>
      <c r="J44" s="31">
        <f>Source!AU29</f>
        <v>46</v>
      </c>
      <c r="K44" s="34">
        <f>SUM(T39:T43)</f>
        <v>1530.37</v>
      </c>
    </row>
    <row r="45" spans="1:42" ht="14.5" x14ac:dyDescent="0.25">
      <c r="A45" s="37"/>
      <c r="B45" s="37"/>
      <c r="C45" s="37" t="s">
        <v>664</v>
      </c>
      <c r="D45" s="38" t="s">
        <v>665</v>
      </c>
      <c r="E45" s="39">
        <f>Source!AQ28</f>
        <v>13.4</v>
      </c>
      <c r="F45" s="40"/>
      <c r="G45" s="41" t="s">
        <v>658</v>
      </c>
      <c r="H45" s="39">
        <f>Source!AV29</f>
        <v>1.0469999999999999</v>
      </c>
      <c r="I45" s="40">
        <f>Source!U28</f>
        <v>5.0507279999999986</v>
      </c>
      <c r="J45" s="39"/>
      <c r="K45" s="40"/>
    </row>
    <row r="46" spans="1:42" ht="14" x14ac:dyDescent="0.25">
      <c r="C46" s="42" t="s">
        <v>666</v>
      </c>
      <c r="H46" s="64">
        <f>I40+I41+I43+I44+0-0-0</f>
        <v>160.60999999999999</v>
      </c>
      <c r="I46" s="64"/>
      <c r="J46" s="64">
        <f>K40+K41+K43+K44+0-0-0</f>
        <v>8089.05</v>
      </c>
      <c r="K46" s="64"/>
    </row>
    <row r="47" spans="1:42" ht="14" hidden="1" x14ac:dyDescent="0.25">
      <c r="C47" s="42" t="s">
        <v>667</v>
      </c>
      <c r="H47" s="62">
        <f>0+0</f>
        <v>0</v>
      </c>
      <c r="I47" s="62"/>
      <c r="J47" s="62">
        <f>0+0</f>
        <v>0</v>
      </c>
      <c r="K47" s="62"/>
    </row>
    <row r="48" spans="1:42" ht="14" x14ac:dyDescent="0.25">
      <c r="C48" s="42" t="s">
        <v>668</v>
      </c>
      <c r="H48" s="62">
        <f>I40+I41+I43+I44+0</f>
        <v>160.60999999999999</v>
      </c>
      <c r="I48" s="62"/>
      <c r="J48" s="62">
        <f>K40+K41+K43+K44+0</f>
        <v>8089.05</v>
      </c>
      <c r="K48" s="62"/>
      <c r="O48" s="43">
        <f>I40+I41+I43+I44+0</f>
        <v>160.60999999999999</v>
      </c>
      <c r="P48" s="43">
        <f>K40+K41+K43+K44+0</f>
        <v>8089.05</v>
      </c>
    </row>
    <row r="50" spans="1:29" ht="42" x14ac:dyDescent="0.25">
      <c r="A50" s="30">
        <v>2</v>
      </c>
      <c r="B50" s="30" t="str">
        <f>Source!F30</f>
        <v>4.10-151-4</v>
      </c>
      <c r="C50" s="30" t="s">
        <v>37</v>
      </c>
      <c r="D50" s="32" t="str">
        <f>Source!H30</f>
        <v>1  ШТ.</v>
      </c>
      <c r="E50" s="31">
        <f>Source!I30</f>
        <v>1</v>
      </c>
      <c r="F50" s="34"/>
      <c r="G50" s="33"/>
      <c r="H50" s="31"/>
      <c r="I50" s="34"/>
      <c r="J50" s="31"/>
      <c r="K50" s="34"/>
      <c r="Q50">
        <f>Source!X30</f>
        <v>35.44</v>
      </c>
      <c r="R50">
        <f>Source!X31</f>
        <v>1997.15</v>
      </c>
      <c r="S50">
        <f>Source!Y30</f>
        <v>18.11</v>
      </c>
      <c r="T50">
        <f>Source!Y31</f>
        <v>1020.77</v>
      </c>
      <c r="U50">
        <f>ROUND((175/100)*ROUND(Source!R30, 2), 2)</f>
        <v>0</v>
      </c>
      <c r="V50">
        <f>ROUND((0/100)*ROUND(Source!R31, 2), 2)</f>
        <v>0</v>
      </c>
      <c r="AC50">
        <v>0</v>
      </c>
    </row>
    <row r="51" spans="1:29" ht="14.5" x14ac:dyDescent="0.25">
      <c r="A51" s="30"/>
      <c r="B51" s="30"/>
      <c r="C51" s="30" t="s">
        <v>657</v>
      </c>
      <c r="D51" s="32"/>
      <c r="E51" s="31"/>
      <c r="F51" s="34">
        <f>Source!AO30</f>
        <v>104.49</v>
      </c>
      <c r="G51" s="35" t="s">
        <v>658</v>
      </c>
      <c r="H51" s="31">
        <f>Source!AV31</f>
        <v>1.0469999999999999</v>
      </c>
      <c r="I51" s="34">
        <f>Source!S30</f>
        <v>39.380000000000003</v>
      </c>
      <c r="J51" s="31">
        <f>IF(Source!BA31&lt;&gt; 0, Source!BA31, 1)</f>
        <v>56.35</v>
      </c>
      <c r="K51" s="34">
        <f>Source!S31</f>
        <v>2219.06</v>
      </c>
    </row>
    <row r="52" spans="1:29" ht="14.5" x14ac:dyDescent="0.25">
      <c r="A52" s="30"/>
      <c r="B52" s="30"/>
      <c r="C52" s="30" t="s">
        <v>659</v>
      </c>
      <c r="D52" s="32"/>
      <c r="E52" s="31"/>
      <c r="F52" s="34">
        <f>Source!AM30</f>
        <v>0.18</v>
      </c>
      <c r="G52" s="35" t="s">
        <v>658</v>
      </c>
      <c r="H52" s="31">
        <f>Source!AV31</f>
        <v>1.0469999999999999</v>
      </c>
      <c r="I52" s="34">
        <f>Source!Q30</f>
        <v>7.0000000000000007E-2</v>
      </c>
      <c r="J52" s="31">
        <f>IF(Source!BB31&lt;&gt; 0, Source!BB31, 1)</f>
        <v>9.2799999999999994</v>
      </c>
      <c r="K52" s="34">
        <f>Source!Q31</f>
        <v>0.65</v>
      </c>
    </row>
    <row r="53" spans="1:29" ht="14.5" x14ac:dyDescent="0.25">
      <c r="A53" s="30"/>
      <c r="B53" s="30"/>
      <c r="C53" s="30" t="s">
        <v>661</v>
      </c>
      <c r="D53" s="32" t="s">
        <v>662</v>
      </c>
      <c r="E53" s="31">
        <f>Source!BZ31</f>
        <v>90</v>
      </c>
      <c r="F53" s="34"/>
      <c r="G53" s="33"/>
      <c r="H53" s="31"/>
      <c r="I53" s="34">
        <f>SUM(Q50:Q52)</f>
        <v>35.44</v>
      </c>
      <c r="J53" s="31">
        <f>Source!AT31</f>
        <v>90</v>
      </c>
      <c r="K53" s="34">
        <f>SUM(R50:R52)</f>
        <v>1997.15</v>
      </c>
    </row>
    <row r="54" spans="1:29" ht="14.5" x14ac:dyDescent="0.25">
      <c r="A54" s="30"/>
      <c r="B54" s="30"/>
      <c r="C54" s="30" t="s">
        <v>663</v>
      </c>
      <c r="D54" s="32" t="s">
        <v>662</v>
      </c>
      <c r="E54" s="31">
        <f>Source!CA31</f>
        <v>46</v>
      </c>
      <c r="F54" s="34"/>
      <c r="G54" s="33"/>
      <c r="H54" s="31"/>
      <c r="I54" s="34">
        <f>SUM(S50:S53)</f>
        <v>18.11</v>
      </c>
      <c r="J54" s="31">
        <f>Source!AU31</f>
        <v>46</v>
      </c>
      <c r="K54" s="34">
        <f>SUM(T50:T53)</f>
        <v>1020.77</v>
      </c>
    </row>
    <row r="55" spans="1:29" ht="14.5" x14ac:dyDescent="0.25">
      <c r="A55" s="37"/>
      <c r="B55" s="37"/>
      <c r="C55" s="37" t="s">
        <v>664</v>
      </c>
      <c r="D55" s="38" t="s">
        <v>665</v>
      </c>
      <c r="E55" s="39">
        <f>Source!AQ30</f>
        <v>9</v>
      </c>
      <c r="F55" s="40"/>
      <c r="G55" s="41" t="s">
        <v>658</v>
      </c>
      <c r="H55" s="39">
        <f>Source!AV31</f>
        <v>1.0469999999999999</v>
      </c>
      <c r="I55" s="40">
        <f>Source!U30</f>
        <v>3.3922799999999995</v>
      </c>
      <c r="J55" s="39"/>
      <c r="K55" s="40"/>
    </row>
    <row r="56" spans="1:29" ht="14" x14ac:dyDescent="0.25">
      <c r="C56" s="42" t="s">
        <v>666</v>
      </c>
      <c r="H56" s="64">
        <f>I51+I52+I53+I54+0-0-0</f>
        <v>93</v>
      </c>
      <c r="I56" s="64"/>
      <c r="J56" s="64">
        <f>K51+K52+K53+K54+0-0-0</f>
        <v>5237.630000000001</v>
      </c>
      <c r="K56" s="64"/>
    </row>
    <row r="57" spans="1:29" ht="14" hidden="1" x14ac:dyDescent="0.25">
      <c r="C57" s="42" t="s">
        <v>667</v>
      </c>
      <c r="H57" s="62">
        <f>0+0</f>
        <v>0</v>
      </c>
      <c r="I57" s="62"/>
      <c r="J57" s="62">
        <f>0+0</f>
        <v>0</v>
      </c>
      <c r="K57" s="62"/>
    </row>
    <row r="58" spans="1:29" ht="14" x14ac:dyDescent="0.25">
      <c r="C58" s="42" t="s">
        <v>668</v>
      </c>
      <c r="H58" s="62">
        <f>I51+I52+I53+I54+0</f>
        <v>93</v>
      </c>
      <c r="I58" s="62"/>
      <c r="J58" s="62">
        <f>K51+K52+K53+K54+0</f>
        <v>5237.630000000001</v>
      </c>
      <c r="K58" s="62"/>
      <c r="O58" s="43">
        <f>I51+I52+I53+I54+0</f>
        <v>93</v>
      </c>
      <c r="P58" s="43">
        <f>K51+K52+K53+K54+0</f>
        <v>5237.630000000001</v>
      </c>
    </row>
    <row r="60" spans="1:29" ht="84" x14ac:dyDescent="0.25">
      <c r="A60" s="30">
        <v>3</v>
      </c>
      <c r="B60" s="30" t="str">
        <f>Source!F32</f>
        <v>4.10-80-2</v>
      </c>
      <c r="C60" s="30" t="s">
        <v>41</v>
      </c>
      <c r="D60" s="32" t="str">
        <f>Source!H32</f>
        <v>1  ШТ.</v>
      </c>
      <c r="E60" s="31">
        <f>Source!I32</f>
        <v>2</v>
      </c>
      <c r="F60" s="34"/>
      <c r="G60" s="33"/>
      <c r="H60" s="31"/>
      <c r="I60" s="34"/>
      <c r="J60" s="31"/>
      <c r="K60" s="34"/>
      <c r="Q60">
        <f>Source!X32</f>
        <v>104.79</v>
      </c>
      <c r="R60">
        <f>Source!X33</f>
        <v>5904.75</v>
      </c>
      <c r="S60">
        <f>Source!Y32</f>
        <v>53.56</v>
      </c>
      <c r="T60">
        <f>Source!Y33</f>
        <v>3017.98</v>
      </c>
      <c r="U60">
        <f>ROUND((175/100)*ROUND(Source!R32, 2), 2)</f>
        <v>0.02</v>
      </c>
      <c r="V60">
        <f>ROUND((0/100)*ROUND(Source!R33, 2), 2)</f>
        <v>0</v>
      </c>
      <c r="AC60">
        <v>0</v>
      </c>
    </row>
    <row r="61" spans="1:29" ht="14.5" x14ac:dyDescent="0.25">
      <c r="A61" s="30"/>
      <c r="B61" s="30"/>
      <c r="C61" s="30" t="s">
        <v>657</v>
      </c>
      <c r="D61" s="32"/>
      <c r="E61" s="31"/>
      <c r="F61" s="34">
        <f>Source!AO32</f>
        <v>154.44</v>
      </c>
      <c r="G61" s="35" t="s">
        <v>658</v>
      </c>
      <c r="H61" s="31">
        <f>Source!AV33</f>
        <v>1.0469999999999999</v>
      </c>
      <c r="I61" s="34">
        <f>Source!S32</f>
        <v>116.42</v>
      </c>
      <c r="J61" s="31">
        <f>IF(Source!BA33&lt;&gt; 0, Source!BA33, 1)</f>
        <v>56.35</v>
      </c>
      <c r="K61" s="34">
        <f>Source!S33</f>
        <v>6560.27</v>
      </c>
    </row>
    <row r="62" spans="1:29" ht="14.5" x14ac:dyDescent="0.25">
      <c r="A62" s="30"/>
      <c r="B62" s="30"/>
      <c r="C62" s="30" t="s">
        <v>659</v>
      </c>
      <c r="D62" s="32"/>
      <c r="E62" s="31"/>
      <c r="F62" s="34">
        <f>Source!AM32</f>
        <v>0.06</v>
      </c>
      <c r="G62" s="35" t="s">
        <v>658</v>
      </c>
      <c r="H62" s="31">
        <f>Source!AV33</f>
        <v>1.0469999999999999</v>
      </c>
      <c r="I62" s="34">
        <f>Source!Q32</f>
        <v>0.05</v>
      </c>
      <c r="J62" s="31">
        <f>IF(Source!BB33&lt;&gt; 0, Source!BB33, 1)</f>
        <v>18.5</v>
      </c>
      <c r="K62" s="34">
        <f>Source!Q33</f>
        <v>0.93</v>
      </c>
    </row>
    <row r="63" spans="1:29" ht="14.5" x14ac:dyDescent="0.25">
      <c r="A63" s="30"/>
      <c r="B63" s="30"/>
      <c r="C63" s="30" t="s">
        <v>660</v>
      </c>
      <c r="D63" s="32"/>
      <c r="E63" s="31"/>
      <c r="F63" s="34">
        <f>Source!AN32</f>
        <v>0.01</v>
      </c>
      <c r="G63" s="35" t="s">
        <v>658</v>
      </c>
      <c r="H63" s="31">
        <f>Source!AV33</f>
        <v>1.0469999999999999</v>
      </c>
      <c r="I63" s="36">
        <f>Source!R32</f>
        <v>0.01</v>
      </c>
      <c r="J63" s="31">
        <f>IF(Source!BS33&lt;&gt; 0, Source!BS33, 1)</f>
        <v>56.35</v>
      </c>
      <c r="K63" s="36">
        <f>Source!R33</f>
        <v>0.56000000000000005</v>
      </c>
    </row>
    <row r="64" spans="1:29" ht="14.5" x14ac:dyDescent="0.25">
      <c r="A64" s="30"/>
      <c r="B64" s="30"/>
      <c r="C64" s="30" t="s">
        <v>661</v>
      </c>
      <c r="D64" s="32" t="s">
        <v>662</v>
      </c>
      <c r="E64" s="31">
        <f>Source!BZ33</f>
        <v>90</v>
      </c>
      <c r="F64" s="34"/>
      <c r="G64" s="33"/>
      <c r="H64" s="31"/>
      <c r="I64" s="34">
        <f>SUM(Q60:Q63)</f>
        <v>104.79</v>
      </c>
      <c r="J64" s="31">
        <f>Source!AT33</f>
        <v>90</v>
      </c>
      <c r="K64" s="34">
        <f>SUM(R60:R63)</f>
        <v>5904.75</v>
      </c>
    </row>
    <row r="65" spans="1:29" ht="14.5" x14ac:dyDescent="0.25">
      <c r="A65" s="30"/>
      <c r="B65" s="30"/>
      <c r="C65" s="30" t="s">
        <v>663</v>
      </c>
      <c r="D65" s="32" t="s">
        <v>662</v>
      </c>
      <c r="E65" s="31">
        <f>Source!CA33</f>
        <v>46</v>
      </c>
      <c r="F65" s="34"/>
      <c r="G65" s="33"/>
      <c r="H65" s="31"/>
      <c r="I65" s="34">
        <f>SUM(S60:S64)</f>
        <v>53.56</v>
      </c>
      <c r="J65" s="31">
        <f>Source!AU33</f>
        <v>46</v>
      </c>
      <c r="K65" s="34">
        <f>SUM(T60:T64)</f>
        <v>3017.98</v>
      </c>
    </row>
    <row r="66" spans="1:29" ht="14.5" x14ac:dyDescent="0.25">
      <c r="A66" s="37"/>
      <c r="B66" s="37"/>
      <c r="C66" s="37" t="s">
        <v>664</v>
      </c>
      <c r="D66" s="38" t="s">
        <v>665</v>
      </c>
      <c r="E66" s="39">
        <f>Source!AQ32</f>
        <v>11.7</v>
      </c>
      <c r="F66" s="40"/>
      <c r="G66" s="41" t="s">
        <v>658</v>
      </c>
      <c r="H66" s="39">
        <f>Source!AV33</f>
        <v>1.0469999999999999</v>
      </c>
      <c r="I66" s="40">
        <f>Source!U32</f>
        <v>8.8199279999999991</v>
      </c>
      <c r="J66" s="39"/>
      <c r="K66" s="40"/>
    </row>
    <row r="67" spans="1:29" ht="14" x14ac:dyDescent="0.25">
      <c r="C67" s="42" t="s">
        <v>666</v>
      </c>
      <c r="H67" s="64">
        <f>I61+I62+I64+I65+0-0-0</f>
        <v>274.82</v>
      </c>
      <c r="I67" s="64"/>
      <c r="J67" s="64">
        <f>K61+K62+K64+K65+0-0-0</f>
        <v>15483.93</v>
      </c>
      <c r="K67" s="64"/>
    </row>
    <row r="68" spans="1:29" ht="14" hidden="1" x14ac:dyDescent="0.25">
      <c r="C68" s="42" t="s">
        <v>667</v>
      </c>
      <c r="H68" s="62">
        <f>0+0</f>
        <v>0</v>
      </c>
      <c r="I68" s="62"/>
      <c r="J68" s="62">
        <f>0+0</f>
        <v>0</v>
      </c>
      <c r="K68" s="62"/>
    </row>
    <row r="69" spans="1:29" ht="14" x14ac:dyDescent="0.25">
      <c r="C69" s="42" t="s">
        <v>668</v>
      </c>
      <c r="H69" s="62">
        <f>I61+I62+I64+I65+0</f>
        <v>274.82</v>
      </c>
      <c r="I69" s="62"/>
      <c r="J69" s="62">
        <f>K61+K62+K64+K65+0</f>
        <v>15483.93</v>
      </c>
      <c r="K69" s="62"/>
      <c r="O69" s="43">
        <f>I61+I62+I64+I65+0</f>
        <v>274.82</v>
      </c>
      <c r="P69" s="43">
        <f>K61+K62+K64+K65+0</f>
        <v>15483.93</v>
      </c>
    </row>
    <row r="71" spans="1:29" ht="28" x14ac:dyDescent="0.25">
      <c r="A71" s="30">
        <v>4</v>
      </c>
      <c r="B71" s="30" t="str">
        <f>Source!F34</f>
        <v>4.10-34-5</v>
      </c>
      <c r="C71" s="30" t="s">
        <v>45</v>
      </c>
      <c r="D71" s="32" t="str">
        <f>Source!H34</f>
        <v>1  ШТ.</v>
      </c>
      <c r="E71" s="31">
        <f>Source!I34</f>
        <v>1</v>
      </c>
      <c r="F71" s="34"/>
      <c r="G71" s="33"/>
      <c r="H71" s="31"/>
      <c r="I71" s="34"/>
      <c r="J71" s="31"/>
      <c r="K71" s="34"/>
      <c r="Q71">
        <f>Source!X34</f>
        <v>27.61</v>
      </c>
      <c r="R71">
        <f>Source!X35</f>
        <v>1555.94</v>
      </c>
      <c r="S71">
        <f>Source!Y34</f>
        <v>14.11</v>
      </c>
      <c r="T71">
        <f>Source!Y35</f>
        <v>795.26</v>
      </c>
      <c r="U71">
        <f>ROUND((175/100)*ROUND(Source!R34, 2), 2)</f>
        <v>2.08</v>
      </c>
      <c r="V71">
        <f>ROUND((0/100)*ROUND(Source!R35, 2), 2)</f>
        <v>0</v>
      </c>
      <c r="AC71">
        <v>0</v>
      </c>
    </row>
    <row r="72" spans="1:29" ht="14.5" x14ac:dyDescent="0.25">
      <c r="A72" s="30"/>
      <c r="B72" s="30"/>
      <c r="C72" s="30" t="s">
        <v>657</v>
      </c>
      <c r="D72" s="32"/>
      <c r="E72" s="31"/>
      <c r="F72" s="34">
        <f>Source!AO34</f>
        <v>78.239999999999995</v>
      </c>
      <c r="G72" s="35" t="s">
        <v>658</v>
      </c>
      <c r="H72" s="31">
        <f>Source!AV35</f>
        <v>1.0469999999999999</v>
      </c>
      <c r="I72" s="34">
        <f>Source!S34</f>
        <v>29.49</v>
      </c>
      <c r="J72" s="31">
        <f>IF(Source!BA35&lt;&gt; 0, Source!BA35, 1)</f>
        <v>56.35</v>
      </c>
      <c r="K72" s="34">
        <f>Source!S35</f>
        <v>1661.76</v>
      </c>
    </row>
    <row r="73" spans="1:29" ht="14.5" x14ac:dyDescent="0.25">
      <c r="A73" s="30"/>
      <c r="B73" s="30"/>
      <c r="C73" s="30" t="s">
        <v>659</v>
      </c>
      <c r="D73" s="32"/>
      <c r="E73" s="31"/>
      <c r="F73" s="34">
        <f>Source!AM34</f>
        <v>28.71</v>
      </c>
      <c r="G73" s="35" t="s">
        <v>658</v>
      </c>
      <c r="H73" s="31">
        <f>Source!AV35</f>
        <v>1.0469999999999999</v>
      </c>
      <c r="I73" s="34">
        <f>Source!Q34</f>
        <v>10.82</v>
      </c>
      <c r="J73" s="31">
        <f>IF(Source!BB35&lt;&gt; 0, Source!BB35, 1)</f>
        <v>16.16</v>
      </c>
      <c r="K73" s="34">
        <f>Source!Q35</f>
        <v>174.85</v>
      </c>
    </row>
    <row r="74" spans="1:29" ht="14.5" x14ac:dyDescent="0.25">
      <c r="A74" s="30"/>
      <c r="B74" s="30"/>
      <c r="C74" s="30" t="s">
        <v>660</v>
      </c>
      <c r="D74" s="32"/>
      <c r="E74" s="31"/>
      <c r="F74" s="34">
        <f>Source!AN34</f>
        <v>3.16</v>
      </c>
      <c r="G74" s="35" t="s">
        <v>658</v>
      </c>
      <c r="H74" s="31">
        <f>Source!AV35</f>
        <v>1.0469999999999999</v>
      </c>
      <c r="I74" s="36">
        <f>Source!R34</f>
        <v>1.19</v>
      </c>
      <c r="J74" s="31">
        <f>IF(Source!BS35&lt;&gt; 0, Source!BS35, 1)</f>
        <v>56.35</v>
      </c>
      <c r="K74" s="36">
        <f>Source!R35</f>
        <v>67.06</v>
      </c>
    </row>
    <row r="75" spans="1:29" ht="14.5" x14ac:dyDescent="0.25">
      <c r="A75" s="30"/>
      <c r="B75" s="30"/>
      <c r="C75" s="30" t="s">
        <v>661</v>
      </c>
      <c r="D75" s="32" t="s">
        <v>662</v>
      </c>
      <c r="E75" s="31">
        <f>Source!BZ35</f>
        <v>90</v>
      </c>
      <c r="F75" s="34"/>
      <c r="G75" s="33"/>
      <c r="H75" s="31"/>
      <c r="I75" s="34">
        <f>SUM(Q71:Q74)</f>
        <v>27.61</v>
      </c>
      <c r="J75" s="31">
        <f>Source!AT35</f>
        <v>90</v>
      </c>
      <c r="K75" s="34">
        <f>SUM(R71:R74)</f>
        <v>1555.94</v>
      </c>
    </row>
    <row r="76" spans="1:29" ht="14.5" x14ac:dyDescent="0.25">
      <c r="A76" s="30"/>
      <c r="B76" s="30"/>
      <c r="C76" s="30" t="s">
        <v>663</v>
      </c>
      <c r="D76" s="32" t="s">
        <v>662</v>
      </c>
      <c r="E76" s="31">
        <f>Source!CA35</f>
        <v>46</v>
      </c>
      <c r="F76" s="34"/>
      <c r="G76" s="33"/>
      <c r="H76" s="31"/>
      <c r="I76" s="34">
        <f>SUM(S71:S75)</f>
        <v>14.11</v>
      </c>
      <c r="J76" s="31">
        <f>Source!AU35</f>
        <v>46</v>
      </c>
      <c r="K76" s="34">
        <f>SUM(T71:T75)</f>
        <v>795.26</v>
      </c>
    </row>
    <row r="77" spans="1:29" ht="14.5" x14ac:dyDescent="0.25">
      <c r="A77" s="37"/>
      <c r="B77" s="37"/>
      <c r="C77" s="37" t="s">
        <v>664</v>
      </c>
      <c r="D77" s="38" t="s">
        <v>665</v>
      </c>
      <c r="E77" s="39">
        <f>Source!AQ34</f>
        <v>6.2</v>
      </c>
      <c r="F77" s="40"/>
      <c r="G77" s="41" t="s">
        <v>658</v>
      </c>
      <c r="H77" s="39">
        <f>Source!AV35</f>
        <v>1.0469999999999999</v>
      </c>
      <c r="I77" s="40">
        <f>Source!U34</f>
        <v>2.3369039999999996</v>
      </c>
      <c r="J77" s="39"/>
      <c r="K77" s="40"/>
    </row>
    <row r="78" spans="1:29" ht="14" x14ac:dyDescent="0.25">
      <c r="C78" s="42" t="s">
        <v>666</v>
      </c>
      <c r="H78" s="64">
        <f>I72+I73+I75+I76+0-0-0</f>
        <v>82.03</v>
      </c>
      <c r="I78" s="64"/>
      <c r="J78" s="64">
        <f>K72+K73+K75+K76+0-0-0</f>
        <v>4187.8100000000004</v>
      </c>
      <c r="K78" s="64"/>
    </row>
    <row r="79" spans="1:29" ht="14" hidden="1" x14ac:dyDescent="0.25">
      <c r="C79" s="42" t="s">
        <v>667</v>
      </c>
      <c r="H79" s="62">
        <f>0+0</f>
        <v>0</v>
      </c>
      <c r="I79" s="62"/>
      <c r="J79" s="62">
        <f>0+0</f>
        <v>0</v>
      </c>
      <c r="K79" s="62"/>
    </row>
    <row r="80" spans="1:29" ht="14" x14ac:dyDescent="0.25">
      <c r="C80" s="42" t="s">
        <v>668</v>
      </c>
      <c r="H80" s="62">
        <f>I72+I73+I75+I76+0</f>
        <v>82.03</v>
      </c>
      <c r="I80" s="62"/>
      <c r="J80" s="62">
        <f>K72+K73+K75+K76+0</f>
        <v>4187.8100000000004</v>
      </c>
      <c r="K80" s="62"/>
      <c r="O80" s="43">
        <f>I72+I73+I75+I76+0</f>
        <v>82.03</v>
      </c>
      <c r="P80" s="43">
        <f>K72+K73+K75+K76+0</f>
        <v>4187.8100000000004</v>
      </c>
    </row>
    <row r="82" spans="1:29" ht="42" x14ac:dyDescent="0.25">
      <c r="A82" s="30">
        <v>5</v>
      </c>
      <c r="B82" s="30" t="str">
        <f>Source!F36</f>
        <v>4.10-167-1</v>
      </c>
      <c r="C82" s="30" t="s">
        <v>49</v>
      </c>
      <c r="D82" s="32" t="str">
        <f>Source!H36</f>
        <v>1  ШТ.</v>
      </c>
      <c r="E82" s="31">
        <f>Source!I36</f>
        <v>12</v>
      </c>
      <c r="F82" s="34"/>
      <c r="G82" s="33"/>
      <c r="H82" s="31"/>
      <c r="I82" s="34"/>
      <c r="J82" s="31"/>
      <c r="K82" s="34"/>
      <c r="Q82">
        <f>Source!X36</f>
        <v>77.099999999999994</v>
      </c>
      <c r="R82">
        <f>Source!X37</f>
        <v>4344.75</v>
      </c>
      <c r="S82">
        <f>Source!Y36</f>
        <v>39.409999999999997</v>
      </c>
      <c r="T82">
        <f>Source!Y37</f>
        <v>2220.65</v>
      </c>
      <c r="U82">
        <f>ROUND((175/100)*ROUND(Source!R36, 2), 2)</f>
        <v>0</v>
      </c>
      <c r="V82">
        <f>ROUND((0/100)*ROUND(Source!R37, 2), 2)</f>
        <v>0</v>
      </c>
      <c r="AC82">
        <v>0</v>
      </c>
    </row>
    <row r="83" spans="1:29" x14ac:dyDescent="0.25">
      <c r="C83" s="44" t="str">
        <f>"Объем: "&amp;Source!I36&amp;"=2+"&amp;"2+"&amp;"4+"&amp;"4"</f>
        <v>Объем: 12=2+2+4+4</v>
      </c>
    </row>
    <row r="84" spans="1:29" ht="14.5" x14ac:dyDescent="0.25">
      <c r="A84" s="30"/>
      <c r="B84" s="30"/>
      <c r="C84" s="30" t="s">
        <v>657</v>
      </c>
      <c r="D84" s="32"/>
      <c r="E84" s="31"/>
      <c r="F84" s="34">
        <f>Source!AO36</f>
        <v>18.940000000000001</v>
      </c>
      <c r="G84" s="35" t="s">
        <v>658</v>
      </c>
      <c r="H84" s="31">
        <f>Source!AV37</f>
        <v>1.0469999999999999</v>
      </c>
      <c r="I84" s="34">
        <f>Source!S36</f>
        <v>85.67</v>
      </c>
      <c r="J84" s="31">
        <f>IF(Source!BA37&lt;&gt; 0, Source!BA37, 1)</f>
        <v>56.35</v>
      </c>
      <c r="K84" s="34">
        <f>Source!S37</f>
        <v>4827.5</v>
      </c>
    </row>
    <row r="85" spans="1:29" ht="14.5" x14ac:dyDescent="0.25">
      <c r="A85" s="30"/>
      <c r="B85" s="30"/>
      <c r="C85" s="30" t="s">
        <v>659</v>
      </c>
      <c r="D85" s="32"/>
      <c r="E85" s="31"/>
      <c r="F85" s="34">
        <f>Source!AM36</f>
        <v>0.02</v>
      </c>
      <c r="G85" s="35" t="s">
        <v>658</v>
      </c>
      <c r="H85" s="31">
        <f>Source!AV37</f>
        <v>1.0469999999999999</v>
      </c>
      <c r="I85" s="34">
        <f>Source!Q36</f>
        <v>0.09</v>
      </c>
      <c r="J85" s="31">
        <f>IF(Source!BB37&lt;&gt; 0, Source!BB37, 1)</f>
        <v>11</v>
      </c>
      <c r="K85" s="34">
        <f>Source!Q37</f>
        <v>0.99</v>
      </c>
    </row>
    <row r="86" spans="1:29" ht="14.5" x14ac:dyDescent="0.25">
      <c r="A86" s="30"/>
      <c r="B86" s="30"/>
      <c r="C86" s="30" t="s">
        <v>661</v>
      </c>
      <c r="D86" s="32" t="s">
        <v>662</v>
      </c>
      <c r="E86" s="31">
        <f>Source!BZ37</f>
        <v>90</v>
      </c>
      <c r="F86" s="34"/>
      <c r="G86" s="33"/>
      <c r="H86" s="31"/>
      <c r="I86" s="34">
        <f>SUM(Q82:Q85)</f>
        <v>77.099999999999994</v>
      </c>
      <c r="J86" s="31">
        <f>Source!AT37</f>
        <v>90</v>
      </c>
      <c r="K86" s="34">
        <f>SUM(R82:R85)</f>
        <v>4344.75</v>
      </c>
    </row>
    <row r="87" spans="1:29" ht="14.5" x14ac:dyDescent="0.25">
      <c r="A87" s="30"/>
      <c r="B87" s="30"/>
      <c r="C87" s="30" t="s">
        <v>663</v>
      </c>
      <c r="D87" s="32" t="s">
        <v>662</v>
      </c>
      <c r="E87" s="31">
        <f>Source!CA37</f>
        <v>46</v>
      </c>
      <c r="F87" s="34"/>
      <c r="G87" s="33"/>
      <c r="H87" s="31"/>
      <c r="I87" s="34">
        <f>SUM(S82:S86)</f>
        <v>39.409999999999997</v>
      </c>
      <c r="J87" s="31">
        <f>Source!AU37</f>
        <v>46</v>
      </c>
      <c r="K87" s="34">
        <f>SUM(T82:T86)</f>
        <v>2220.65</v>
      </c>
    </row>
    <row r="88" spans="1:29" ht="14.5" x14ac:dyDescent="0.25">
      <c r="A88" s="37"/>
      <c r="B88" s="37"/>
      <c r="C88" s="37" t="s">
        <v>664</v>
      </c>
      <c r="D88" s="38" t="s">
        <v>665</v>
      </c>
      <c r="E88" s="39">
        <f>Source!AQ36</f>
        <v>1.36</v>
      </c>
      <c r="F88" s="40"/>
      <c r="G88" s="41" t="s">
        <v>658</v>
      </c>
      <c r="H88" s="39">
        <f>Source!AV37</f>
        <v>1.0469999999999999</v>
      </c>
      <c r="I88" s="40">
        <f>Source!U36</f>
        <v>6.1513344000000005</v>
      </c>
      <c r="J88" s="39"/>
      <c r="K88" s="40"/>
    </row>
    <row r="89" spans="1:29" ht="14" x14ac:dyDescent="0.25">
      <c r="C89" s="42" t="s">
        <v>666</v>
      </c>
      <c r="H89" s="64">
        <f>I84+I85+I86+I87+0-0-0</f>
        <v>202.27</v>
      </c>
      <c r="I89" s="64"/>
      <c r="J89" s="64">
        <f>K84+K85+K86+K87+0-0-0</f>
        <v>11393.89</v>
      </c>
      <c r="K89" s="64"/>
    </row>
    <row r="90" spans="1:29" ht="14" hidden="1" x14ac:dyDescent="0.25">
      <c r="C90" s="42" t="s">
        <v>667</v>
      </c>
      <c r="H90" s="62">
        <f>0+0</f>
        <v>0</v>
      </c>
      <c r="I90" s="62"/>
      <c r="J90" s="62">
        <f>0+0</f>
        <v>0</v>
      </c>
      <c r="K90" s="62"/>
    </row>
    <row r="91" spans="1:29" ht="14" x14ac:dyDescent="0.25">
      <c r="C91" s="42" t="s">
        <v>668</v>
      </c>
      <c r="H91" s="62">
        <f>I84+I85+I86+I87+0</f>
        <v>202.27</v>
      </c>
      <c r="I91" s="62"/>
      <c r="J91" s="62">
        <f>K84+K85+K86+K87+0</f>
        <v>11393.89</v>
      </c>
      <c r="K91" s="62"/>
      <c r="O91" s="43">
        <f>I84+I85+I86+I87+0</f>
        <v>202.27</v>
      </c>
      <c r="P91" s="43">
        <f>K84+K85+K86+K87+0</f>
        <v>11393.89</v>
      </c>
    </row>
    <row r="93" spans="1:29" ht="70" x14ac:dyDescent="0.25">
      <c r="A93" s="30">
        <v>6</v>
      </c>
      <c r="B93" s="30" t="str">
        <f>Source!F38</f>
        <v>4.10-81-2</v>
      </c>
      <c r="C93" s="30" t="s">
        <v>53</v>
      </c>
      <c r="D93" s="32" t="str">
        <f>Source!H38</f>
        <v>1  ШТ.</v>
      </c>
      <c r="E93" s="31">
        <f>Source!I38</f>
        <v>116</v>
      </c>
      <c r="F93" s="34"/>
      <c r="G93" s="33"/>
      <c r="H93" s="31"/>
      <c r="I93" s="34"/>
      <c r="J93" s="31"/>
      <c r="K93" s="34"/>
      <c r="Q93">
        <f>Source!X38</f>
        <v>834.62</v>
      </c>
      <c r="R93">
        <f>Source!X39</f>
        <v>47031.06</v>
      </c>
      <c r="S93">
        <f>Source!Y38</f>
        <v>426.59</v>
      </c>
      <c r="T93">
        <f>Source!Y39</f>
        <v>24038.1</v>
      </c>
      <c r="U93">
        <f>ROUND((175/100)*ROUND(Source!R38, 2), 2)</f>
        <v>0.77</v>
      </c>
      <c r="V93">
        <f>ROUND((0/100)*ROUND(Source!R39, 2), 2)</f>
        <v>0</v>
      </c>
      <c r="AC93">
        <v>0</v>
      </c>
    </row>
    <row r="94" spans="1:29" ht="25" x14ac:dyDescent="0.25">
      <c r="C94" s="44" t="str">
        <f>"Объем: "&amp;Source!I38&amp;"=12+"&amp;"18+"&amp;"2+"&amp;"4+"&amp;"1+"&amp;"1+"&amp;"1+"&amp;"63+"&amp;"1+"&amp;"10+"&amp;"2+"&amp;"1"</f>
        <v>Объем: 116=12+18+2+4+1+1+1+63+1+10+2+1</v>
      </c>
    </row>
    <row r="95" spans="1:29" ht="14.5" x14ac:dyDescent="0.25">
      <c r="A95" s="30"/>
      <c r="B95" s="30"/>
      <c r="C95" s="30" t="s">
        <v>657</v>
      </c>
      <c r="D95" s="32"/>
      <c r="E95" s="31"/>
      <c r="F95" s="34">
        <f>Source!AO38</f>
        <v>21.2</v>
      </c>
      <c r="G95" s="35" t="s">
        <v>658</v>
      </c>
      <c r="H95" s="31">
        <f>Source!AV39</f>
        <v>1.0469999999999999</v>
      </c>
      <c r="I95" s="34">
        <f>Source!S38</f>
        <v>926.92</v>
      </c>
      <c r="J95" s="31">
        <f>IF(Source!BA39&lt;&gt; 0, Source!BA39, 1)</f>
        <v>56.35</v>
      </c>
      <c r="K95" s="34">
        <f>Source!S39</f>
        <v>52231.94</v>
      </c>
    </row>
    <row r="96" spans="1:29" ht="14.5" x14ac:dyDescent="0.25">
      <c r="A96" s="30"/>
      <c r="B96" s="30"/>
      <c r="C96" s="30" t="s">
        <v>659</v>
      </c>
      <c r="D96" s="32"/>
      <c r="E96" s="31"/>
      <c r="F96" s="34">
        <f>Source!AM38</f>
        <v>0.06</v>
      </c>
      <c r="G96" s="35" t="s">
        <v>658</v>
      </c>
      <c r="H96" s="31">
        <f>Source!AV39</f>
        <v>1.0469999999999999</v>
      </c>
      <c r="I96" s="34">
        <f>Source!Q38</f>
        <v>2.62</v>
      </c>
      <c r="J96" s="31">
        <f>IF(Source!BB39&lt;&gt; 0, Source!BB39, 1)</f>
        <v>18.5</v>
      </c>
      <c r="K96" s="34">
        <f>Source!Q39</f>
        <v>48.47</v>
      </c>
    </row>
    <row r="97" spans="1:29" ht="14.5" x14ac:dyDescent="0.25">
      <c r="A97" s="30"/>
      <c r="B97" s="30"/>
      <c r="C97" s="30" t="s">
        <v>660</v>
      </c>
      <c r="D97" s="32"/>
      <c r="E97" s="31"/>
      <c r="F97" s="34">
        <f>Source!AN38</f>
        <v>0.01</v>
      </c>
      <c r="G97" s="35" t="s">
        <v>658</v>
      </c>
      <c r="H97" s="31">
        <f>Source!AV39</f>
        <v>1.0469999999999999</v>
      </c>
      <c r="I97" s="36">
        <f>Source!R38</f>
        <v>0.44</v>
      </c>
      <c r="J97" s="31">
        <f>IF(Source!BS39&lt;&gt; 0, Source!BS39, 1)</f>
        <v>56.35</v>
      </c>
      <c r="K97" s="36">
        <f>Source!R39</f>
        <v>24.79</v>
      </c>
    </row>
    <row r="98" spans="1:29" ht="14.5" x14ac:dyDescent="0.25">
      <c r="A98" s="30"/>
      <c r="B98" s="30"/>
      <c r="C98" s="30" t="s">
        <v>661</v>
      </c>
      <c r="D98" s="32" t="s">
        <v>662</v>
      </c>
      <c r="E98" s="31">
        <f>Source!BZ39</f>
        <v>90</v>
      </c>
      <c r="F98" s="34"/>
      <c r="G98" s="33"/>
      <c r="H98" s="31"/>
      <c r="I98" s="34">
        <f>SUM(Q93:Q97)</f>
        <v>834.62</v>
      </c>
      <c r="J98" s="31">
        <f>Source!AT39</f>
        <v>90</v>
      </c>
      <c r="K98" s="34">
        <f>SUM(R93:R97)</f>
        <v>47031.06</v>
      </c>
    </row>
    <row r="99" spans="1:29" ht="14.5" x14ac:dyDescent="0.25">
      <c r="A99" s="30"/>
      <c r="B99" s="30"/>
      <c r="C99" s="30" t="s">
        <v>663</v>
      </c>
      <c r="D99" s="32" t="s">
        <v>662</v>
      </c>
      <c r="E99" s="31">
        <f>Source!CA39</f>
        <v>46</v>
      </c>
      <c r="F99" s="34"/>
      <c r="G99" s="33"/>
      <c r="H99" s="31"/>
      <c r="I99" s="34">
        <f>SUM(S93:S98)</f>
        <v>426.59</v>
      </c>
      <c r="J99" s="31">
        <f>Source!AU39</f>
        <v>46</v>
      </c>
      <c r="K99" s="34">
        <f>SUM(T93:T98)</f>
        <v>24038.1</v>
      </c>
    </row>
    <row r="100" spans="1:29" ht="14.5" x14ac:dyDescent="0.25">
      <c r="A100" s="37"/>
      <c r="B100" s="37"/>
      <c r="C100" s="37" t="s">
        <v>664</v>
      </c>
      <c r="D100" s="38" t="s">
        <v>665</v>
      </c>
      <c r="E100" s="39">
        <f>Source!AQ38</f>
        <v>1.68</v>
      </c>
      <c r="F100" s="40"/>
      <c r="G100" s="41" t="s">
        <v>658</v>
      </c>
      <c r="H100" s="39">
        <f>Source!AV39</f>
        <v>1.0469999999999999</v>
      </c>
      <c r="I100" s="40">
        <f>Source!U38</f>
        <v>73.4541696</v>
      </c>
      <c r="J100" s="39"/>
      <c r="K100" s="40"/>
    </row>
    <row r="101" spans="1:29" ht="14" x14ac:dyDescent="0.25">
      <c r="C101" s="42" t="s">
        <v>666</v>
      </c>
      <c r="H101" s="64">
        <f>I95+I96+I98+I99+0-0-0</f>
        <v>2190.75</v>
      </c>
      <c r="I101" s="64"/>
      <c r="J101" s="64">
        <f>K95+K96+K98+K99+0-0-0</f>
        <v>123349.57</v>
      </c>
      <c r="K101" s="64"/>
    </row>
    <row r="102" spans="1:29" ht="14" hidden="1" x14ac:dyDescent="0.25">
      <c r="C102" s="42" t="s">
        <v>667</v>
      </c>
      <c r="H102" s="62">
        <f>0+0</f>
        <v>0</v>
      </c>
      <c r="I102" s="62"/>
      <c r="J102" s="62">
        <f>0+0</f>
        <v>0</v>
      </c>
      <c r="K102" s="62"/>
    </row>
    <row r="103" spans="1:29" ht="14" x14ac:dyDescent="0.25">
      <c r="C103" s="42" t="s">
        <v>668</v>
      </c>
      <c r="H103" s="62">
        <f>I95+I96+I98+I99+0</f>
        <v>2190.75</v>
      </c>
      <c r="I103" s="62"/>
      <c r="J103" s="62">
        <f>K95+K96+K98+K99+0</f>
        <v>123349.57</v>
      </c>
      <c r="K103" s="62"/>
      <c r="O103" s="43">
        <f>I95+I96+I98+I99+0</f>
        <v>2190.75</v>
      </c>
      <c r="P103" s="43">
        <f>K95+K96+K98+K99+0</f>
        <v>123349.57</v>
      </c>
    </row>
    <row r="105" spans="1:29" ht="42" x14ac:dyDescent="0.25">
      <c r="A105" s="30">
        <v>7</v>
      </c>
      <c r="B105" s="30" t="str">
        <f>Source!F40</f>
        <v>4.10-76-7</v>
      </c>
      <c r="C105" s="30" t="s">
        <v>57</v>
      </c>
      <c r="D105" s="32" t="str">
        <f>Source!H40</f>
        <v>1  ШТ.</v>
      </c>
      <c r="E105" s="31">
        <f>Source!I40</f>
        <v>186</v>
      </c>
      <c r="F105" s="34"/>
      <c r="G105" s="33"/>
      <c r="H105" s="31"/>
      <c r="I105" s="34"/>
      <c r="J105" s="31"/>
      <c r="K105" s="34"/>
      <c r="Q105">
        <f>Source!X40</f>
        <v>1583.79</v>
      </c>
      <c r="R105">
        <f>Source!X41</f>
        <v>89246.71</v>
      </c>
      <c r="S105">
        <f>Source!Y40</f>
        <v>883.59</v>
      </c>
      <c r="T105">
        <f>Source!Y41</f>
        <v>49790.27</v>
      </c>
      <c r="U105">
        <f>ROUND((175/100)*ROUND(Source!R40, 2), 2)</f>
        <v>0</v>
      </c>
      <c r="V105">
        <f>ROUND((0/100)*ROUND(Source!R41, 2), 2)</f>
        <v>0</v>
      </c>
      <c r="AC105">
        <v>0</v>
      </c>
    </row>
    <row r="106" spans="1:29" x14ac:dyDescent="0.25">
      <c r="C106" s="44" t="str">
        <f>"Объем: "&amp;Source!I40&amp;"=144+"&amp;"42"</f>
        <v>Объем: 186=144+42</v>
      </c>
    </row>
    <row r="107" spans="1:29" ht="14.5" x14ac:dyDescent="0.25">
      <c r="A107" s="30"/>
      <c r="B107" s="30"/>
      <c r="C107" s="30" t="s">
        <v>657</v>
      </c>
      <c r="D107" s="32"/>
      <c r="E107" s="31"/>
      <c r="F107" s="34">
        <f>Source!AO40</f>
        <v>23.78</v>
      </c>
      <c r="G107" s="35" t="s">
        <v>658</v>
      </c>
      <c r="H107" s="31">
        <f>Source!AV41</f>
        <v>1.0469999999999999</v>
      </c>
      <c r="I107" s="34">
        <f>Source!S40</f>
        <v>1667.15</v>
      </c>
      <c r="J107" s="31">
        <f>IF(Source!BA41&lt;&gt; 0, Source!BA41, 1)</f>
        <v>56.35</v>
      </c>
      <c r="K107" s="34">
        <f>Source!S41</f>
        <v>93943.9</v>
      </c>
    </row>
    <row r="108" spans="1:29" ht="14.5" x14ac:dyDescent="0.25">
      <c r="A108" s="30"/>
      <c r="B108" s="30"/>
      <c r="C108" s="30" t="s">
        <v>661</v>
      </c>
      <c r="D108" s="32" t="s">
        <v>662</v>
      </c>
      <c r="E108" s="31">
        <f>Source!BZ41</f>
        <v>95</v>
      </c>
      <c r="F108" s="34"/>
      <c r="G108" s="33"/>
      <c r="H108" s="31"/>
      <c r="I108" s="34">
        <f>SUM(Q105:Q107)</f>
        <v>1583.79</v>
      </c>
      <c r="J108" s="31">
        <f>Source!AT41</f>
        <v>95</v>
      </c>
      <c r="K108" s="34">
        <f>SUM(R105:R107)</f>
        <v>89246.71</v>
      </c>
    </row>
    <row r="109" spans="1:29" ht="14.5" x14ac:dyDescent="0.25">
      <c r="A109" s="30"/>
      <c r="B109" s="30"/>
      <c r="C109" s="30" t="s">
        <v>663</v>
      </c>
      <c r="D109" s="32" t="s">
        <v>662</v>
      </c>
      <c r="E109" s="31">
        <f>Source!CA41</f>
        <v>53</v>
      </c>
      <c r="F109" s="34"/>
      <c r="G109" s="33"/>
      <c r="H109" s="31"/>
      <c r="I109" s="34">
        <f>SUM(S105:S108)</f>
        <v>883.59</v>
      </c>
      <c r="J109" s="31">
        <f>Source!AU41</f>
        <v>53</v>
      </c>
      <c r="K109" s="34">
        <f>SUM(T105:T108)</f>
        <v>49790.27</v>
      </c>
    </row>
    <row r="110" spans="1:29" ht="14.5" x14ac:dyDescent="0.25">
      <c r="A110" s="37"/>
      <c r="B110" s="37"/>
      <c r="C110" s="37" t="s">
        <v>664</v>
      </c>
      <c r="D110" s="38" t="s">
        <v>665</v>
      </c>
      <c r="E110" s="39">
        <f>Source!AQ40</f>
        <v>2</v>
      </c>
      <c r="F110" s="40"/>
      <c r="G110" s="41" t="s">
        <v>658</v>
      </c>
      <c r="H110" s="39">
        <f>Source!AV41</f>
        <v>1.0469999999999999</v>
      </c>
      <c r="I110" s="40">
        <f>Source!U40</f>
        <v>140.21423999999999</v>
      </c>
      <c r="J110" s="39"/>
      <c r="K110" s="40"/>
    </row>
    <row r="111" spans="1:29" ht="14" x14ac:dyDescent="0.25">
      <c r="C111" s="42" t="s">
        <v>666</v>
      </c>
      <c r="H111" s="64">
        <f>I107+I108+I109+0-0-0</f>
        <v>4134.53</v>
      </c>
      <c r="I111" s="64"/>
      <c r="J111" s="64">
        <f>K107+K108+K109+0-0-0</f>
        <v>232980.87999999998</v>
      </c>
      <c r="K111" s="64"/>
    </row>
    <row r="112" spans="1:29" ht="14" hidden="1" x14ac:dyDescent="0.25">
      <c r="C112" s="42" t="s">
        <v>667</v>
      </c>
      <c r="H112" s="62">
        <f>0+0</f>
        <v>0</v>
      </c>
      <c r="I112" s="62"/>
      <c r="J112" s="62">
        <f>0+0</f>
        <v>0</v>
      </c>
      <c r="K112" s="62"/>
    </row>
    <row r="113" spans="1:29" ht="14" x14ac:dyDescent="0.25">
      <c r="C113" s="42" t="s">
        <v>668</v>
      </c>
      <c r="H113" s="62">
        <f>I107+I108+I109+0</f>
        <v>4134.53</v>
      </c>
      <c r="I113" s="62"/>
      <c r="J113" s="62">
        <f>K107+K108+K109+0</f>
        <v>232980.87999999998</v>
      </c>
      <c r="K113" s="62"/>
      <c r="O113" s="43">
        <f>I107+I108+I109+0</f>
        <v>4134.53</v>
      </c>
      <c r="P113" s="43">
        <f>K107+K108+K109+0</f>
        <v>232980.87999999998</v>
      </c>
    </row>
    <row r="115" spans="1:29" ht="42" x14ac:dyDescent="0.25">
      <c r="A115" s="30">
        <v>8</v>
      </c>
      <c r="B115" s="30" t="str">
        <f>Source!F42</f>
        <v>4.10-118-12</v>
      </c>
      <c r="C115" s="30" t="s">
        <v>63</v>
      </c>
      <c r="D115" s="32" t="str">
        <f>Source!H42</f>
        <v>100 шт.</v>
      </c>
      <c r="E115" s="31">
        <f>Source!I42</f>
        <v>7.0000000000000007E-2</v>
      </c>
      <c r="F115" s="34"/>
      <c r="G115" s="33"/>
      <c r="H115" s="31"/>
      <c r="I115" s="34"/>
      <c r="J115" s="31"/>
      <c r="K115" s="34"/>
      <c r="Q115">
        <f>Source!X42</f>
        <v>6.62</v>
      </c>
      <c r="R115">
        <f>Source!X43</f>
        <v>372.75</v>
      </c>
      <c r="S115">
        <f>Source!Y42</f>
        <v>3.38</v>
      </c>
      <c r="T115">
        <f>Source!Y43</f>
        <v>190.52</v>
      </c>
      <c r="U115">
        <f>ROUND((175/100)*ROUND(Source!R42, 2), 2)</f>
        <v>0</v>
      </c>
      <c r="V115">
        <f>ROUND((0/100)*ROUND(Source!R43, 2), 2)</f>
        <v>0</v>
      </c>
      <c r="AC115">
        <v>0</v>
      </c>
    </row>
    <row r="116" spans="1:29" x14ac:dyDescent="0.25">
      <c r="C116" s="44" t="str">
        <f>"Объем: "&amp;Source!I42&amp;"=7/"&amp;"100"</f>
        <v>Объем: 0,07=7/100</v>
      </c>
    </row>
    <row r="117" spans="1:29" ht="14.5" x14ac:dyDescent="0.25">
      <c r="A117" s="30"/>
      <c r="B117" s="30"/>
      <c r="C117" s="30" t="s">
        <v>657</v>
      </c>
      <c r="D117" s="32"/>
      <c r="E117" s="31"/>
      <c r="F117" s="34">
        <f>Source!AO42</f>
        <v>278.64</v>
      </c>
      <c r="G117" s="35" t="s">
        <v>658</v>
      </c>
      <c r="H117" s="31">
        <f>Source!AV43</f>
        <v>1.0469999999999999</v>
      </c>
      <c r="I117" s="34">
        <f>Source!S42</f>
        <v>7.35</v>
      </c>
      <c r="J117" s="31">
        <f>IF(Source!BA43&lt;&gt; 0, Source!BA43, 1)</f>
        <v>56.35</v>
      </c>
      <c r="K117" s="34">
        <f>Source!S43</f>
        <v>414.17</v>
      </c>
    </row>
    <row r="118" spans="1:29" ht="14.5" x14ac:dyDescent="0.25">
      <c r="A118" s="30"/>
      <c r="B118" s="30"/>
      <c r="C118" s="30" t="s">
        <v>661</v>
      </c>
      <c r="D118" s="32" t="s">
        <v>662</v>
      </c>
      <c r="E118" s="31">
        <f>Source!BZ43</f>
        <v>90</v>
      </c>
      <c r="F118" s="34"/>
      <c r="G118" s="33"/>
      <c r="H118" s="31"/>
      <c r="I118" s="34">
        <f>SUM(Q115:Q117)</f>
        <v>6.62</v>
      </c>
      <c r="J118" s="31">
        <f>Source!AT43</f>
        <v>90</v>
      </c>
      <c r="K118" s="34">
        <f>SUM(R115:R117)</f>
        <v>372.75</v>
      </c>
    </row>
    <row r="119" spans="1:29" ht="14.5" x14ac:dyDescent="0.25">
      <c r="A119" s="30"/>
      <c r="B119" s="30"/>
      <c r="C119" s="30" t="s">
        <v>663</v>
      </c>
      <c r="D119" s="32" t="s">
        <v>662</v>
      </c>
      <c r="E119" s="31">
        <f>Source!CA43</f>
        <v>46</v>
      </c>
      <c r="F119" s="34"/>
      <c r="G119" s="33"/>
      <c r="H119" s="31"/>
      <c r="I119" s="34">
        <f>SUM(S115:S118)</f>
        <v>3.38</v>
      </c>
      <c r="J119" s="31">
        <f>Source!AU43</f>
        <v>46</v>
      </c>
      <c r="K119" s="34">
        <f>SUM(T115:T118)</f>
        <v>190.52</v>
      </c>
    </row>
    <row r="120" spans="1:29" ht="14.5" x14ac:dyDescent="0.25">
      <c r="A120" s="37"/>
      <c r="B120" s="37"/>
      <c r="C120" s="37" t="s">
        <v>664</v>
      </c>
      <c r="D120" s="38" t="s">
        <v>665</v>
      </c>
      <c r="E120" s="39">
        <f>Source!AQ42</f>
        <v>24</v>
      </c>
      <c r="F120" s="40"/>
      <c r="G120" s="41" t="s">
        <v>658</v>
      </c>
      <c r="H120" s="39">
        <f>Source!AV43</f>
        <v>1.0469999999999999</v>
      </c>
      <c r="I120" s="40">
        <f>Source!U42</f>
        <v>0.63322559999999994</v>
      </c>
      <c r="J120" s="39"/>
      <c r="K120" s="40"/>
    </row>
    <row r="121" spans="1:29" ht="14" x14ac:dyDescent="0.25">
      <c r="C121" s="42" t="s">
        <v>666</v>
      </c>
      <c r="H121" s="64">
        <f>I117+I118+I119+0-0-0</f>
        <v>17.349999999999998</v>
      </c>
      <c r="I121" s="64"/>
      <c r="J121" s="64">
        <f>K117+K118+K119+0-0-0</f>
        <v>977.44</v>
      </c>
      <c r="K121" s="64"/>
    </row>
    <row r="122" spans="1:29" ht="14" hidden="1" x14ac:dyDescent="0.25">
      <c r="C122" s="42" t="s">
        <v>667</v>
      </c>
      <c r="H122" s="62">
        <f>0+0</f>
        <v>0</v>
      </c>
      <c r="I122" s="62"/>
      <c r="J122" s="62">
        <f>0+0</f>
        <v>0</v>
      </c>
      <c r="K122" s="62"/>
    </row>
    <row r="123" spans="1:29" ht="14" x14ac:dyDescent="0.25">
      <c r="C123" s="42" t="s">
        <v>668</v>
      </c>
      <c r="H123" s="62">
        <f>I117+I118+I119+0</f>
        <v>17.349999999999998</v>
      </c>
      <c r="I123" s="62"/>
      <c r="J123" s="62">
        <f>K117+K118+K119+0</f>
        <v>977.44</v>
      </c>
      <c r="K123" s="62"/>
      <c r="O123" s="43">
        <f>I117+I118+I119+0</f>
        <v>17.349999999999998</v>
      </c>
      <c r="P123" s="43">
        <f>K117+K118+K119+0</f>
        <v>977.44</v>
      </c>
    </row>
    <row r="125" spans="1:29" ht="56" x14ac:dyDescent="0.25">
      <c r="A125" s="30">
        <v>9</v>
      </c>
      <c r="B125" s="30" t="str">
        <f>Source!F46</f>
        <v>4.10-185-8</v>
      </c>
      <c r="C125" s="30" t="s">
        <v>78</v>
      </c>
      <c r="D125" s="32" t="str">
        <f>Source!H46</f>
        <v>100 м</v>
      </c>
      <c r="E125" s="31">
        <f>Source!I46</f>
        <v>45.5</v>
      </c>
      <c r="F125" s="34"/>
      <c r="G125" s="33"/>
      <c r="H125" s="31"/>
      <c r="I125" s="34"/>
      <c r="J125" s="31"/>
      <c r="K125" s="34"/>
      <c r="Q125">
        <f>Source!X46</f>
        <v>6349.91</v>
      </c>
      <c r="R125">
        <f>Source!X47</f>
        <v>357817.15</v>
      </c>
      <c r="S125">
        <f>Source!Y46</f>
        <v>3245.51</v>
      </c>
      <c r="T125">
        <f>Source!Y47</f>
        <v>182884.32</v>
      </c>
      <c r="U125">
        <f>ROUND((175/100)*ROUND(Source!R46, 2), 2)</f>
        <v>0</v>
      </c>
      <c r="V125">
        <f>ROUND((0/100)*ROUND(Source!R47, 2), 2)</f>
        <v>0</v>
      </c>
      <c r="AC125">
        <v>0</v>
      </c>
    </row>
    <row r="126" spans="1:29" x14ac:dyDescent="0.25">
      <c r="C126" s="44" t="str">
        <f>"Объем: "&amp;Source!I46&amp;"=(4500+"&amp;"50)/"&amp;"100"</f>
        <v>Объем: 45,5=(4500+50)/100</v>
      </c>
    </row>
    <row r="127" spans="1:29" ht="14.5" x14ac:dyDescent="0.25">
      <c r="A127" s="30"/>
      <c r="B127" s="30"/>
      <c r="C127" s="30" t="s">
        <v>657</v>
      </c>
      <c r="D127" s="32"/>
      <c r="E127" s="31"/>
      <c r="F127" s="34">
        <f>Source!AO46</f>
        <v>411.4</v>
      </c>
      <c r="G127" s="35" t="s">
        <v>658</v>
      </c>
      <c r="H127" s="31">
        <f>Source!AV47</f>
        <v>1.0469999999999999</v>
      </c>
      <c r="I127" s="34">
        <f>Source!S46</f>
        <v>7055.45</v>
      </c>
      <c r="J127" s="31">
        <f>IF(Source!BA47&lt;&gt; 0, Source!BA47, 1)</f>
        <v>56.35</v>
      </c>
      <c r="K127" s="34">
        <f>Source!S47</f>
        <v>397574.61</v>
      </c>
    </row>
    <row r="128" spans="1:29" ht="14.5" x14ac:dyDescent="0.25">
      <c r="A128" s="30"/>
      <c r="B128" s="30"/>
      <c r="C128" s="30" t="s">
        <v>659</v>
      </c>
      <c r="D128" s="32"/>
      <c r="E128" s="31"/>
      <c r="F128" s="34">
        <f>Source!AM46</f>
        <v>6.99</v>
      </c>
      <c r="G128" s="35" t="s">
        <v>658</v>
      </c>
      <c r="H128" s="31">
        <f>Source!AV47</f>
        <v>1.0469999999999999</v>
      </c>
      <c r="I128" s="34">
        <f>Source!Q46</f>
        <v>119.88</v>
      </c>
      <c r="J128" s="31">
        <f>IF(Source!BB47&lt;&gt; 0, Source!BB47, 1)</f>
        <v>9.6</v>
      </c>
      <c r="K128" s="34">
        <f>Source!Q47</f>
        <v>1150.8499999999999</v>
      </c>
    </row>
    <row r="129" spans="1:29" ht="14.5" x14ac:dyDescent="0.25">
      <c r="A129" s="30"/>
      <c r="B129" s="30"/>
      <c r="C129" s="30" t="s">
        <v>661</v>
      </c>
      <c r="D129" s="32" t="s">
        <v>662</v>
      </c>
      <c r="E129" s="31">
        <f>Source!BZ47</f>
        <v>90</v>
      </c>
      <c r="F129" s="34"/>
      <c r="G129" s="33"/>
      <c r="H129" s="31"/>
      <c r="I129" s="34">
        <f>SUM(Q125:Q128)</f>
        <v>6349.91</v>
      </c>
      <c r="J129" s="31">
        <f>Source!AT47</f>
        <v>90</v>
      </c>
      <c r="K129" s="34">
        <f>SUM(R125:R128)</f>
        <v>357817.15</v>
      </c>
    </row>
    <row r="130" spans="1:29" ht="14.5" x14ac:dyDescent="0.25">
      <c r="A130" s="30"/>
      <c r="B130" s="30"/>
      <c r="C130" s="30" t="s">
        <v>663</v>
      </c>
      <c r="D130" s="32" t="s">
        <v>662</v>
      </c>
      <c r="E130" s="31">
        <f>Source!CA47</f>
        <v>46</v>
      </c>
      <c r="F130" s="34"/>
      <c r="G130" s="33"/>
      <c r="H130" s="31"/>
      <c r="I130" s="34">
        <f>SUM(S125:S129)</f>
        <v>3245.51</v>
      </c>
      <c r="J130" s="31">
        <f>Source!AU47</f>
        <v>46</v>
      </c>
      <c r="K130" s="34">
        <f>SUM(T125:T129)</f>
        <v>182884.32</v>
      </c>
    </row>
    <row r="131" spans="1:29" ht="14.5" x14ac:dyDescent="0.25">
      <c r="A131" s="37"/>
      <c r="B131" s="37"/>
      <c r="C131" s="37" t="s">
        <v>664</v>
      </c>
      <c r="D131" s="38" t="s">
        <v>665</v>
      </c>
      <c r="E131" s="39">
        <f>Source!AQ46</f>
        <v>34.61</v>
      </c>
      <c r="F131" s="40"/>
      <c r="G131" s="41" t="s">
        <v>658</v>
      </c>
      <c r="H131" s="39">
        <f>Source!AV47</f>
        <v>1.0469999999999999</v>
      </c>
      <c r="I131" s="40">
        <f>Source!U46</f>
        <v>593.55665459999989</v>
      </c>
      <c r="J131" s="39"/>
      <c r="K131" s="40"/>
    </row>
    <row r="132" spans="1:29" ht="14" x14ac:dyDescent="0.25">
      <c r="C132" s="42" t="s">
        <v>666</v>
      </c>
      <c r="H132" s="64">
        <f>I127+I128+I129+I130+0-0-0</f>
        <v>16770.75</v>
      </c>
      <c r="I132" s="64"/>
      <c r="J132" s="64">
        <f>K127+K128+K129+K130+0-0-0</f>
        <v>939426.92999999993</v>
      </c>
      <c r="K132" s="64"/>
    </row>
    <row r="133" spans="1:29" ht="14" hidden="1" x14ac:dyDescent="0.25">
      <c r="C133" s="42" t="s">
        <v>667</v>
      </c>
      <c r="H133" s="62">
        <f>0+0</f>
        <v>0</v>
      </c>
      <c r="I133" s="62"/>
      <c r="J133" s="62">
        <f>0+0</f>
        <v>0</v>
      </c>
      <c r="K133" s="62"/>
    </row>
    <row r="134" spans="1:29" ht="14" x14ac:dyDescent="0.25">
      <c r="C134" s="42" t="s">
        <v>668</v>
      </c>
      <c r="H134" s="62">
        <f>I127+I128+I129+I130+0</f>
        <v>16770.75</v>
      </c>
      <c r="I134" s="62"/>
      <c r="J134" s="62">
        <f>K127+K128+K129+K130+0</f>
        <v>939426.92999999993</v>
      </c>
      <c r="K134" s="62"/>
      <c r="O134" s="43">
        <f>I127+I128+I129+I130+0</f>
        <v>16770.75</v>
      </c>
      <c r="P134" s="43">
        <f>K127+K128+K129+K130+0</f>
        <v>939426.92999999993</v>
      </c>
    </row>
    <row r="136" spans="1:29" ht="42" x14ac:dyDescent="0.25">
      <c r="A136" s="30">
        <v>10</v>
      </c>
      <c r="B136" s="30" t="str">
        <f>Source!F50</f>
        <v>3.17-12-1</v>
      </c>
      <c r="C136" s="30" t="s">
        <v>85</v>
      </c>
      <c r="D136" s="32" t="str">
        <f>Source!H50</f>
        <v>100 шт.</v>
      </c>
      <c r="E136" s="31">
        <f>Source!I50</f>
        <v>0.11</v>
      </c>
      <c r="F136" s="34"/>
      <c r="G136" s="33"/>
      <c r="H136" s="31"/>
      <c r="I136" s="34"/>
      <c r="J136" s="31"/>
      <c r="K136" s="34"/>
      <c r="Q136">
        <f>Source!X50</f>
        <v>37.82</v>
      </c>
      <c r="R136">
        <f>Source!X51</f>
        <v>2131.42</v>
      </c>
      <c r="S136">
        <f>Source!Y50</f>
        <v>22.51</v>
      </c>
      <c r="T136">
        <f>Source!Y51</f>
        <v>1268.28</v>
      </c>
      <c r="U136">
        <f>ROUND((175/100)*ROUND(Source!R50, 2), 2)</f>
        <v>0.05</v>
      </c>
      <c r="V136">
        <f>ROUND((0/100)*ROUND(Source!R51, 2), 2)</f>
        <v>0</v>
      </c>
      <c r="AC136">
        <v>0</v>
      </c>
    </row>
    <row r="137" spans="1:29" x14ac:dyDescent="0.25">
      <c r="C137" s="44" t="str">
        <f>"Объем: "&amp;Source!I50&amp;"=(6+"&amp;"1+"&amp;"4)/"&amp;"100"</f>
        <v>Объем: 0,11=(6+1+4)/100</v>
      </c>
    </row>
    <row r="138" spans="1:29" ht="14.5" x14ac:dyDescent="0.25">
      <c r="A138" s="30"/>
      <c r="B138" s="30"/>
      <c r="C138" s="30" t="s">
        <v>657</v>
      </c>
      <c r="D138" s="32"/>
      <c r="E138" s="31"/>
      <c r="F138" s="34">
        <f>Source!AO50</f>
        <v>277.20999999999998</v>
      </c>
      <c r="G138" s="35" t="s">
        <v>669</v>
      </c>
      <c r="H138" s="31">
        <f>Source!AV51</f>
        <v>1.0669999999999999</v>
      </c>
      <c r="I138" s="34">
        <f>Source!S50</f>
        <v>31.23</v>
      </c>
      <c r="J138" s="31">
        <f>IF(Source!BA51&lt;&gt; 0, Source!BA51, 1)</f>
        <v>56.35</v>
      </c>
      <c r="K138" s="34">
        <f>Source!S51</f>
        <v>1759.81</v>
      </c>
    </row>
    <row r="139" spans="1:29" ht="14.5" x14ac:dyDescent="0.25">
      <c r="A139" s="30"/>
      <c r="B139" s="30"/>
      <c r="C139" s="30" t="s">
        <v>659</v>
      </c>
      <c r="D139" s="32"/>
      <c r="E139" s="31"/>
      <c r="F139" s="34">
        <f>Source!AM50</f>
        <v>7.82</v>
      </c>
      <c r="G139" s="35" t="s">
        <v>669</v>
      </c>
      <c r="H139" s="31">
        <f>Source!AV51</f>
        <v>1.0669999999999999</v>
      </c>
      <c r="I139" s="34">
        <f>Source!Q50</f>
        <v>0.88</v>
      </c>
      <c r="J139" s="31">
        <f>IF(Source!BB51&lt;&gt; 0, Source!BB51, 1)</f>
        <v>11.16</v>
      </c>
      <c r="K139" s="34">
        <f>Source!Q51</f>
        <v>9.82</v>
      </c>
    </row>
    <row r="140" spans="1:29" ht="14.5" x14ac:dyDescent="0.25">
      <c r="A140" s="30"/>
      <c r="B140" s="30"/>
      <c r="C140" s="30" t="s">
        <v>660</v>
      </c>
      <c r="D140" s="32"/>
      <c r="E140" s="31"/>
      <c r="F140" s="34">
        <f>Source!AN50</f>
        <v>0.25</v>
      </c>
      <c r="G140" s="35" t="s">
        <v>669</v>
      </c>
      <c r="H140" s="31">
        <f>Source!AV51</f>
        <v>1.0669999999999999</v>
      </c>
      <c r="I140" s="36">
        <f>Source!R50</f>
        <v>0.03</v>
      </c>
      <c r="J140" s="31">
        <f>IF(Source!BS51&lt;&gt; 0, Source!BS51, 1)</f>
        <v>56.35</v>
      </c>
      <c r="K140" s="36">
        <f>Source!R51</f>
        <v>1.69</v>
      </c>
    </row>
    <row r="141" spans="1:29" ht="14.5" x14ac:dyDescent="0.25">
      <c r="A141" s="30"/>
      <c r="B141" s="30"/>
      <c r="C141" s="30" t="s">
        <v>661</v>
      </c>
      <c r="D141" s="32" t="s">
        <v>662</v>
      </c>
      <c r="E141" s="31">
        <f>Source!BZ51</f>
        <v>121</v>
      </c>
      <c r="F141" s="34"/>
      <c r="G141" s="33"/>
      <c r="H141" s="31"/>
      <c r="I141" s="34">
        <f>SUM(Q136:Q140)</f>
        <v>37.82</v>
      </c>
      <c r="J141" s="31">
        <f>Source!AT51</f>
        <v>121</v>
      </c>
      <c r="K141" s="34">
        <f>SUM(R136:R140)</f>
        <v>2131.42</v>
      </c>
    </row>
    <row r="142" spans="1:29" ht="14.5" x14ac:dyDescent="0.25">
      <c r="A142" s="30"/>
      <c r="B142" s="30"/>
      <c r="C142" s="30" t="s">
        <v>663</v>
      </c>
      <c r="D142" s="32" t="s">
        <v>662</v>
      </c>
      <c r="E142" s="31">
        <f>Source!CA51</f>
        <v>72</v>
      </c>
      <c r="F142" s="34"/>
      <c r="G142" s="33"/>
      <c r="H142" s="31"/>
      <c r="I142" s="34">
        <f>SUM(S136:S141)</f>
        <v>22.51</v>
      </c>
      <c r="J142" s="31">
        <f>Source!AU51</f>
        <v>72</v>
      </c>
      <c r="K142" s="34">
        <f>SUM(T136:T141)</f>
        <v>1268.28</v>
      </c>
    </row>
    <row r="143" spans="1:29" ht="14.5" x14ac:dyDescent="0.25">
      <c r="A143" s="37"/>
      <c r="B143" s="37"/>
      <c r="C143" s="37" t="s">
        <v>664</v>
      </c>
      <c r="D143" s="38" t="s">
        <v>665</v>
      </c>
      <c r="E143" s="39">
        <f>Source!AQ50</f>
        <v>24.8</v>
      </c>
      <c r="F143" s="40"/>
      <c r="G143" s="41" t="s">
        <v>669</v>
      </c>
      <c r="H143" s="39">
        <f>Source!AV51</f>
        <v>1.0669999999999999</v>
      </c>
      <c r="I143" s="40">
        <f>Source!U50</f>
        <v>2.7943449600000001</v>
      </c>
      <c r="J143" s="39"/>
      <c r="K143" s="40"/>
    </row>
    <row r="144" spans="1:29" ht="14" x14ac:dyDescent="0.25">
      <c r="C144" s="42" t="s">
        <v>666</v>
      </c>
      <c r="H144" s="64">
        <f>I138+I139+I141+I142+0-0-0</f>
        <v>92.440000000000012</v>
      </c>
      <c r="I144" s="64"/>
      <c r="J144" s="64">
        <f>K138+K139+K141+K142+0-0-0</f>
        <v>5169.33</v>
      </c>
      <c r="K144" s="64"/>
    </row>
    <row r="145" spans="1:43" ht="14" hidden="1" x14ac:dyDescent="0.25">
      <c r="C145" s="42" t="s">
        <v>667</v>
      </c>
      <c r="H145" s="62">
        <f>0+0</f>
        <v>0</v>
      </c>
      <c r="I145" s="62"/>
      <c r="J145" s="62">
        <f>0+0</f>
        <v>0</v>
      </c>
      <c r="K145" s="62"/>
    </row>
    <row r="146" spans="1:43" ht="14" x14ac:dyDescent="0.25">
      <c r="C146" s="42" t="s">
        <v>668</v>
      </c>
      <c r="H146" s="62">
        <f>I138+I139+I141+I142+0</f>
        <v>92.440000000000012</v>
      </c>
      <c r="I146" s="62"/>
      <c r="J146" s="62">
        <f>K138+K139+K141+K142+0</f>
        <v>5169.33</v>
      </c>
      <c r="K146" s="62"/>
      <c r="O146" s="43">
        <f>I138+I139+I141+I142+0</f>
        <v>92.440000000000012</v>
      </c>
      <c r="P146" s="43">
        <f>K138+K139+K141+K142+0</f>
        <v>5169.33</v>
      </c>
    </row>
    <row r="149" spans="1:43" ht="28" x14ac:dyDescent="0.3">
      <c r="A149" s="61" t="str">
        <f>CONCATENATE("Итого по разделу: ",IF(Source!G53&lt;&gt;"Новый раздел", Source!G53, ""))</f>
        <v>Итого по разделу: Демонтажные работы (письмо от  АНО «РГТ» об утверждении объёмов демонтажных работ)</v>
      </c>
      <c r="B149" s="61"/>
      <c r="C149" s="61"/>
      <c r="D149" s="61"/>
      <c r="E149" s="61"/>
      <c r="F149" s="61"/>
      <c r="G149" s="61"/>
      <c r="H149" s="62">
        <f>SUM(O38:O148)</f>
        <v>24018.55</v>
      </c>
      <c r="I149" s="63"/>
      <c r="J149" s="62">
        <f>SUM(P38:P148)</f>
        <v>1346296.46</v>
      </c>
      <c r="K149" s="63"/>
      <c r="AQ149" s="45" t="str">
        <f>CONCATENATE("Итого по разделу: ",IF(Source!G53&lt;&gt;"Новый раздел", Source!G53, ""))</f>
        <v>Итого по разделу: Демонтажные работы (письмо от  АНО «РГТ» об утверждении объёмов демонтажных работ)</v>
      </c>
    </row>
    <row r="150" spans="1:43" hidden="1" x14ac:dyDescent="0.25">
      <c r="A150" t="s">
        <v>670</v>
      </c>
      <c r="I150">
        <f>SUM(W38:W149)</f>
        <v>0</v>
      </c>
      <c r="J150">
        <f>SUM(X38:X149)</f>
        <v>0</v>
      </c>
    </row>
    <row r="151" spans="1:43" hidden="1" x14ac:dyDescent="0.25">
      <c r="A151" t="s">
        <v>671</v>
      </c>
      <c r="I151">
        <f>SUM(Y38:Y150)</f>
        <v>0</v>
      </c>
      <c r="J151">
        <f>SUM(Z38:Z150)</f>
        <v>0</v>
      </c>
    </row>
    <row r="153" spans="1:43" ht="16.5" x14ac:dyDescent="0.25">
      <c r="A153" s="65" t="str">
        <f>CONCATENATE("Раздел: ",IF(Source!G83&lt;&gt;"Новый раздел", Source!G83, ""))</f>
        <v>Раздел: Центральное оборудование системы</v>
      </c>
      <c r="B153" s="65"/>
      <c r="C153" s="65"/>
      <c r="D153" s="65"/>
      <c r="E153" s="65"/>
      <c r="F153" s="65"/>
      <c r="G153" s="65"/>
      <c r="H153" s="65"/>
      <c r="I153" s="65"/>
      <c r="J153" s="65"/>
      <c r="K153" s="65"/>
    </row>
    <row r="154" spans="1:43" ht="28" x14ac:dyDescent="0.25">
      <c r="A154" s="30">
        <v>11</v>
      </c>
      <c r="B154" s="30" t="str">
        <f>Source!F87</f>
        <v>4.10-32-2</v>
      </c>
      <c r="C154" s="30" t="s">
        <v>148</v>
      </c>
      <c r="D154" s="32" t="str">
        <f>Source!H87</f>
        <v>1  ШТ.</v>
      </c>
      <c r="E154" s="31">
        <f>Source!I87</f>
        <v>1</v>
      </c>
      <c r="F154" s="34"/>
      <c r="G154" s="33"/>
      <c r="H154" s="31"/>
      <c r="I154" s="34"/>
      <c r="J154" s="31"/>
      <c r="K154" s="34"/>
      <c r="Q154">
        <f>Source!X87</f>
        <v>177.1</v>
      </c>
      <c r="R154">
        <f>Source!X88</f>
        <v>9979.7000000000007</v>
      </c>
      <c r="S154">
        <f>Source!Y87</f>
        <v>90.52</v>
      </c>
      <c r="T154">
        <f>Source!Y88</f>
        <v>5100.74</v>
      </c>
      <c r="U154">
        <f>ROUND((175/100)*ROUND(Source!R87, 2), 2)</f>
        <v>14.98</v>
      </c>
      <c r="V154">
        <f>ROUND((0/100)*ROUND(Source!R88, 2), 2)</f>
        <v>0</v>
      </c>
      <c r="AC154">
        <v>0</v>
      </c>
    </row>
    <row r="155" spans="1:43" ht="14.5" x14ac:dyDescent="0.25">
      <c r="A155" s="30"/>
      <c r="B155" s="30"/>
      <c r="C155" s="30" t="s">
        <v>657</v>
      </c>
      <c r="D155" s="32"/>
      <c r="E155" s="31"/>
      <c r="F155" s="34">
        <f>Source!AO87</f>
        <v>149.81</v>
      </c>
      <c r="G155" s="35" t="s">
        <v>156</v>
      </c>
      <c r="H155" s="31">
        <f>Source!AV88</f>
        <v>1.0469999999999999</v>
      </c>
      <c r="I155" s="34">
        <f>Source!S87</f>
        <v>188.22</v>
      </c>
      <c r="J155" s="31">
        <f>IF(Source!BA88&lt;&gt; 0, Source!BA88, 1)</f>
        <v>56.35</v>
      </c>
      <c r="K155" s="34">
        <f>Source!S88</f>
        <v>10606.2</v>
      </c>
    </row>
    <row r="156" spans="1:43" ht="14.5" x14ac:dyDescent="0.25">
      <c r="A156" s="30"/>
      <c r="B156" s="30"/>
      <c r="C156" s="30" t="s">
        <v>659</v>
      </c>
      <c r="D156" s="32"/>
      <c r="E156" s="31"/>
      <c r="F156" s="34">
        <f>Source!AM87</f>
        <v>63.24</v>
      </c>
      <c r="G156" s="35" t="s">
        <v>156</v>
      </c>
      <c r="H156" s="31">
        <f>Source!AV88</f>
        <v>1.0469999999999999</v>
      </c>
      <c r="I156" s="34">
        <f>Source!Q87</f>
        <v>79.45</v>
      </c>
      <c r="J156" s="31">
        <f>IF(Source!BB88&lt;&gt; 0, Source!BB88, 1)</f>
        <v>16.04</v>
      </c>
      <c r="K156" s="34">
        <f>Source!Q88</f>
        <v>1274.3800000000001</v>
      </c>
    </row>
    <row r="157" spans="1:43" ht="14.5" x14ac:dyDescent="0.25">
      <c r="A157" s="30"/>
      <c r="B157" s="30"/>
      <c r="C157" s="30" t="s">
        <v>660</v>
      </c>
      <c r="D157" s="32"/>
      <c r="E157" s="31"/>
      <c r="F157" s="34">
        <f>Source!AN87</f>
        <v>6.81</v>
      </c>
      <c r="G157" s="35" t="s">
        <v>156</v>
      </c>
      <c r="H157" s="31">
        <f>Source!AV88</f>
        <v>1.0469999999999999</v>
      </c>
      <c r="I157" s="36">
        <f>Source!R87</f>
        <v>8.56</v>
      </c>
      <c r="J157" s="31">
        <f>IF(Source!BS88&lt;&gt; 0, Source!BS88, 1)</f>
        <v>56.35</v>
      </c>
      <c r="K157" s="36">
        <f>Source!R88</f>
        <v>482.36</v>
      </c>
    </row>
    <row r="158" spans="1:43" ht="14.5" x14ac:dyDescent="0.25">
      <c r="A158" s="30"/>
      <c r="B158" s="30"/>
      <c r="C158" s="30" t="s">
        <v>672</v>
      </c>
      <c r="D158" s="32"/>
      <c r="E158" s="31"/>
      <c r="F158" s="34">
        <f>Source!AL87</f>
        <v>3.92</v>
      </c>
      <c r="G158" s="35" t="s">
        <v>3</v>
      </c>
      <c r="H158" s="31">
        <f>Source!AW88</f>
        <v>1</v>
      </c>
      <c r="I158" s="34">
        <f>Source!P87</f>
        <v>3.92</v>
      </c>
      <c r="J158" s="31">
        <f>IF(Source!BC88&lt;&gt; 0, Source!BC88, 1)</f>
        <v>7.12</v>
      </c>
      <c r="K158" s="34">
        <f>Source!P88</f>
        <v>27.91</v>
      </c>
    </row>
    <row r="159" spans="1:43" ht="14.5" x14ac:dyDescent="0.25">
      <c r="A159" s="30"/>
      <c r="B159" s="30"/>
      <c r="C159" s="30" t="s">
        <v>661</v>
      </c>
      <c r="D159" s="32" t="s">
        <v>662</v>
      </c>
      <c r="E159" s="31">
        <f>Source!BZ88</f>
        <v>90</v>
      </c>
      <c r="F159" s="34"/>
      <c r="G159" s="33"/>
      <c r="H159" s="31"/>
      <c r="I159" s="34">
        <f>SUM(Q154:Q158)</f>
        <v>177.1</v>
      </c>
      <c r="J159" s="31">
        <f>Source!AT88</f>
        <v>90</v>
      </c>
      <c r="K159" s="34">
        <f>SUM(R154:R158)</f>
        <v>9979.7000000000007</v>
      </c>
    </row>
    <row r="160" spans="1:43" ht="14.5" x14ac:dyDescent="0.25">
      <c r="A160" s="30"/>
      <c r="B160" s="30"/>
      <c r="C160" s="30" t="s">
        <v>663</v>
      </c>
      <c r="D160" s="32" t="s">
        <v>662</v>
      </c>
      <c r="E160" s="31">
        <f>Source!CA88</f>
        <v>46</v>
      </c>
      <c r="F160" s="34"/>
      <c r="G160" s="33"/>
      <c r="H160" s="31"/>
      <c r="I160" s="34">
        <f>SUM(S154:S159)</f>
        <v>90.52</v>
      </c>
      <c r="J160" s="31">
        <f>Source!AU88</f>
        <v>46</v>
      </c>
      <c r="K160" s="34">
        <f>SUM(T154:T159)</f>
        <v>5100.74</v>
      </c>
    </row>
    <row r="161" spans="1:29" ht="14.5" x14ac:dyDescent="0.25">
      <c r="A161" s="37"/>
      <c r="B161" s="37"/>
      <c r="C161" s="37" t="s">
        <v>664</v>
      </c>
      <c r="D161" s="38" t="s">
        <v>665</v>
      </c>
      <c r="E161" s="39">
        <f>Source!AQ87</f>
        <v>13.4</v>
      </c>
      <c r="F161" s="40"/>
      <c r="G161" s="41" t="s">
        <v>156</v>
      </c>
      <c r="H161" s="39">
        <f>Source!AV88</f>
        <v>1.0469999999999999</v>
      </c>
      <c r="I161" s="40">
        <f>Source!U87</f>
        <v>16.835759999999997</v>
      </c>
      <c r="J161" s="39"/>
      <c r="K161" s="40"/>
    </row>
    <row r="162" spans="1:29" ht="14" x14ac:dyDescent="0.25">
      <c r="C162" s="42" t="s">
        <v>666</v>
      </c>
      <c r="H162" s="64">
        <f>I155+I156+I158+I159+I160+0-0-0</f>
        <v>539.21</v>
      </c>
      <c r="I162" s="64"/>
      <c r="J162" s="64">
        <f>K155+K156+K158+K159+K160+0-0-0</f>
        <v>26988.93</v>
      </c>
      <c r="K162" s="64"/>
    </row>
    <row r="163" spans="1:29" ht="14" hidden="1" x14ac:dyDescent="0.25">
      <c r="C163" s="42" t="s">
        <v>667</v>
      </c>
      <c r="H163" s="62">
        <f>0+0</f>
        <v>0</v>
      </c>
      <c r="I163" s="62"/>
      <c r="J163" s="62">
        <f>0+0</f>
        <v>0</v>
      </c>
      <c r="K163" s="62"/>
    </row>
    <row r="164" spans="1:29" ht="14" x14ac:dyDescent="0.25">
      <c r="C164" s="42" t="s">
        <v>668</v>
      </c>
      <c r="H164" s="62">
        <f>I155+I156+I158+I159+I160+0</f>
        <v>539.21</v>
      </c>
      <c r="I164" s="62"/>
      <c r="J164" s="62">
        <f>K155+K156+K158+K159+K160+0</f>
        <v>26988.93</v>
      </c>
      <c r="K164" s="62"/>
      <c r="O164" s="43">
        <f>I155+I156+I158+I159+I160+0</f>
        <v>539.21</v>
      </c>
      <c r="P164" s="43">
        <f>K155+K156+K158+K159+K160+0</f>
        <v>26988.93</v>
      </c>
    </row>
    <row r="166" spans="1:29" ht="82" x14ac:dyDescent="0.25">
      <c r="A166" s="46">
        <v>12</v>
      </c>
      <c r="B166" s="46" t="str">
        <f>Source!F89</f>
        <v>КА, п.1</v>
      </c>
      <c r="C166" s="46" t="s">
        <v>673</v>
      </c>
      <c r="D166" s="47" t="str">
        <f>Source!H89</f>
        <v>ШТ</v>
      </c>
      <c r="E166" s="48">
        <f>Source!I89</f>
        <v>1</v>
      </c>
      <c r="F166" s="49">
        <f>Source!AL89</f>
        <v>82560.19</v>
      </c>
      <c r="G166" s="50" t="s">
        <v>3</v>
      </c>
      <c r="H166" s="48">
        <f>Source!AW90</f>
        <v>1</v>
      </c>
      <c r="I166" s="49">
        <f>Source!P89</f>
        <v>82560.19</v>
      </c>
      <c r="J166" s="48">
        <f>IF(Source!BC90&lt;&gt; 0, Source!BC90, 1)</f>
        <v>7.57</v>
      </c>
      <c r="K166" s="49">
        <f>Source!P90</f>
        <v>624980.64</v>
      </c>
      <c r="Q166">
        <f>Source!X89</f>
        <v>0</v>
      </c>
      <c r="R166">
        <f>Source!X90</f>
        <v>0</v>
      </c>
      <c r="S166">
        <f>Source!Y89</f>
        <v>0</v>
      </c>
      <c r="T166">
        <f>Source!Y90</f>
        <v>0</v>
      </c>
      <c r="U166">
        <f>ROUND((175/100)*ROUND(Source!R89, 2), 2)</f>
        <v>0</v>
      </c>
      <c r="V166">
        <f>ROUND((0/100)*ROUND(Source!R90, 2), 2)</f>
        <v>0</v>
      </c>
      <c r="AC166">
        <v>5</v>
      </c>
    </row>
    <row r="167" spans="1:29" ht="14" x14ac:dyDescent="0.25">
      <c r="A167" s="51"/>
      <c r="B167" s="51"/>
      <c r="C167" s="52" t="s">
        <v>668</v>
      </c>
      <c r="D167" s="51"/>
      <c r="E167" s="51"/>
      <c r="F167" s="51"/>
      <c r="G167" s="51"/>
      <c r="H167" s="66">
        <f>I166+0</f>
        <v>82560.19</v>
      </c>
      <c r="I167" s="66"/>
      <c r="J167" s="66">
        <f>K166+0</f>
        <v>624980.64</v>
      </c>
      <c r="K167" s="66"/>
      <c r="O167" s="43">
        <f>I166+0</f>
        <v>82560.19</v>
      </c>
      <c r="P167" s="43">
        <f>K166+0</f>
        <v>624980.64</v>
      </c>
    </row>
    <row r="169" spans="1:29" ht="42" x14ac:dyDescent="0.25">
      <c r="A169" s="30">
        <v>13</v>
      </c>
      <c r="B169" s="30" t="str">
        <f>Source!F125</f>
        <v>4.10-151-2</v>
      </c>
      <c r="C169" s="30" t="s">
        <v>206</v>
      </c>
      <c r="D169" s="32" t="str">
        <f>Source!H125</f>
        <v>1  ШТ.</v>
      </c>
      <c r="E169" s="31">
        <f>Source!I125</f>
        <v>1</v>
      </c>
      <c r="F169" s="34"/>
      <c r="G169" s="33"/>
      <c r="H169" s="31"/>
      <c r="I169" s="34"/>
      <c r="J169" s="31"/>
      <c r="K169" s="34"/>
      <c r="Q169">
        <f>Source!X125</f>
        <v>75.650000000000006</v>
      </c>
      <c r="R169">
        <f>Source!X126</f>
        <v>4262.6000000000004</v>
      </c>
      <c r="S169">
        <f>Source!Y125</f>
        <v>38.659999999999997</v>
      </c>
      <c r="T169">
        <f>Source!Y126</f>
        <v>2178.66</v>
      </c>
      <c r="U169">
        <f>ROUND((175/100)*ROUND(Source!R125, 2), 2)</f>
        <v>0</v>
      </c>
      <c r="V169">
        <f>ROUND((0/100)*ROUND(Source!R126, 2), 2)</f>
        <v>0</v>
      </c>
      <c r="AC169">
        <v>0</v>
      </c>
    </row>
    <row r="170" spans="1:29" ht="14.5" x14ac:dyDescent="0.25">
      <c r="A170" s="30"/>
      <c r="B170" s="30"/>
      <c r="C170" s="30" t="s">
        <v>657</v>
      </c>
      <c r="D170" s="32"/>
      <c r="E170" s="31"/>
      <c r="F170" s="34">
        <f>Source!AO125</f>
        <v>66.900000000000006</v>
      </c>
      <c r="G170" s="35" t="s">
        <v>156</v>
      </c>
      <c r="H170" s="31">
        <f>Source!AV126</f>
        <v>1.0469999999999999</v>
      </c>
      <c r="I170" s="34">
        <f>Source!S125</f>
        <v>84.05</v>
      </c>
      <c r="J170" s="31">
        <f>IF(Source!BA126&lt;&gt; 0, Source!BA126, 1)</f>
        <v>56.35</v>
      </c>
      <c r="K170" s="34">
        <f>Source!S126</f>
        <v>4736.22</v>
      </c>
    </row>
    <row r="171" spans="1:29" ht="14.5" x14ac:dyDescent="0.25">
      <c r="A171" s="30"/>
      <c r="B171" s="30"/>
      <c r="C171" s="30" t="s">
        <v>659</v>
      </c>
      <c r="D171" s="32"/>
      <c r="E171" s="31"/>
      <c r="F171" s="34">
        <f>Source!AM125</f>
        <v>0.1</v>
      </c>
      <c r="G171" s="35" t="s">
        <v>156</v>
      </c>
      <c r="H171" s="31">
        <f>Source!AV126</f>
        <v>1.0469999999999999</v>
      </c>
      <c r="I171" s="34">
        <f>Source!Q125</f>
        <v>0.13</v>
      </c>
      <c r="J171" s="31">
        <f>IF(Source!BB126&lt;&gt; 0, Source!BB126, 1)</f>
        <v>9.8000000000000007</v>
      </c>
      <c r="K171" s="34">
        <f>Source!Q126</f>
        <v>1.27</v>
      </c>
    </row>
    <row r="172" spans="1:29" ht="14.5" x14ac:dyDescent="0.25">
      <c r="A172" s="30"/>
      <c r="B172" s="30"/>
      <c r="C172" s="30" t="s">
        <v>672</v>
      </c>
      <c r="D172" s="32"/>
      <c r="E172" s="31"/>
      <c r="F172" s="34">
        <f>Source!AL125</f>
        <v>2.67</v>
      </c>
      <c r="G172" s="35" t="s">
        <v>3</v>
      </c>
      <c r="H172" s="31">
        <f>Source!AW126</f>
        <v>1</v>
      </c>
      <c r="I172" s="34">
        <f>Source!P125</f>
        <v>2.67</v>
      </c>
      <c r="J172" s="31">
        <f>IF(Source!BC126&lt;&gt; 0, Source!BC126, 1)</f>
        <v>0.93</v>
      </c>
      <c r="K172" s="34">
        <f>Source!P126</f>
        <v>2.48</v>
      </c>
    </row>
    <row r="173" spans="1:29" ht="14.5" x14ac:dyDescent="0.25">
      <c r="A173" s="30"/>
      <c r="B173" s="30"/>
      <c r="C173" s="30" t="s">
        <v>661</v>
      </c>
      <c r="D173" s="32" t="s">
        <v>662</v>
      </c>
      <c r="E173" s="31">
        <f>Source!BZ126</f>
        <v>90</v>
      </c>
      <c r="F173" s="34"/>
      <c r="G173" s="33"/>
      <c r="H173" s="31"/>
      <c r="I173" s="34">
        <f>SUM(Q169:Q172)</f>
        <v>75.650000000000006</v>
      </c>
      <c r="J173" s="31">
        <f>Source!AT126</f>
        <v>90</v>
      </c>
      <c r="K173" s="34">
        <f>SUM(R169:R172)</f>
        <v>4262.6000000000004</v>
      </c>
    </row>
    <row r="174" spans="1:29" ht="14.5" x14ac:dyDescent="0.25">
      <c r="A174" s="30"/>
      <c r="B174" s="30"/>
      <c r="C174" s="30" t="s">
        <v>663</v>
      </c>
      <c r="D174" s="32" t="s">
        <v>662</v>
      </c>
      <c r="E174" s="31">
        <f>Source!CA126</f>
        <v>46</v>
      </c>
      <c r="F174" s="34"/>
      <c r="G174" s="33"/>
      <c r="H174" s="31"/>
      <c r="I174" s="34">
        <f>SUM(S169:S173)</f>
        <v>38.659999999999997</v>
      </c>
      <c r="J174" s="31">
        <f>Source!AU126</f>
        <v>46</v>
      </c>
      <c r="K174" s="34">
        <f>SUM(T169:T173)</f>
        <v>2178.66</v>
      </c>
    </row>
    <row r="175" spans="1:29" ht="14.5" x14ac:dyDescent="0.25">
      <c r="A175" s="37"/>
      <c r="B175" s="37"/>
      <c r="C175" s="37" t="s">
        <v>664</v>
      </c>
      <c r="D175" s="38" t="s">
        <v>665</v>
      </c>
      <c r="E175" s="39">
        <f>Source!AQ125</f>
        <v>5</v>
      </c>
      <c r="F175" s="40"/>
      <c r="G175" s="41" t="s">
        <v>156</v>
      </c>
      <c r="H175" s="39">
        <f>Source!AV126</f>
        <v>1.0469999999999999</v>
      </c>
      <c r="I175" s="40">
        <f>Source!U125</f>
        <v>6.282</v>
      </c>
      <c r="J175" s="39"/>
      <c r="K175" s="40"/>
    </row>
    <row r="176" spans="1:29" ht="14" x14ac:dyDescent="0.25">
      <c r="C176" s="42" t="s">
        <v>666</v>
      </c>
      <c r="H176" s="64">
        <f>I170+I171+I172+I173+I174+0-0-0</f>
        <v>201.16</v>
      </c>
      <c r="I176" s="64"/>
      <c r="J176" s="64">
        <f>K170+K171+K172+K173+K174+0-0-0</f>
        <v>11181.23</v>
      </c>
      <c r="K176" s="64"/>
    </row>
    <row r="177" spans="1:29" ht="14" hidden="1" x14ac:dyDescent="0.25">
      <c r="C177" s="42" t="s">
        <v>667</v>
      </c>
      <c r="H177" s="62">
        <f>0+0</f>
        <v>0</v>
      </c>
      <c r="I177" s="62"/>
      <c r="J177" s="62">
        <f>0+0</f>
        <v>0</v>
      </c>
      <c r="K177" s="62"/>
    </row>
    <row r="178" spans="1:29" ht="14" x14ac:dyDescent="0.25">
      <c r="C178" s="42" t="s">
        <v>668</v>
      </c>
      <c r="H178" s="62">
        <f>I170+I171+I172+I173+I174+0</f>
        <v>201.16</v>
      </c>
      <c r="I178" s="62"/>
      <c r="J178" s="62">
        <f>K170+K171+K172+K173+K174+0</f>
        <v>11181.23</v>
      </c>
      <c r="K178" s="62"/>
      <c r="O178" s="43">
        <f>I170+I171+I172+I173+I174+0</f>
        <v>201.16</v>
      </c>
      <c r="P178" s="43">
        <f>K170+K171+K172+K173+K174+0</f>
        <v>11181.23</v>
      </c>
    </row>
    <row r="180" spans="1:29" ht="124" x14ac:dyDescent="0.25">
      <c r="A180" s="46">
        <v>14</v>
      </c>
      <c r="B180" s="46" t="str">
        <f>Source!F129</f>
        <v>КА, п.10</v>
      </c>
      <c r="C180" s="46" t="s">
        <v>674</v>
      </c>
      <c r="D180" s="47" t="str">
        <f>Source!H129</f>
        <v>ШТ</v>
      </c>
      <c r="E180" s="48">
        <f>Source!I129</f>
        <v>1</v>
      </c>
      <c r="F180" s="49">
        <f>Source!AL129</f>
        <v>4438.4399999999996</v>
      </c>
      <c r="G180" s="50" t="s">
        <v>3</v>
      </c>
      <c r="H180" s="48">
        <f>Source!AW130</f>
        <v>1</v>
      </c>
      <c r="I180" s="49">
        <f>Source!P129</f>
        <v>4438.4399999999996</v>
      </c>
      <c r="J180" s="48">
        <f>IF(Source!BC130&lt;&gt; 0, Source!BC130, 1)</f>
        <v>7.57</v>
      </c>
      <c r="K180" s="49">
        <f>Source!P130</f>
        <v>33598.99</v>
      </c>
      <c r="Q180">
        <f>Source!X129</f>
        <v>0</v>
      </c>
      <c r="R180">
        <f>Source!X130</f>
        <v>0</v>
      </c>
      <c r="S180">
        <f>Source!Y129</f>
        <v>0</v>
      </c>
      <c r="T180">
        <f>Source!Y130</f>
        <v>0</v>
      </c>
      <c r="U180">
        <f>ROUND((175/100)*ROUND(Source!R129, 2), 2)</f>
        <v>0</v>
      </c>
      <c r="V180">
        <f>ROUND((0/100)*ROUND(Source!R130, 2), 2)</f>
        <v>0</v>
      </c>
      <c r="AC180">
        <v>5</v>
      </c>
    </row>
    <row r="181" spans="1:29" ht="14" x14ac:dyDescent="0.25">
      <c r="A181" s="51"/>
      <c r="B181" s="51"/>
      <c r="C181" s="52" t="s">
        <v>668</v>
      </c>
      <c r="D181" s="51"/>
      <c r="E181" s="51"/>
      <c r="F181" s="51"/>
      <c r="G181" s="51"/>
      <c r="H181" s="66">
        <f>I180+0</f>
        <v>4438.4399999999996</v>
      </c>
      <c r="I181" s="66"/>
      <c r="J181" s="66">
        <f>K180+0</f>
        <v>33598.99</v>
      </c>
      <c r="K181" s="66"/>
      <c r="O181" s="43">
        <f>I180+0</f>
        <v>4438.4399999999996</v>
      </c>
      <c r="P181" s="43">
        <f>K180+0</f>
        <v>33598.99</v>
      </c>
    </row>
    <row r="183" spans="1:29" ht="42" x14ac:dyDescent="0.25">
      <c r="A183" s="30">
        <v>15</v>
      </c>
      <c r="B183" s="30" t="str">
        <f>Source!F131</f>
        <v>4.10-80-1</v>
      </c>
      <c r="C183" s="30" t="s">
        <v>178</v>
      </c>
      <c r="D183" s="32" t="str">
        <f>Source!H131</f>
        <v>1  ШТ.</v>
      </c>
      <c r="E183" s="31">
        <f>Source!I131</f>
        <v>2</v>
      </c>
      <c r="F183" s="34"/>
      <c r="G183" s="33"/>
      <c r="H183" s="31"/>
      <c r="I183" s="34"/>
      <c r="J183" s="31"/>
      <c r="K183" s="34"/>
      <c r="Q183">
        <f>Source!X131</f>
        <v>214.97</v>
      </c>
      <c r="R183">
        <f>Source!X132</f>
        <v>12113.28</v>
      </c>
      <c r="S183">
        <f>Source!Y131</f>
        <v>109.87</v>
      </c>
      <c r="T183">
        <f>Source!Y132</f>
        <v>6191.23</v>
      </c>
      <c r="U183">
        <f>ROUND((175/100)*ROUND(Source!R131, 2), 2)</f>
        <v>0.05</v>
      </c>
      <c r="V183">
        <f>ROUND((0/100)*ROUND(Source!R132, 2), 2)</f>
        <v>0</v>
      </c>
      <c r="AC183">
        <v>0</v>
      </c>
    </row>
    <row r="184" spans="1:29" ht="14.5" x14ac:dyDescent="0.25">
      <c r="A184" s="30"/>
      <c r="B184" s="30"/>
      <c r="C184" s="30" t="s">
        <v>657</v>
      </c>
      <c r="D184" s="32"/>
      <c r="E184" s="31"/>
      <c r="F184" s="34">
        <f>Source!AO131</f>
        <v>95.04</v>
      </c>
      <c r="G184" s="35" t="s">
        <v>156</v>
      </c>
      <c r="H184" s="31">
        <f>Source!AV132</f>
        <v>1.0469999999999999</v>
      </c>
      <c r="I184" s="34">
        <f>Source!S131</f>
        <v>238.82</v>
      </c>
      <c r="J184" s="31">
        <f>IF(Source!BA132&lt;&gt; 0, Source!BA132, 1)</f>
        <v>56.35</v>
      </c>
      <c r="K184" s="34">
        <f>Source!S132</f>
        <v>13457.51</v>
      </c>
    </row>
    <row r="185" spans="1:29" ht="14.5" x14ac:dyDescent="0.25">
      <c r="A185" s="30"/>
      <c r="B185" s="30"/>
      <c r="C185" s="30" t="s">
        <v>659</v>
      </c>
      <c r="D185" s="32"/>
      <c r="E185" s="31"/>
      <c r="F185" s="34">
        <f>Source!AM131</f>
        <v>0.06</v>
      </c>
      <c r="G185" s="35" t="s">
        <v>156</v>
      </c>
      <c r="H185" s="31">
        <f>Source!AV132</f>
        <v>1.0469999999999999</v>
      </c>
      <c r="I185" s="34">
        <f>Source!Q131</f>
        <v>0.15</v>
      </c>
      <c r="J185" s="31">
        <f>IF(Source!BB132&lt;&gt; 0, Source!BB132, 1)</f>
        <v>18.5</v>
      </c>
      <c r="K185" s="34">
        <f>Source!Q132</f>
        <v>2.78</v>
      </c>
    </row>
    <row r="186" spans="1:29" ht="14.5" x14ac:dyDescent="0.25">
      <c r="A186" s="30"/>
      <c r="B186" s="30"/>
      <c r="C186" s="30" t="s">
        <v>660</v>
      </c>
      <c r="D186" s="32"/>
      <c r="E186" s="31"/>
      <c r="F186" s="34">
        <f>Source!AN131</f>
        <v>0.01</v>
      </c>
      <c r="G186" s="35" t="s">
        <v>156</v>
      </c>
      <c r="H186" s="31">
        <f>Source!AV132</f>
        <v>1.0469999999999999</v>
      </c>
      <c r="I186" s="36">
        <f>Source!R131</f>
        <v>0.03</v>
      </c>
      <c r="J186" s="31">
        <f>IF(Source!BS132&lt;&gt; 0, Source!BS132, 1)</f>
        <v>56.35</v>
      </c>
      <c r="K186" s="36">
        <f>Source!R132</f>
        <v>1.69</v>
      </c>
    </row>
    <row r="187" spans="1:29" ht="14.5" x14ac:dyDescent="0.25">
      <c r="A187" s="30"/>
      <c r="B187" s="30"/>
      <c r="C187" s="30" t="s">
        <v>672</v>
      </c>
      <c r="D187" s="32"/>
      <c r="E187" s="31"/>
      <c r="F187" s="34">
        <f>Source!AL131</f>
        <v>12.53</v>
      </c>
      <c r="G187" s="35" t="s">
        <v>3</v>
      </c>
      <c r="H187" s="31">
        <f>Source!AW132</f>
        <v>1</v>
      </c>
      <c r="I187" s="34">
        <f>Source!P131</f>
        <v>25.06</v>
      </c>
      <c r="J187" s="31">
        <f>IF(Source!BC132&lt;&gt; 0, Source!BC132, 1)</f>
        <v>9.84</v>
      </c>
      <c r="K187" s="34">
        <f>Source!P132</f>
        <v>246.59</v>
      </c>
    </row>
    <row r="188" spans="1:29" ht="14.5" x14ac:dyDescent="0.25">
      <c r="A188" s="30"/>
      <c r="B188" s="30"/>
      <c r="C188" s="30" t="s">
        <v>661</v>
      </c>
      <c r="D188" s="32" t="s">
        <v>662</v>
      </c>
      <c r="E188" s="31">
        <f>Source!BZ132</f>
        <v>90</v>
      </c>
      <c r="F188" s="34"/>
      <c r="G188" s="33"/>
      <c r="H188" s="31"/>
      <c r="I188" s="34">
        <f>SUM(Q183:Q187)</f>
        <v>214.97</v>
      </c>
      <c r="J188" s="31">
        <f>Source!AT132</f>
        <v>90</v>
      </c>
      <c r="K188" s="34">
        <f>SUM(R183:R187)</f>
        <v>12113.28</v>
      </c>
    </row>
    <row r="189" spans="1:29" ht="14.5" x14ac:dyDescent="0.25">
      <c r="A189" s="30"/>
      <c r="B189" s="30"/>
      <c r="C189" s="30" t="s">
        <v>663</v>
      </c>
      <c r="D189" s="32" t="s">
        <v>662</v>
      </c>
      <c r="E189" s="31">
        <f>Source!CA132</f>
        <v>46</v>
      </c>
      <c r="F189" s="34"/>
      <c r="G189" s="33"/>
      <c r="H189" s="31"/>
      <c r="I189" s="34">
        <f>SUM(S183:S188)</f>
        <v>109.87</v>
      </c>
      <c r="J189" s="31">
        <f>Source!AU132</f>
        <v>46</v>
      </c>
      <c r="K189" s="34">
        <f>SUM(T183:T188)</f>
        <v>6191.23</v>
      </c>
    </row>
    <row r="190" spans="1:29" ht="14.5" x14ac:dyDescent="0.25">
      <c r="A190" s="37"/>
      <c r="B190" s="37"/>
      <c r="C190" s="37" t="s">
        <v>664</v>
      </c>
      <c r="D190" s="38" t="s">
        <v>665</v>
      </c>
      <c r="E190" s="39">
        <f>Source!AQ131</f>
        <v>7.2</v>
      </c>
      <c r="F190" s="40"/>
      <c r="G190" s="41" t="s">
        <v>156</v>
      </c>
      <c r="H190" s="39">
        <f>Source!AV132</f>
        <v>1.0469999999999999</v>
      </c>
      <c r="I190" s="40">
        <f>Source!U131</f>
        <v>18.09216</v>
      </c>
      <c r="J190" s="39"/>
      <c r="K190" s="40"/>
    </row>
    <row r="191" spans="1:29" ht="14" x14ac:dyDescent="0.25">
      <c r="C191" s="42" t="s">
        <v>666</v>
      </c>
      <c r="H191" s="64">
        <f>I184+I185+I187+I188+I189+0-0-0</f>
        <v>588.87</v>
      </c>
      <c r="I191" s="64"/>
      <c r="J191" s="64">
        <f>K184+K185+K187+K188+K189+0-0-0</f>
        <v>32011.390000000003</v>
      </c>
      <c r="K191" s="64"/>
    </row>
    <row r="192" spans="1:29" ht="14" hidden="1" x14ac:dyDescent="0.25">
      <c r="C192" s="42" t="s">
        <v>667</v>
      </c>
      <c r="H192" s="62">
        <f>0+0</f>
        <v>0</v>
      </c>
      <c r="I192" s="62"/>
      <c r="J192" s="62">
        <f>0+0</f>
        <v>0</v>
      </c>
      <c r="K192" s="62"/>
    </row>
    <row r="193" spans="1:29" ht="14" x14ac:dyDescent="0.25">
      <c r="C193" s="42" t="s">
        <v>668</v>
      </c>
      <c r="H193" s="62">
        <f>I184+I185+I187+I188+I189+0</f>
        <v>588.87</v>
      </c>
      <c r="I193" s="62"/>
      <c r="J193" s="62">
        <f>K184+K185+K187+K188+K189+0</f>
        <v>32011.390000000003</v>
      </c>
      <c r="K193" s="62"/>
      <c r="O193" s="43">
        <f>I184+I185+I187+I188+I189+0</f>
        <v>588.87</v>
      </c>
      <c r="P193" s="43">
        <f>K184+K185+K187+K188+K189+0</f>
        <v>32011.390000000003</v>
      </c>
    </row>
    <row r="195" spans="1:29" ht="82" x14ac:dyDescent="0.25">
      <c r="A195" s="46">
        <v>16</v>
      </c>
      <c r="B195" s="46" t="str">
        <f>Source!F135</f>
        <v>КА, п.11</v>
      </c>
      <c r="C195" s="46" t="s">
        <v>675</v>
      </c>
      <c r="D195" s="47" t="str">
        <f>Source!H135</f>
        <v>ШТ</v>
      </c>
      <c r="E195" s="48">
        <f>Source!I135</f>
        <v>2</v>
      </c>
      <c r="F195" s="49">
        <f>Source!AL135</f>
        <v>4463.05</v>
      </c>
      <c r="G195" s="50" t="s">
        <v>3</v>
      </c>
      <c r="H195" s="48">
        <f>Source!AW136</f>
        <v>1</v>
      </c>
      <c r="I195" s="49">
        <f>Source!P135</f>
        <v>8926.1</v>
      </c>
      <c r="J195" s="48">
        <f>IF(Source!BC136&lt;&gt; 0, Source!BC136, 1)</f>
        <v>7.57</v>
      </c>
      <c r="K195" s="49">
        <f>Source!P136</f>
        <v>67570.58</v>
      </c>
      <c r="Q195">
        <f>Source!X135</f>
        <v>0</v>
      </c>
      <c r="R195">
        <f>Source!X136</f>
        <v>0</v>
      </c>
      <c r="S195">
        <f>Source!Y135</f>
        <v>0</v>
      </c>
      <c r="T195">
        <f>Source!Y136</f>
        <v>0</v>
      </c>
      <c r="U195">
        <f>ROUND((175/100)*ROUND(Source!R135, 2), 2)</f>
        <v>0</v>
      </c>
      <c r="V195">
        <f>ROUND((0/100)*ROUND(Source!R136, 2), 2)</f>
        <v>0</v>
      </c>
      <c r="AC195">
        <v>5</v>
      </c>
    </row>
    <row r="196" spans="1:29" ht="14" x14ac:dyDescent="0.25">
      <c r="A196" s="51"/>
      <c r="B196" s="51"/>
      <c r="C196" s="52" t="s">
        <v>668</v>
      </c>
      <c r="D196" s="51"/>
      <c r="E196" s="51"/>
      <c r="F196" s="51"/>
      <c r="G196" s="51"/>
      <c r="H196" s="66">
        <f>I195+0</f>
        <v>8926.1</v>
      </c>
      <c r="I196" s="66"/>
      <c r="J196" s="66">
        <f>K195+0</f>
        <v>67570.58</v>
      </c>
      <c r="K196" s="66"/>
      <c r="O196" s="43">
        <f>I195+0</f>
        <v>8926.1</v>
      </c>
      <c r="P196" s="43">
        <f>K195+0</f>
        <v>67570.58</v>
      </c>
    </row>
    <row r="198" spans="1:29" ht="14.5" x14ac:dyDescent="0.25">
      <c r="A198" s="30">
        <v>17</v>
      </c>
      <c r="B198" s="30" t="str">
        <f>Source!F137</f>
        <v>4.10-34-5</v>
      </c>
      <c r="C198" s="30" t="s">
        <v>220</v>
      </c>
      <c r="D198" s="32" t="str">
        <f>Source!H137</f>
        <v>1  ШТ.</v>
      </c>
      <c r="E198" s="31">
        <f>Source!I137</f>
        <v>1</v>
      </c>
      <c r="F198" s="34"/>
      <c r="G198" s="33"/>
      <c r="H198" s="31"/>
      <c r="I198" s="34"/>
      <c r="J198" s="31"/>
      <c r="K198" s="34"/>
      <c r="Q198">
        <f>Source!X137</f>
        <v>92.04</v>
      </c>
      <c r="R198">
        <f>Source!X138</f>
        <v>5186.63</v>
      </c>
      <c r="S198">
        <f>Source!Y137</f>
        <v>47.04</v>
      </c>
      <c r="T198">
        <f>Source!Y138</f>
        <v>2650.94</v>
      </c>
      <c r="U198">
        <f>ROUND((175/100)*ROUND(Source!R137, 2), 2)</f>
        <v>6.95</v>
      </c>
      <c r="V198">
        <f>ROUND((0/100)*ROUND(Source!R138, 2), 2)</f>
        <v>0</v>
      </c>
      <c r="AC198">
        <v>0</v>
      </c>
    </row>
    <row r="199" spans="1:29" ht="14.5" x14ac:dyDescent="0.25">
      <c r="A199" s="30"/>
      <c r="B199" s="30"/>
      <c r="C199" s="30" t="s">
        <v>657</v>
      </c>
      <c r="D199" s="32"/>
      <c r="E199" s="31"/>
      <c r="F199" s="34">
        <f>Source!AO137</f>
        <v>78.239999999999995</v>
      </c>
      <c r="G199" s="35" t="s">
        <v>156</v>
      </c>
      <c r="H199" s="31">
        <f>Source!AV138</f>
        <v>1.0469999999999999</v>
      </c>
      <c r="I199" s="34">
        <f>Source!S137</f>
        <v>98.3</v>
      </c>
      <c r="J199" s="31">
        <f>IF(Source!BA138&lt;&gt; 0, Source!BA138, 1)</f>
        <v>56.35</v>
      </c>
      <c r="K199" s="34">
        <f>Source!S138</f>
        <v>5539.21</v>
      </c>
    </row>
    <row r="200" spans="1:29" ht="14.5" x14ac:dyDescent="0.25">
      <c r="A200" s="30"/>
      <c r="B200" s="30"/>
      <c r="C200" s="30" t="s">
        <v>659</v>
      </c>
      <c r="D200" s="32"/>
      <c r="E200" s="31"/>
      <c r="F200" s="34">
        <f>Source!AM137</f>
        <v>28.71</v>
      </c>
      <c r="G200" s="35" t="s">
        <v>156</v>
      </c>
      <c r="H200" s="31">
        <f>Source!AV138</f>
        <v>1.0469999999999999</v>
      </c>
      <c r="I200" s="34">
        <f>Source!Q137</f>
        <v>36.07</v>
      </c>
      <c r="J200" s="31">
        <f>IF(Source!BB138&lt;&gt; 0, Source!BB138, 1)</f>
        <v>16.16</v>
      </c>
      <c r="K200" s="34">
        <f>Source!Q138</f>
        <v>582.89</v>
      </c>
    </row>
    <row r="201" spans="1:29" ht="14.5" x14ac:dyDescent="0.25">
      <c r="A201" s="30"/>
      <c r="B201" s="30"/>
      <c r="C201" s="30" t="s">
        <v>660</v>
      </c>
      <c r="D201" s="32"/>
      <c r="E201" s="31"/>
      <c r="F201" s="34">
        <f>Source!AN137</f>
        <v>3.16</v>
      </c>
      <c r="G201" s="35" t="s">
        <v>156</v>
      </c>
      <c r="H201" s="31">
        <f>Source!AV138</f>
        <v>1.0469999999999999</v>
      </c>
      <c r="I201" s="36">
        <f>Source!R137</f>
        <v>3.97</v>
      </c>
      <c r="J201" s="31">
        <f>IF(Source!BS138&lt;&gt; 0, Source!BS138, 1)</f>
        <v>56.35</v>
      </c>
      <c r="K201" s="36">
        <f>Source!R138</f>
        <v>223.71</v>
      </c>
    </row>
    <row r="202" spans="1:29" ht="14.5" x14ac:dyDescent="0.25">
      <c r="A202" s="30"/>
      <c r="B202" s="30"/>
      <c r="C202" s="30" t="s">
        <v>672</v>
      </c>
      <c r="D202" s="32"/>
      <c r="E202" s="31"/>
      <c r="F202" s="34">
        <f>Source!AL137</f>
        <v>12.35</v>
      </c>
      <c r="G202" s="35" t="s">
        <v>3</v>
      </c>
      <c r="H202" s="31">
        <f>Source!AW138</f>
        <v>1</v>
      </c>
      <c r="I202" s="34">
        <f>Source!P137</f>
        <v>12.35</v>
      </c>
      <c r="J202" s="31">
        <f>IF(Source!BC138&lt;&gt; 0, Source!BC138, 1)</f>
        <v>14.7</v>
      </c>
      <c r="K202" s="34">
        <f>Source!P138</f>
        <v>181.55</v>
      </c>
    </row>
    <row r="203" spans="1:29" ht="14.5" x14ac:dyDescent="0.25">
      <c r="A203" s="30"/>
      <c r="B203" s="30"/>
      <c r="C203" s="30" t="s">
        <v>661</v>
      </c>
      <c r="D203" s="32" t="s">
        <v>662</v>
      </c>
      <c r="E203" s="31">
        <f>Source!BZ138</f>
        <v>90</v>
      </c>
      <c r="F203" s="34"/>
      <c r="G203" s="33"/>
      <c r="H203" s="31"/>
      <c r="I203" s="34">
        <f>SUM(Q198:Q202)</f>
        <v>92.04</v>
      </c>
      <c r="J203" s="31">
        <f>Source!AT138</f>
        <v>90</v>
      </c>
      <c r="K203" s="34">
        <f>SUM(R198:R202)</f>
        <v>5186.63</v>
      </c>
    </row>
    <row r="204" spans="1:29" ht="14.5" x14ac:dyDescent="0.25">
      <c r="A204" s="30"/>
      <c r="B204" s="30"/>
      <c r="C204" s="30" t="s">
        <v>663</v>
      </c>
      <c r="D204" s="32" t="s">
        <v>662</v>
      </c>
      <c r="E204" s="31">
        <f>Source!CA138</f>
        <v>46</v>
      </c>
      <c r="F204" s="34"/>
      <c r="G204" s="33"/>
      <c r="H204" s="31"/>
      <c r="I204" s="34">
        <f>SUM(S198:S203)</f>
        <v>47.04</v>
      </c>
      <c r="J204" s="31">
        <f>Source!AU138</f>
        <v>46</v>
      </c>
      <c r="K204" s="34">
        <f>SUM(T198:T203)</f>
        <v>2650.94</v>
      </c>
    </row>
    <row r="205" spans="1:29" ht="14.5" x14ac:dyDescent="0.25">
      <c r="A205" s="37"/>
      <c r="B205" s="37"/>
      <c r="C205" s="37" t="s">
        <v>664</v>
      </c>
      <c r="D205" s="38" t="s">
        <v>665</v>
      </c>
      <c r="E205" s="39">
        <f>Source!AQ137</f>
        <v>6.2</v>
      </c>
      <c r="F205" s="40"/>
      <c r="G205" s="41" t="s">
        <v>156</v>
      </c>
      <c r="H205" s="39">
        <f>Source!AV138</f>
        <v>1.0469999999999999</v>
      </c>
      <c r="I205" s="40">
        <f>Source!U137</f>
        <v>7.7896799999999988</v>
      </c>
      <c r="J205" s="39"/>
      <c r="K205" s="40"/>
    </row>
    <row r="206" spans="1:29" ht="14" x14ac:dyDescent="0.25">
      <c r="C206" s="42" t="s">
        <v>666</v>
      </c>
      <c r="H206" s="64">
        <f>I199+I200+I202+I203+I204+0-0-0</f>
        <v>285.8</v>
      </c>
      <c r="I206" s="64"/>
      <c r="J206" s="64">
        <f>K199+K200+K202+K203+K204+0-0-0</f>
        <v>14141.220000000001</v>
      </c>
      <c r="K206" s="64"/>
    </row>
    <row r="207" spans="1:29" ht="14" hidden="1" x14ac:dyDescent="0.25">
      <c r="C207" s="42" t="s">
        <v>667</v>
      </c>
      <c r="H207" s="62">
        <f>0+0</f>
        <v>0</v>
      </c>
      <c r="I207" s="62"/>
      <c r="J207" s="62">
        <f>0+0</f>
        <v>0</v>
      </c>
      <c r="K207" s="62"/>
    </row>
    <row r="208" spans="1:29" ht="14" x14ac:dyDescent="0.25">
      <c r="C208" s="42" t="s">
        <v>668</v>
      </c>
      <c r="H208" s="62">
        <f>I199+I200+I202+I203+I204+0</f>
        <v>285.8</v>
      </c>
      <c r="I208" s="62"/>
      <c r="J208" s="62">
        <f>K199+K200+K202+K203+K204+0</f>
        <v>14141.220000000001</v>
      </c>
      <c r="K208" s="62"/>
      <c r="O208" s="43">
        <f>I199+I200+I202+I203+I204+0</f>
        <v>285.8</v>
      </c>
      <c r="P208" s="43">
        <f>K199+K200+K202+K203+K204+0</f>
        <v>14141.220000000001</v>
      </c>
    </row>
    <row r="210" spans="1:29" ht="68" x14ac:dyDescent="0.25">
      <c r="A210" s="46">
        <v>18</v>
      </c>
      <c r="B210" s="46" t="str">
        <f>Source!F139</f>
        <v>КА, п.12</v>
      </c>
      <c r="C210" s="46" t="s">
        <v>676</v>
      </c>
      <c r="D210" s="47" t="str">
        <f>Source!H139</f>
        <v>ШТ</v>
      </c>
      <c r="E210" s="48">
        <f>Source!I139</f>
        <v>1</v>
      </c>
      <c r="F210" s="49">
        <f>Source!AL139</f>
        <v>6955.12</v>
      </c>
      <c r="G210" s="50" t="s">
        <v>3</v>
      </c>
      <c r="H210" s="48">
        <f>Source!AW140</f>
        <v>1</v>
      </c>
      <c r="I210" s="49">
        <f>Source!P139</f>
        <v>6955.12</v>
      </c>
      <c r="J210" s="48">
        <f>IF(Source!BC140&lt;&gt; 0, Source!BC140, 1)</f>
        <v>7.57</v>
      </c>
      <c r="K210" s="49">
        <f>Source!P140</f>
        <v>52650.26</v>
      </c>
      <c r="Q210">
        <f>Source!X139</f>
        <v>0</v>
      </c>
      <c r="R210">
        <f>Source!X140</f>
        <v>0</v>
      </c>
      <c r="S210">
        <f>Source!Y139</f>
        <v>0</v>
      </c>
      <c r="T210">
        <f>Source!Y140</f>
        <v>0</v>
      </c>
      <c r="U210">
        <f>ROUND((175/100)*ROUND(Source!R139, 2), 2)</f>
        <v>0</v>
      </c>
      <c r="V210">
        <f>ROUND((0/100)*ROUND(Source!R140, 2), 2)</f>
        <v>0</v>
      </c>
      <c r="AC210">
        <v>5</v>
      </c>
    </row>
    <row r="211" spans="1:29" ht="14" x14ac:dyDescent="0.25">
      <c r="A211" s="51"/>
      <c r="B211" s="51"/>
      <c r="C211" s="52" t="s">
        <v>668</v>
      </c>
      <c r="D211" s="51"/>
      <c r="E211" s="51"/>
      <c r="F211" s="51"/>
      <c r="G211" s="51"/>
      <c r="H211" s="66">
        <f>I210+0</f>
        <v>6955.12</v>
      </c>
      <c r="I211" s="66"/>
      <c r="J211" s="66">
        <f>K210+0</f>
        <v>52650.26</v>
      </c>
      <c r="K211" s="66"/>
      <c r="O211" s="43">
        <f>I210+0</f>
        <v>6955.12</v>
      </c>
      <c r="P211" s="43">
        <f>K210+0</f>
        <v>52650.26</v>
      </c>
    </row>
    <row r="213" spans="1:29" ht="28" x14ac:dyDescent="0.25">
      <c r="A213" s="30">
        <v>19</v>
      </c>
      <c r="B213" s="30" t="str">
        <f>Source!F141</f>
        <v>4.10-167-1</v>
      </c>
      <c r="C213" s="30" t="s">
        <v>183</v>
      </c>
      <c r="D213" s="32" t="str">
        <f>Source!H141</f>
        <v>1  ШТ.</v>
      </c>
      <c r="E213" s="31">
        <f>Source!I141</f>
        <v>4</v>
      </c>
      <c r="F213" s="34"/>
      <c r="G213" s="33"/>
      <c r="H213" s="31"/>
      <c r="I213" s="34"/>
      <c r="J213" s="31"/>
      <c r="K213" s="34"/>
      <c r="Q213">
        <f>Source!X141</f>
        <v>85.66</v>
      </c>
      <c r="R213">
        <f>Source!X142</f>
        <v>4827.05</v>
      </c>
      <c r="S213">
        <f>Source!Y141</f>
        <v>43.78</v>
      </c>
      <c r="T213">
        <f>Source!Y142</f>
        <v>2467.16</v>
      </c>
      <c r="U213">
        <f>ROUND((175/100)*ROUND(Source!R141, 2), 2)</f>
        <v>0</v>
      </c>
      <c r="V213">
        <f>ROUND((0/100)*ROUND(Source!R142, 2), 2)</f>
        <v>0</v>
      </c>
      <c r="AC213">
        <v>0</v>
      </c>
    </row>
    <row r="214" spans="1:29" x14ac:dyDescent="0.25">
      <c r="C214" s="44" t="str">
        <f>"Объем: "&amp;Source!I141&amp;"=2+"&amp;"2"</f>
        <v>Объем: 4=2+2</v>
      </c>
    </row>
    <row r="215" spans="1:29" ht="14.5" x14ac:dyDescent="0.25">
      <c r="A215" s="30"/>
      <c r="B215" s="30"/>
      <c r="C215" s="30" t="s">
        <v>657</v>
      </c>
      <c r="D215" s="32"/>
      <c r="E215" s="31"/>
      <c r="F215" s="34">
        <f>Source!AO141</f>
        <v>18.940000000000001</v>
      </c>
      <c r="G215" s="35" t="s">
        <v>156</v>
      </c>
      <c r="H215" s="31">
        <f>Source!AV142</f>
        <v>1.0469999999999999</v>
      </c>
      <c r="I215" s="34">
        <f>Source!S141</f>
        <v>95.18</v>
      </c>
      <c r="J215" s="31">
        <f>IF(Source!BA142&lt;&gt; 0, Source!BA142, 1)</f>
        <v>56.35</v>
      </c>
      <c r="K215" s="34">
        <f>Source!S142</f>
        <v>5363.39</v>
      </c>
    </row>
    <row r="216" spans="1:29" ht="14.5" x14ac:dyDescent="0.25">
      <c r="A216" s="30"/>
      <c r="B216" s="30"/>
      <c r="C216" s="30" t="s">
        <v>659</v>
      </c>
      <c r="D216" s="32"/>
      <c r="E216" s="31"/>
      <c r="F216" s="34">
        <f>Source!AM141</f>
        <v>0.02</v>
      </c>
      <c r="G216" s="35" t="s">
        <v>156</v>
      </c>
      <c r="H216" s="31">
        <f>Source!AV142</f>
        <v>1.0469999999999999</v>
      </c>
      <c r="I216" s="34">
        <f>Source!Q141</f>
        <v>0.1</v>
      </c>
      <c r="J216" s="31">
        <f>IF(Source!BB142&lt;&gt; 0, Source!BB142, 1)</f>
        <v>11</v>
      </c>
      <c r="K216" s="34">
        <f>Source!Q142</f>
        <v>1.1000000000000001</v>
      </c>
    </row>
    <row r="217" spans="1:29" ht="14.5" x14ac:dyDescent="0.25">
      <c r="A217" s="30"/>
      <c r="B217" s="30"/>
      <c r="C217" s="30" t="s">
        <v>672</v>
      </c>
      <c r="D217" s="32"/>
      <c r="E217" s="31"/>
      <c r="F217" s="34">
        <f>Source!AL141</f>
        <v>2.34</v>
      </c>
      <c r="G217" s="35" t="s">
        <v>3</v>
      </c>
      <c r="H217" s="31">
        <f>Source!AW142</f>
        <v>1</v>
      </c>
      <c r="I217" s="34">
        <f>Source!P141</f>
        <v>9.36</v>
      </c>
      <c r="J217" s="31">
        <f>IF(Source!BC142&lt;&gt; 0, Source!BC142, 1)</f>
        <v>10.24</v>
      </c>
      <c r="K217" s="34">
        <f>Source!P142</f>
        <v>95.85</v>
      </c>
    </row>
    <row r="218" spans="1:29" ht="14.5" x14ac:dyDescent="0.25">
      <c r="A218" s="30"/>
      <c r="B218" s="30"/>
      <c r="C218" s="30" t="s">
        <v>661</v>
      </c>
      <c r="D218" s="32" t="s">
        <v>662</v>
      </c>
      <c r="E218" s="31">
        <f>Source!BZ142</f>
        <v>90</v>
      </c>
      <c r="F218" s="34"/>
      <c r="G218" s="33"/>
      <c r="H218" s="31"/>
      <c r="I218" s="34">
        <f>SUM(Q213:Q217)</f>
        <v>85.66</v>
      </c>
      <c r="J218" s="31">
        <f>Source!AT142</f>
        <v>90</v>
      </c>
      <c r="K218" s="34">
        <f>SUM(R213:R217)</f>
        <v>4827.05</v>
      </c>
    </row>
    <row r="219" spans="1:29" ht="14.5" x14ac:dyDescent="0.25">
      <c r="A219" s="30"/>
      <c r="B219" s="30"/>
      <c r="C219" s="30" t="s">
        <v>663</v>
      </c>
      <c r="D219" s="32" t="s">
        <v>662</v>
      </c>
      <c r="E219" s="31">
        <f>Source!CA142</f>
        <v>46</v>
      </c>
      <c r="F219" s="34"/>
      <c r="G219" s="33"/>
      <c r="H219" s="31"/>
      <c r="I219" s="34">
        <f>SUM(S213:S218)</f>
        <v>43.78</v>
      </c>
      <c r="J219" s="31">
        <f>Source!AU142</f>
        <v>46</v>
      </c>
      <c r="K219" s="34">
        <f>SUM(T213:T218)</f>
        <v>2467.16</v>
      </c>
    </row>
    <row r="220" spans="1:29" ht="14.5" x14ac:dyDescent="0.25">
      <c r="A220" s="37"/>
      <c r="B220" s="37"/>
      <c r="C220" s="37" t="s">
        <v>664</v>
      </c>
      <c r="D220" s="38" t="s">
        <v>665</v>
      </c>
      <c r="E220" s="39">
        <f>Source!AQ141</f>
        <v>1.36</v>
      </c>
      <c r="F220" s="40"/>
      <c r="G220" s="41" t="s">
        <v>156</v>
      </c>
      <c r="H220" s="39">
        <f>Source!AV142</f>
        <v>1.0469999999999999</v>
      </c>
      <c r="I220" s="40">
        <f>Source!U141</f>
        <v>6.834816</v>
      </c>
      <c r="J220" s="39"/>
      <c r="K220" s="40"/>
    </row>
    <row r="221" spans="1:29" ht="14" x14ac:dyDescent="0.25">
      <c r="C221" s="42" t="s">
        <v>666</v>
      </c>
      <c r="H221" s="64">
        <f>I215+I216+I217+I218+I219+0-0-0</f>
        <v>234.08</v>
      </c>
      <c r="I221" s="64"/>
      <c r="J221" s="64">
        <f>K215+K216+K217+K218+K219+0-0-0</f>
        <v>12754.550000000001</v>
      </c>
      <c r="K221" s="64"/>
    </row>
    <row r="222" spans="1:29" ht="14" hidden="1" x14ac:dyDescent="0.25">
      <c r="C222" s="42" t="s">
        <v>667</v>
      </c>
      <c r="H222" s="62">
        <f>0+0</f>
        <v>0</v>
      </c>
      <c r="I222" s="62"/>
      <c r="J222" s="62">
        <f>0+0</f>
        <v>0</v>
      </c>
      <c r="K222" s="62"/>
    </row>
    <row r="223" spans="1:29" ht="14" x14ac:dyDescent="0.25">
      <c r="C223" s="42" t="s">
        <v>668</v>
      </c>
      <c r="H223" s="62">
        <f>I215+I216+I217+I218+I219+0</f>
        <v>234.08</v>
      </c>
      <c r="I223" s="62"/>
      <c r="J223" s="62">
        <f>K215+K216+K217+K218+K219+0</f>
        <v>12754.550000000001</v>
      </c>
      <c r="K223" s="62"/>
      <c r="O223" s="43">
        <f>I215+I216+I217+I218+I219+0</f>
        <v>234.08</v>
      </c>
      <c r="P223" s="43">
        <f>K215+K216+K217+K218+K219+0</f>
        <v>12754.550000000001</v>
      </c>
    </row>
    <row r="225" spans="1:29" ht="82" x14ac:dyDescent="0.25">
      <c r="A225" s="46">
        <v>20</v>
      </c>
      <c r="B225" s="46" t="str">
        <f>Source!F143</f>
        <v>КА, п.13</v>
      </c>
      <c r="C225" s="46" t="s">
        <v>677</v>
      </c>
      <c r="D225" s="47" t="str">
        <f>Source!H143</f>
        <v>ШТ</v>
      </c>
      <c r="E225" s="48">
        <f>Source!I143</f>
        <v>2</v>
      </c>
      <c r="F225" s="49">
        <f>Source!AL143</f>
        <v>861.62</v>
      </c>
      <c r="G225" s="50" t="s">
        <v>3</v>
      </c>
      <c r="H225" s="48">
        <f>Source!AW144</f>
        <v>1</v>
      </c>
      <c r="I225" s="49">
        <f>Source!P143</f>
        <v>1723.24</v>
      </c>
      <c r="J225" s="48">
        <f>IF(Source!BC144&lt;&gt; 0, Source!BC144, 1)</f>
        <v>7.57</v>
      </c>
      <c r="K225" s="49">
        <f>Source!P144</f>
        <v>13044.93</v>
      </c>
      <c r="Q225">
        <f>Source!X143</f>
        <v>0</v>
      </c>
      <c r="R225">
        <f>Source!X144</f>
        <v>0</v>
      </c>
      <c r="S225">
        <f>Source!Y143</f>
        <v>0</v>
      </c>
      <c r="T225">
        <f>Source!Y144</f>
        <v>0</v>
      </c>
      <c r="U225">
        <f>ROUND((175/100)*ROUND(Source!R143, 2), 2)</f>
        <v>0</v>
      </c>
      <c r="V225">
        <f>ROUND((0/100)*ROUND(Source!R144, 2), 2)</f>
        <v>0</v>
      </c>
      <c r="AC225">
        <v>5</v>
      </c>
    </row>
    <row r="226" spans="1:29" ht="14" x14ac:dyDescent="0.25">
      <c r="A226" s="51"/>
      <c r="B226" s="51"/>
      <c r="C226" s="52" t="s">
        <v>668</v>
      </c>
      <c r="D226" s="51"/>
      <c r="E226" s="51"/>
      <c r="F226" s="51"/>
      <c r="G226" s="51"/>
      <c r="H226" s="66">
        <f>I225+0</f>
        <v>1723.24</v>
      </c>
      <c r="I226" s="66"/>
      <c r="J226" s="66">
        <f>K225+0</f>
        <v>13044.93</v>
      </c>
      <c r="K226" s="66"/>
      <c r="O226" s="43">
        <f>I225+0</f>
        <v>1723.24</v>
      </c>
      <c r="P226" s="43">
        <f>K225+0</f>
        <v>13044.93</v>
      </c>
    </row>
    <row r="228" spans="1:29" ht="82" x14ac:dyDescent="0.25">
      <c r="A228" s="46">
        <v>21</v>
      </c>
      <c r="B228" s="46" t="str">
        <f>Source!F145</f>
        <v>КА, п.14</v>
      </c>
      <c r="C228" s="46" t="s">
        <v>678</v>
      </c>
      <c r="D228" s="47" t="str">
        <f>Source!H145</f>
        <v>ШТ</v>
      </c>
      <c r="E228" s="48">
        <f>Source!I145</f>
        <v>2</v>
      </c>
      <c r="F228" s="49">
        <f>Source!AL145</f>
        <v>847.83999999999992</v>
      </c>
      <c r="G228" s="50" t="s">
        <v>3</v>
      </c>
      <c r="H228" s="48">
        <f>Source!AW146</f>
        <v>1</v>
      </c>
      <c r="I228" s="49">
        <f>Source!P145</f>
        <v>1695.68</v>
      </c>
      <c r="J228" s="48">
        <f>IF(Source!BC146&lt;&gt; 0, Source!BC146, 1)</f>
        <v>7.57</v>
      </c>
      <c r="K228" s="49">
        <f>Source!P146</f>
        <v>12836.3</v>
      </c>
      <c r="Q228">
        <f>Source!X145</f>
        <v>0</v>
      </c>
      <c r="R228">
        <f>Source!X146</f>
        <v>0</v>
      </c>
      <c r="S228">
        <f>Source!Y145</f>
        <v>0</v>
      </c>
      <c r="T228">
        <f>Source!Y146</f>
        <v>0</v>
      </c>
      <c r="U228">
        <f>ROUND((175/100)*ROUND(Source!R145, 2), 2)</f>
        <v>0</v>
      </c>
      <c r="V228">
        <f>ROUND((0/100)*ROUND(Source!R146, 2), 2)</f>
        <v>0</v>
      </c>
      <c r="AC228">
        <v>5</v>
      </c>
    </row>
    <row r="229" spans="1:29" ht="14" x14ac:dyDescent="0.25">
      <c r="A229" s="51"/>
      <c r="B229" s="51"/>
      <c r="C229" s="52" t="s">
        <v>668</v>
      </c>
      <c r="D229" s="51"/>
      <c r="E229" s="51"/>
      <c r="F229" s="51"/>
      <c r="G229" s="51"/>
      <c r="H229" s="66">
        <f>I228+0</f>
        <v>1695.68</v>
      </c>
      <c r="I229" s="66"/>
      <c r="J229" s="66">
        <f>K228+0</f>
        <v>12836.3</v>
      </c>
      <c r="K229" s="66"/>
      <c r="O229" s="43">
        <f>I228+0</f>
        <v>1695.68</v>
      </c>
      <c r="P229" s="43">
        <f>K228+0</f>
        <v>12836.3</v>
      </c>
    </row>
    <row r="231" spans="1:29" ht="68" x14ac:dyDescent="0.25">
      <c r="A231" s="46">
        <v>22</v>
      </c>
      <c r="B231" s="46" t="str">
        <f>Source!F147</f>
        <v>КА, п.15</v>
      </c>
      <c r="C231" s="46" t="s">
        <v>679</v>
      </c>
      <c r="D231" s="47" t="str">
        <f>Source!H147</f>
        <v>ШТ</v>
      </c>
      <c r="E231" s="48">
        <f>Source!I147</f>
        <v>4</v>
      </c>
      <c r="F231" s="49">
        <f>Source!AL147</f>
        <v>192.47</v>
      </c>
      <c r="G231" s="50" t="s">
        <v>3</v>
      </c>
      <c r="H231" s="48">
        <f>Source!AW148</f>
        <v>1</v>
      </c>
      <c r="I231" s="49">
        <f>Source!P147</f>
        <v>769.88</v>
      </c>
      <c r="J231" s="48">
        <f>IF(Source!BC148&lt;&gt; 0, Source!BC148, 1)</f>
        <v>7.57</v>
      </c>
      <c r="K231" s="49">
        <f>Source!P148</f>
        <v>5827.99</v>
      </c>
      <c r="Q231">
        <f>Source!X147</f>
        <v>0</v>
      </c>
      <c r="R231">
        <f>Source!X148</f>
        <v>0</v>
      </c>
      <c r="S231">
        <f>Source!Y147</f>
        <v>0</v>
      </c>
      <c r="T231">
        <f>Source!Y148</f>
        <v>0</v>
      </c>
      <c r="U231">
        <f>ROUND((175/100)*ROUND(Source!R147, 2), 2)</f>
        <v>0</v>
      </c>
      <c r="V231">
        <f>ROUND((0/100)*ROUND(Source!R148, 2), 2)</f>
        <v>0</v>
      </c>
      <c r="AC231">
        <v>5</v>
      </c>
    </row>
    <row r="232" spans="1:29" ht="14" x14ac:dyDescent="0.25">
      <c r="A232" s="51"/>
      <c r="B232" s="51"/>
      <c r="C232" s="52" t="s">
        <v>668</v>
      </c>
      <c r="D232" s="51"/>
      <c r="E232" s="51"/>
      <c r="F232" s="51"/>
      <c r="G232" s="51"/>
      <c r="H232" s="66">
        <f>I231+0</f>
        <v>769.88</v>
      </c>
      <c r="I232" s="66"/>
      <c r="J232" s="66">
        <f>K231+0</f>
        <v>5827.99</v>
      </c>
      <c r="K232" s="66"/>
      <c r="O232" s="43">
        <f>I231+0</f>
        <v>769.88</v>
      </c>
      <c r="P232" s="43">
        <f>K231+0</f>
        <v>5827.99</v>
      </c>
    </row>
    <row r="234" spans="1:29" ht="68" x14ac:dyDescent="0.25">
      <c r="A234" s="46">
        <v>23</v>
      </c>
      <c r="B234" s="46" t="str">
        <f>Source!F149</f>
        <v>КА, п.16</v>
      </c>
      <c r="C234" s="46" t="s">
        <v>680</v>
      </c>
      <c r="D234" s="47" t="str">
        <f>Source!H149</f>
        <v>ШТ</v>
      </c>
      <c r="E234" s="48">
        <f>Source!I149</f>
        <v>4</v>
      </c>
      <c r="F234" s="49">
        <f>Source!AL149</f>
        <v>312.64</v>
      </c>
      <c r="G234" s="50" t="s">
        <v>3</v>
      </c>
      <c r="H234" s="48">
        <f>Source!AW150</f>
        <v>1</v>
      </c>
      <c r="I234" s="49">
        <f>Source!P149</f>
        <v>1250.56</v>
      </c>
      <c r="J234" s="48">
        <f>IF(Source!BC150&lt;&gt; 0, Source!BC150, 1)</f>
        <v>7.57</v>
      </c>
      <c r="K234" s="49">
        <f>Source!P150</f>
        <v>9466.74</v>
      </c>
      <c r="Q234">
        <f>Source!X149</f>
        <v>0</v>
      </c>
      <c r="R234">
        <f>Source!X150</f>
        <v>0</v>
      </c>
      <c r="S234">
        <f>Source!Y149</f>
        <v>0</v>
      </c>
      <c r="T234">
        <f>Source!Y150</f>
        <v>0</v>
      </c>
      <c r="U234">
        <f>ROUND((175/100)*ROUND(Source!R149, 2), 2)</f>
        <v>0</v>
      </c>
      <c r="V234">
        <f>ROUND((0/100)*ROUND(Source!R150, 2), 2)</f>
        <v>0</v>
      </c>
      <c r="AC234">
        <v>5</v>
      </c>
    </row>
    <row r="235" spans="1:29" ht="14" x14ac:dyDescent="0.25">
      <c r="A235" s="51"/>
      <c r="B235" s="51"/>
      <c r="C235" s="52" t="s">
        <v>668</v>
      </c>
      <c r="D235" s="51"/>
      <c r="E235" s="51"/>
      <c r="F235" s="51"/>
      <c r="G235" s="51"/>
      <c r="H235" s="66">
        <f>I234+0</f>
        <v>1250.56</v>
      </c>
      <c r="I235" s="66"/>
      <c r="J235" s="66">
        <f>K234+0</f>
        <v>9466.74</v>
      </c>
      <c r="K235" s="66"/>
      <c r="O235" s="43">
        <f>I234+0</f>
        <v>1250.56</v>
      </c>
      <c r="P235" s="43">
        <f>K234+0</f>
        <v>9466.74</v>
      </c>
    </row>
    <row r="238" spans="1:29" ht="14" x14ac:dyDescent="0.3">
      <c r="A238" s="61" t="str">
        <f>CONCATENATE("Итого по разделу: ",IF(Source!G152&lt;&gt;"Новый раздел", Source!G152, ""))</f>
        <v>Итого по разделу: Центральное оборудование системы</v>
      </c>
      <c r="B238" s="61"/>
      <c r="C238" s="61"/>
      <c r="D238" s="61"/>
      <c r="E238" s="61"/>
      <c r="F238" s="61"/>
      <c r="G238" s="61"/>
      <c r="H238" s="62">
        <f>SUM(O153:O237)</f>
        <v>110168.33000000002</v>
      </c>
      <c r="I238" s="63"/>
      <c r="J238" s="62">
        <f>SUM(P153:P237)</f>
        <v>917053.75000000012</v>
      </c>
      <c r="K238" s="63"/>
    </row>
    <row r="239" spans="1:29" hidden="1" x14ac:dyDescent="0.25">
      <c r="A239" t="s">
        <v>670</v>
      </c>
      <c r="I239">
        <f>SUM(W153:W238)</f>
        <v>0</v>
      </c>
      <c r="J239">
        <f>SUM(X153:X238)</f>
        <v>0</v>
      </c>
    </row>
    <row r="240" spans="1:29" hidden="1" x14ac:dyDescent="0.25">
      <c r="A240" t="s">
        <v>671</v>
      </c>
      <c r="I240">
        <f>SUM(Y153:Y239)</f>
        <v>0</v>
      </c>
      <c r="J240">
        <f>SUM(Z153:Z239)</f>
        <v>0</v>
      </c>
    </row>
    <row r="242" spans="1:29" ht="16.5" x14ac:dyDescent="0.25">
      <c r="A242" s="65" t="str">
        <f>CONCATENATE("Раздел: ",IF(Source!G182&lt;&gt;"Новый раздел", Source!G182, ""))</f>
        <v>Раздел: Оборудование устанавливаемое по месту</v>
      </c>
      <c r="B242" s="65"/>
      <c r="C242" s="65"/>
      <c r="D242" s="65"/>
      <c r="E242" s="65"/>
      <c r="F242" s="65"/>
      <c r="G242" s="65"/>
      <c r="H242" s="65"/>
      <c r="I242" s="65"/>
      <c r="J242" s="65"/>
      <c r="K242" s="65"/>
    </row>
    <row r="243" spans="1:29" ht="42" x14ac:dyDescent="0.25">
      <c r="A243" s="30">
        <v>24</v>
      </c>
      <c r="B243" s="30" t="str">
        <f>Source!F186</f>
        <v>4.8-245-10</v>
      </c>
      <c r="C243" s="30" t="s">
        <v>245</v>
      </c>
      <c r="D243" s="32" t="str">
        <f>Source!H186</f>
        <v>100 шт.</v>
      </c>
      <c r="E243" s="31">
        <f>Source!I186</f>
        <v>1.02</v>
      </c>
      <c r="F243" s="34"/>
      <c r="G243" s="33"/>
      <c r="H243" s="31"/>
      <c r="I243" s="34"/>
      <c r="J243" s="31"/>
      <c r="K243" s="34"/>
      <c r="Q243">
        <f>Source!X186</f>
        <v>1383.38</v>
      </c>
      <c r="R243">
        <f>Source!X187</f>
        <v>77953.2</v>
      </c>
      <c r="S243">
        <f>Source!Y186</f>
        <v>727.34</v>
      </c>
      <c r="T243">
        <f>Source!Y187</f>
        <v>40985.699999999997</v>
      </c>
      <c r="U243">
        <f>ROUND((175/100)*ROUND(Source!R186, 2), 2)</f>
        <v>29.16</v>
      </c>
      <c r="V243">
        <f>ROUND((0/100)*ROUND(Source!R187, 2), 2)</f>
        <v>0</v>
      </c>
      <c r="AC243">
        <v>0</v>
      </c>
    </row>
    <row r="244" spans="1:29" x14ac:dyDescent="0.25">
      <c r="C244" s="44" t="str">
        <f>"Объем: "&amp;Source!I186&amp;"=102/"&amp;"100"</f>
        <v>Объем: 1,02=102/100</v>
      </c>
    </row>
    <row r="245" spans="1:29" ht="14.5" x14ac:dyDescent="0.25">
      <c r="A245" s="30"/>
      <c r="B245" s="30"/>
      <c r="C245" s="30" t="s">
        <v>657</v>
      </c>
      <c r="D245" s="32"/>
      <c r="E245" s="31"/>
      <c r="F245" s="34">
        <f>Source!AO186</f>
        <v>1099.8599999999999</v>
      </c>
      <c r="G245" s="35" t="s">
        <v>156</v>
      </c>
      <c r="H245" s="31">
        <f>Source!AV187</f>
        <v>1.0469999999999999</v>
      </c>
      <c r="I245" s="34">
        <f>Source!S186</f>
        <v>1409.5</v>
      </c>
      <c r="J245" s="31">
        <f>IF(Source!BA187&lt;&gt; 0, Source!BA187, 1)</f>
        <v>56.35</v>
      </c>
      <c r="K245" s="34">
        <f>Source!S187</f>
        <v>79425.33</v>
      </c>
    </row>
    <row r="246" spans="1:29" ht="14.5" x14ac:dyDescent="0.25">
      <c r="A246" s="30"/>
      <c r="B246" s="30"/>
      <c r="C246" s="30" t="s">
        <v>659</v>
      </c>
      <c r="D246" s="32"/>
      <c r="E246" s="31"/>
      <c r="F246" s="34">
        <f>Source!AM186</f>
        <v>93.32</v>
      </c>
      <c r="G246" s="35" t="s">
        <v>156</v>
      </c>
      <c r="H246" s="31">
        <f>Source!AV187</f>
        <v>1.0469999999999999</v>
      </c>
      <c r="I246" s="34">
        <f>Source!Q186</f>
        <v>119.59</v>
      </c>
      <c r="J246" s="31">
        <f>IF(Source!BB187&lt;&gt; 0, Source!BB187, 1)</f>
        <v>16.420000000000002</v>
      </c>
      <c r="K246" s="34">
        <f>Source!Q187</f>
        <v>1963.67</v>
      </c>
    </row>
    <row r="247" spans="1:29" ht="14.5" x14ac:dyDescent="0.25">
      <c r="A247" s="30"/>
      <c r="B247" s="30"/>
      <c r="C247" s="30" t="s">
        <v>660</v>
      </c>
      <c r="D247" s="32"/>
      <c r="E247" s="31"/>
      <c r="F247" s="34">
        <f>Source!AN186</f>
        <v>13</v>
      </c>
      <c r="G247" s="35" t="s">
        <v>156</v>
      </c>
      <c r="H247" s="31">
        <f>Source!AV187</f>
        <v>1.0469999999999999</v>
      </c>
      <c r="I247" s="36">
        <f>Source!R186</f>
        <v>16.66</v>
      </c>
      <c r="J247" s="31">
        <f>IF(Source!BS187&lt;&gt; 0, Source!BS187, 1)</f>
        <v>56.35</v>
      </c>
      <c r="K247" s="36">
        <f>Source!R187</f>
        <v>938.79</v>
      </c>
    </row>
    <row r="248" spans="1:29" ht="14.5" x14ac:dyDescent="0.25">
      <c r="A248" s="30"/>
      <c r="B248" s="30"/>
      <c r="C248" s="30" t="s">
        <v>672</v>
      </c>
      <c r="D248" s="32"/>
      <c r="E248" s="31"/>
      <c r="F248" s="34">
        <f>Source!AL186</f>
        <v>81.36</v>
      </c>
      <c r="G248" s="35" t="s">
        <v>3</v>
      </c>
      <c r="H248" s="31">
        <f>Source!AW187</f>
        <v>1</v>
      </c>
      <c r="I248" s="34">
        <f>Source!P186</f>
        <v>82.99</v>
      </c>
      <c r="J248" s="31">
        <f>IF(Source!BC187&lt;&gt; 0, Source!BC187, 1)</f>
        <v>10.65</v>
      </c>
      <c r="K248" s="34">
        <f>Source!P187</f>
        <v>883.84</v>
      </c>
    </row>
    <row r="249" spans="1:29" ht="14.5" x14ac:dyDescent="0.25">
      <c r="A249" s="30"/>
      <c r="B249" s="30"/>
      <c r="C249" s="30" t="s">
        <v>661</v>
      </c>
      <c r="D249" s="32" t="s">
        <v>662</v>
      </c>
      <c r="E249" s="31">
        <f>Source!BZ187</f>
        <v>97</v>
      </c>
      <c r="F249" s="34"/>
      <c r="G249" s="33"/>
      <c r="H249" s="31"/>
      <c r="I249" s="34">
        <f>SUM(Q243:Q248)</f>
        <v>1383.38</v>
      </c>
      <c r="J249" s="31">
        <f>Source!AT187</f>
        <v>97</v>
      </c>
      <c r="K249" s="34">
        <f>SUM(R243:R248)</f>
        <v>77953.2</v>
      </c>
    </row>
    <row r="250" spans="1:29" ht="14.5" x14ac:dyDescent="0.25">
      <c r="A250" s="30"/>
      <c r="B250" s="30"/>
      <c r="C250" s="30" t="s">
        <v>663</v>
      </c>
      <c r="D250" s="32" t="s">
        <v>662</v>
      </c>
      <c r="E250" s="31">
        <f>Source!CA187</f>
        <v>51</v>
      </c>
      <c r="F250" s="34"/>
      <c r="G250" s="33"/>
      <c r="H250" s="31"/>
      <c r="I250" s="34">
        <f>SUM(S243:S249)</f>
        <v>727.34</v>
      </c>
      <c r="J250" s="31">
        <f>Source!AU187</f>
        <v>51</v>
      </c>
      <c r="K250" s="34">
        <f>SUM(T243:T249)</f>
        <v>40985.699999999997</v>
      </c>
    </row>
    <row r="251" spans="1:29" ht="14.5" x14ac:dyDescent="0.25">
      <c r="A251" s="37"/>
      <c r="B251" s="37"/>
      <c r="C251" s="37" t="s">
        <v>664</v>
      </c>
      <c r="D251" s="38" t="s">
        <v>665</v>
      </c>
      <c r="E251" s="39">
        <f>Source!AQ186</f>
        <v>84.67</v>
      </c>
      <c r="F251" s="40"/>
      <c r="G251" s="41" t="s">
        <v>156</v>
      </c>
      <c r="H251" s="39">
        <f>Source!AV187</f>
        <v>1.0469999999999999</v>
      </c>
      <c r="I251" s="40">
        <f>Source!U186</f>
        <v>108.50697575999999</v>
      </c>
      <c r="J251" s="39"/>
      <c r="K251" s="40"/>
    </row>
    <row r="252" spans="1:29" ht="14" x14ac:dyDescent="0.25">
      <c r="C252" s="42" t="s">
        <v>666</v>
      </c>
      <c r="H252" s="64">
        <f>I245+I246+I248+I249+I250+0-0-0</f>
        <v>3722.8</v>
      </c>
      <c r="I252" s="64"/>
      <c r="J252" s="64">
        <f>K245+K246+K248+K249+K250+0-0-0</f>
        <v>201211.74</v>
      </c>
      <c r="K252" s="64"/>
    </row>
    <row r="253" spans="1:29" ht="14" hidden="1" x14ac:dyDescent="0.25">
      <c r="C253" s="42" t="s">
        <v>667</v>
      </c>
      <c r="H253" s="62">
        <f>0+0</f>
        <v>0</v>
      </c>
      <c r="I253" s="62"/>
      <c r="J253" s="62">
        <f>0+0</f>
        <v>0</v>
      </c>
      <c r="K253" s="62"/>
    </row>
    <row r="254" spans="1:29" ht="14" x14ac:dyDescent="0.25">
      <c r="C254" s="42" t="s">
        <v>668</v>
      </c>
      <c r="H254" s="62">
        <f>I245+I246+I248+I249+I250+0</f>
        <v>3722.8</v>
      </c>
      <c r="I254" s="62"/>
      <c r="J254" s="62">
        <f>K245+K246+K248+K249+K250+0</f>
        <v>201211.74</v>
      </c>
      <c r="K254" s="62"/>
      <c r="O254" s="43">
        <f>I245+I246+I248+I249+I250+0</f>
        <v>3722.8</v>
      </c>
      <c r="P254" s="43">
        <f>K245+K246+K248+K249+K250+0</f>
        <v>201211.74</v>
      </c>
    </row>
    <row r="256" spans="1:29" ht="56" x14ac:dyDescent="0.25">
      <c r="A256" s="37">
        <v>25</v>
      </c>
      <c r="B256" s="37" t="str">
        <f>Source!F190</f>
        <v>1.22-4-9</v>
      </c>
      <c r="C256" s="37" t="s">
        <v>250</v>
      </c>
      <c r="D256" s="38" t="str">
        <f>Source!H190</f>
        <v>шт.</v>
      </c>
      <c r="E256" s="39">
        <f>Source!I190</f>
        <v>12</v>
      </c>
      <c r="F256" s="40">
        <f>Source!AL190</f>
        <v>75.81</v>
      </c>
      <c r="G256" s="41" t="s">
        <v>3</v>
      </c>
      <c r="H256" s="39">
        <f>Source!AW191</f>
        <v>1</v>
      </c>
      <c r="I256" s="40">
        <f>Source!P190</f>
        <v>909.72</v>
      </c>
      <c r="J256" s="39">
        <f>IF(Source!BC191&lt;&gt; 0, Source!BC191, 1)</f>
        <v>61.94</v>
      </c>
      <c r="K256" s="40">
        <f>Source!P191</f>
        <v>56348.06</v>
      </c>
      <c r="Q256">
        <f>Source!X190</f>
        <v>0</v>
      </c>
      <c r="R256">
        <f>Source!X191</f>
        <v>0</v>
      </c>
      <c r="S256">
        <f>Source!Y190</f>
        <v>0</v>
      </c>
      <c r="T256">
        <f>Source!Y191</f>
        <v>0</v>
      </c>
      <c r="U256">
        <f>ROUND((175/100)*ROUND(Source!R190, 2), 2)</f>
        <v>0</v>
      </c>
      <c r="V256">
        <f>ROUND((0/100)*ROUND(Source!R191, 2), 2)</f>
        <v>0</v>
      </c>
      <c r="AC256">
        <v>3</v>
      </c>
    </row>
    <row r="257" spans="1:29" ht="14" x14ac:dyDescent="0.25">
      <c r="C257" s="42" t="s">
        <v>668</v>
      </c>
      <c r="H257" s="64">
        <f>I256+0</f>
        <v>909.72</v>
      </c>
      <c r="I257" s="64"/>
      <c r="J257" s="64">
        <f>K256+0</f>
        <v>56348.06</v>
      </c>
      <c r="K257" s="64"/>
      <c r="O257" s="43">
        <f>I256+0</f>
        <v>909.72</v>
      </c>
      <c r="P257" s="43">
        <f>K256+0</f>
        <v>56348.06</v>
      </c>
    </row>
    <row r="259" spans="1:29" ht="56" x14ac:dyDescent="0.25">
      <c r="A259" s="37">
        <v>26</v>
      </c>
      <c r="B259" s="37" t="str">
        <f>Source!F192</f>
        <v>1.22-4-9</v>
      </c>
      <c r="C259" s="37" t="s">
        <v>257</v>
      </c>
      <c r="D259" s="38" t="str">
        <f>Source!H192</f>
        <v>шт.</v>
      </c>
      <c r="E259" s="39">
        <f>Source!I192</f>
        <v>18</v>
      </c>
      <c r="F259" s="40">
        <f>Source!AL192</f>
        <v>75.81</v>
      </c>
      <c r="G259" s="41" t="s">
        <v>3</v>
      </c>
      <c r="H259" s="39">
        <f>Source!AW193</f>
        <v>1</v>
      </c>
      <c r="I259" s="40">
        <f>Source!P192</f>
        <v>1364.58</v>
      </c>
      <c r="J259" s="39">
        <f>IF(Source!BC193&lt;&gt; 0, Source!BC193, 1)</f>
        <v>61.94</v>
      </c>
      <c r="K259" s="40">
        <f>Source!P193</f>
        <v>84522.09</v>
      </c>
      <c r="Q259">
        <f>Source!X192</f>
        <v>0</v>
      </c>
      <c r="R259">
        <f>Source!X193</f>
        <v>0</v>
      </c>
      <c r="S259">
        <f>Source!Y192</f>
        <v>0</v>
      </c>
      <c r="T259">
        <f>Source!Y193</f>
        <v>0</v>
      </c>
      <c r="U259">
        <f>ROUND((175/100)*ROUND(Source!R192, 2), 2)</f>
        <v>0</v>
      </c>
      <c r="V259">
        <f>ROUND((0/100)*ROUND(Source!R193, 2), 2)</f>
        <v>0</v>
      </c>
      <c r="AC259">
        <v>3</v>
      </c>
    </row>
    <row r="260" spans="1:29" ht="14" x14ac:dyDescent="0.25">
      <c r="C260" s="42" t="s">
        <v>668</v>
      </c>
      <c r="H260" s="64">
        <f>I259+0</f>
        <v>1364.58</v>
      </c>
      <c r="I260" s="64"/>
      <c r="J260" s="64">
        <f>K259+0</f>
        <v>84522.09</v>
      </c>
      <c r="K260" s="64"/>
      <c r="O260" s="43">
        <f>I259+0</f>
        <v>1364.58</v>
      </c>
      <c r="P260" s="43">
        <f>K259+0</f>
        <v>84522.09</v>
      </c>
    </row>
    <row r="262" spans="1:29" ht="56" x14ac:dyDescent="0.25">
      <c r="A262" s="37">
        <v>27</v>
      </c>
      <c r="B262" s="37" t="str">
        <f>Source!F194</f>
        <v>1.22-4-9</v>
      </c>
      <c r="C262" s="37" t="s">
        <v>259</v>
      </c>
      <c r="D262" s="38" t="str">
        <f>Source!H194</f>
        <v>шт.</v>
      </c>
      <c r="E262" s="39">
        <f>Source!I194</f>
        <v>2</v>
      </c>
      <c r="F262" s="40">
        <f>Source!AL194</f>
        <v>75.81</v>
      </c>
      <c r="G262" s="41" t="s">
        <v>3</v>
      </c>
      <c r="H262" s="39">
        <f>Source!AW195</f>
        <v>1</v>
      </c>
      <c r="I262" s="40">
        <f>Source!P194</f>
        <v>151.62</v>
      </c>
      <c r="J262" s="39">
        <f>IF(Source!BC195&lt;&gt; 0, Source!BC195, 1)</f>
        <v>61.94</v>
      </c>
      <c r="K262" s="40">
        <f>Source!P195</f>
        <v>9391.34</v>
      </c>
      <c r="Q262">
        <f>Source!X194</f>
        <v>0</v>
      </c>
      <c r="R262">
        <f>Source!X195</f>
        <v>0</v>
      </c>
      <c r="S262">
        <f>Source!Y194</f>
        <v>0</v>
      </c>
      <c r="T262">
        <f>Source!Y195</f>
        <v>0</v>
      </c>
      <c r="U262">
        <f>ROUND((175/100)*ROUND(Source!R194, 2), 2)</f>
        <v>0</v>
      </c>
      <c r="V262">
        <f>ROUND((0/100)*ROUND(Source!R195, 2), 2)</f>
        <v>0</v>
      </c>
      <c r="AC262">
        <v>3</v>
      </c>
    </row>
    <row r="263" spans="1:29" ht="14" x14ac:dyDescent="0.25">
      <c r="C263" s="42" t="s">
        <v>668</v>
      </c>
      <c r="H263" s="64">
        <f>I262+0</f>
        <v>151.62</v>
      </c>
      <c r="I263" s="64"/>
      <c r="J263" s="64">
        <f>K262+0</f>
        <v>9391.34</v>
      </c>
      <c r="K263" s="64"/>
      <c r="O263" s="43">
        <f>I262+0</f>
        <v>151.62</v>
      </c>
      <c r="P263" s="43">
        <f>K262+0</f>
        <v>9391.34</v>
      </c>
    </row>
    <row r="265" spans="1:29" ht="56" x14ac:dyDescent="0.25">
      <c r="A265" s="37">
        <v>28</v>
      </c>
      <c r="B265" s="37" t="str">
        <f>Source!F196</f>
        <v>1.22-4-9</v>
      </c>
      <c r="C265" s="37" t="s">
        <v>261</v>
      </c>
      <c r="D265" s="38" t="str">
        <f>Source!H196</f>
        <v>шт.</v>
      </c>
      <c r="E265" s="39">
        <f>Source!I196</f>
        <v>4</v>
      </c>
      <c r="F265" s="40">
        <f>Source!AL196</f>
        <v>75.81</v>
      </c>
      <c r="G265" s="41" t="s">
        <v>3</v>
      </c>
      <c r="H265" s="39">
        <f>Source!AW197</f>
        <v>1</v>
      </c>
      <c r="I265" s="40">
        <f>Source!P196</f>
        <v>303.24</v>
      </c>
      <c r="J265" s="39">
        <f>IF(Source!BC197&lt;&gt; 0, Source!BC197, 1)</f>
        <v>61.94</v>
      </c>
      <c r="K265" s="40">
        <f>Source!P197</f>
        <v>18782.689999999999</v>
      </c>
      <c r="Q265">
        <f>Source!X196</f>
        <v>0</v>
      </c>
      <c r="R265">
        <f>Source!X197</f>
        <v>0</v>
      </c>
      <c r="S265">
        <f>Source!Y196</f>
        <v>0</v>
      </c>
      <c r="T265">
        <f>Source!Y197</f>
        <v>0</v>
      </c>
      <c r="U265">
        <f>ROUND((175/100)*ROUND(Source!R196, 2), 2)</f>
        <v>0</v>
      </c>
      <c r="V265">
        <f>ROUND((0/100)*ROUND(Source!R197, 2), 2)</f>
        <v>0</v>
      </c>
      <c r="AC265">
        <v>3</v>
      </c>
    </row>
    <row r="266" spans="1:29" ht="14" x14ac:dyDescent="0.25">
      <c r="C266" s="42" t="s">
        <v>668</v>
      </c>
      <c r="H266" s="64">
        <f>I265+0</f>
        <v>303.24</v>
      </c>
      <c r="I266" s="64"/>
      <c r="J266" s="64">
        <f>K265+0</f>
        <v>18782.689999999999</v>
      </c>
      <c r="K266" s="64"/>
      <c r="O266" s="43">
        <f>I265+0</f>
        <v>303.24</v>
      </c>
      <c r="P266" s="43">
        <f>K265+0</f>
        <v>18782.689999999999</v>
      </c>
    </row>
    <row r="268" spans="1:29" ht="56" x14ac:dyDescent="0.25">
      <c r="A268" s="37">
        <v>29</v>
      </c>
      <c r="B268" s="37" t="str">
        <f>Source!F198</f>
        <v>1.22-4-9</v>
      </c>
      <c r="C268" s="37" t="s">
        <v>263</v>
      </c>
      <c r="D268" s="38" t="str">
        <f>Source!H198</f>
        <v>шт.</v>
      </c>
      <c r="E268" s="39">
        <f>Source!I198</f>
        <v>1</v>
      </c>
      <c r="F268" s="40">
        <f>Source!AL198</f>
        <v>75.81</v>
      </c>
      <c r="G268" s="41" t="s">
        <v>3</v>
      </c>
      <c r="H268" s="39">
        <f>Source!AW199</f>
        <v>1</v>
      </c>
      <c r="I268" s="40">
        <f>Source!P198</f>
        <v>75.81</v>
      </c>
      <c r="J268" s="39">
        <f>IF(Source!BC199&lt;&gt; 0, Source!BC199, 1)</f>
        <v>61.94</v>
      </c>
      <c r="K268" s="40">
        <f>Source!P199</f>
        <v>4695.67</v>
      </c>
      <c r="Q268">
        <f>Source!X198</f>
        <v>0</v>
      </c>
      <c r="R268">
        <f>Source!X199</f>
        <v>0</v>
      </c>
      <c r="S268">
        <f>Source!Y198</f>
        <v>0</v>
      </c>
      <c r="T268">
        <f>Source!Y199</f>
        <v>0</v>
      </c>
      <c r="U268">
        <f>ROUND((175/100)*ROUND(Source!R198, 2), 2)</f>
        <v>0</v>
      </c>
      <c r="V268">
        <f>ROUND((0/100)*ROUND(Source!R199, 2), 2)</f>
        <v>0</v>
      </c>
      <c r="AC268">
        <v>3</v>
      </c>
    </row>
    <row r="269" spans="1:29" ht="14" x14ac:dyDescent="0.25">
      <c r="C269" s="42" t="s">
        <v>668</v>
      </c>
      <c r="H269" s="64">
        <f>I268+0</f>
        <v>75.81</v>
      </c>
      <c r="I269" s="64"/>
      <c r="J269" s="64">
        <f>K268+0</f>
        <v>4695.67</v>
      </c>
      <c r="K269" s="64"/>
      <c r="O269" s="43">
        <f>I268+0</f>
        <v>75.81</v>
      </c>
      <c r="P269" s="43">
        <f>K268+0</f>
        <v>4695.67</v>
      </c>
    </row>
    <row r="271" spans="1:29" ht="56" x14ac:dyDescent="0.25">
      <c r="A271" s="37">
        <v>30</v>
      </c>
      <c r="B271" s="37" t="str">
        <f>Source!F200</f>
        <v>1.22-4-9</v>
      </c>
      <c r="C271" s="37" t="s">
        <v>265</v>
      </c>
      <c r="D271" s="38" t="str">
        <f>Source!H200</f>
        <v>шт.</v>
      </c>
      <c r="E271" s="39">
        <f>Source!I200</f>
        <v>1</v>
      </c>
      <c r="F271" s="40">
        <f>Source!AL200</f>
        <v>75.81</v>
      </c>
      <c r="G271" s="41" t="s">
        <v>3</v>
      </c>
      <c r="H271" s="39">
        <f>Source!AW201</f>
        <v>1</v>
      </c>
      <c r="I271" s="40">
        <f>Source!P200</f>
        <v>75.81</v>
      </c>
      <c r="J271" s="39">
        <f>IF(Source!BC201&lt;&gt; 0, Source!BC201, 1)</f>
        <v>61.94</v>
      </c>
      <c r="K271" s="40">
        <f>Source!P201</f>
        <v>4695.67</v>
      </c>
      <c r="Q271">
        <f>Source!X200</f>
        <v>0</v>
      </c>
      <c r="R271">
        <f>Source!X201</f>
        <v>0</v>
      </c>
      <c r="S271">
        <f>Source!Y200</f>
        <v>0</v>
      </c>
      <c r="T271">
        <f>Source!Y201</f>
        <v>0</v>
      </c>
      <c r="U271">
        <f>ROUND((175/100)*ROUND(Source!R200, 2), 2)</f>
        <v>0</v>
      </c>
      <c r="V271">
        <f>ROUND((0/100)*ROUND(Source!R201, 2), 2)</f>
        <v>0</v>
      </c>
      <c r="AC271">
        <v>3</v>
      </c>
    </row>
    <row r="272" spans="1:29" ht="14" x14ac:dyDescent="0.25">
      <c r="C272" s="42" t="s">
        <v>668</v>
      </c>
      <c r="H272" s="64">
        <f>I271+0</f>
        <v>75.81</v>
      </c>
      <c r="I272" s="64"/>
      <c r="J272" s="64">
        <f>K271+0</f>
        <v>4695.67</v>
      </c>
      <c r="K272" s="64"/>
      <c r="O272" s="43">
        <f>I271+0</f>
        <v>75.81</v>
      </c>
      <c r="P272" s="43">
        <f>K271+0</f>
        <v>4695.67</v>
      </c>
    </row>
    <row r="274" spans="1:29" ht="56" x14ac:dyDescent="0.25">
      <c r="A274" s="37">
        <v>31</v>
      </c>
      <c r="B274" s="37" t="str">
        <f>Source!F202</f>
        <v>1.22-4-9</v>
      </c>
      <c r="C274" s="37" t="s">
        <v>267</v>
      </c>
      <c r="D274" s="38" t="str">
        <f>Source!H202</f>
        <v>шт.</v>
      </c>
      <c r="E274" s="39">
        <f>Source!I202</f>
        <v>1</v>
      </c>
      <c r="F274" s="40">
        <f>Source!AL202</f>
        <v>75.81</v>
      </c>
      <c r="G274" s="41" t="s">
        <v>3</v>
      </c>
      <c r="H274" s="39">
        <f>Source!AW203</f>
        <v>1</v>
      </c>
      <c r="I274" s="40">
        <f>Source!P202</f>
        <v>75.81</v>
      </c>
      <c r="J274" s="39">
        <f>IF(Source!BC203&lt;&gt; 0, Source!BC203, 1)</f>
        <v>61.94</v>
      </c>
      <c r="K274" s="40">
        <f>Source!P203</f>
        <v>4695.67</v>
      </c>
      <c r="Q274">
        <f>Source!X202</f>
        <v>0</v>
      </c>
      <c r="R274">
        <f>Source!X203</f>
        <v>0</v>
      </c>
      <c r="S274">
        <f>Source!Y202</f>
        <v>0</v>
      </c>
      <c r="T274">
        <f>Source!Y203</f>
        <v>0</v>
      </c>
      <c r="U274">
        <f>ROUND((175/100)*ROUND(Source!R202, 2), 2)</f>
        <v>0</v>
      </c>
      <c r="V274">
        <f>ROUND((0/100)*ROUND(Source!R203, 2), 2)</f>
        <v>0</v>
      </c>
      <c r="AC274">
        <v>3</v>
      </c>
    </row>
    <row r="275" spans="1:29" ht="14" x14ac:dyDescent="0.25">
      <c r="C275" s="42" t="s">
        <v>668</v>
      </c>
      <c r="H275" s="64">
        <f>I274+0</f>
        <v>75.81</v>
      </c>
      <c r="I275" s="64"/>
      <c r="J275" s="64">
        <f>K274+0</f>
        <v>4695.67</v>
      </c>
      <c r="K275" s="64"/>
      <c r="O275" s="43">
        <f>I274+0</f>
        <v>75.81</v>
      </c>
      <c r="P275" s="43">
        <f>K274+0</f>
        <v>4695.67</v>
      </c>
    </row>
    <row r="277" spans="1:29" ht="56" x14ac:dyDescent="0.25">
      <c r="A277" s="37">
        <v>32</v>
      </c>
      <c r="B277" s="37" t="str">
        <f>Source!F204</f>
        <v>1.22-4-9</v>
      </c>
      <c r="C277" s="37" t="s">
        <v>269</v>
      </c>
      <c r="D277" s="38" t="str">
        <f>Source!H204</f>
        <v>шт.</v>
      </c>
      <c r="E277" s="39">
        <f>Source!I204</f>
        <v>63</v>
      </c>
      <c r="F277" s="40">
        <f>Source!AL204</f>
        <v>75.81</v>
      </c>
      <c r="G277" s="41" t="s">
        <v>3</v>
      </c>
      <c r="H277" s="39">
        <f>Source!AW205</f>
        <v>1</v>
      </c>
      <c r="I277" s="40">
        <f>Source!P204</f>
        <v>4776.03</v>
      </c>
      <c r="J277" s="39">
        <f>IF(Source!BC205&lt;&gt; 0, Source!BC205, 1)</f>
        <v>61.94</v>
      </c>
      <c r="K277" s="40">
        <f>Source!P205</f>
        <v>295827.3</v>
      </c>
      <c r="Q277">
        <f>Source!X204</f>
        <v>0</v>
      </c>
      <c r="R277">
        <f>Source!X205</f>
        <v>0</v>
      </c>
      <c r="S277">
        <f>Source!Y204</f>
        <v>0</v>
      </c>
      <c r="T277">
        <f>Source!Y205</f>
        <v>0</v>
      </c>
      <c r="U277">
        <f>ROUND((175/100)*ROUND(Source!R204, 2), 2)</f>
        <v>0</v>
      </c>
      <c r="V277">
        <f>ROUND((0/100)*ROUND(Source!R205, 2), 2)</f>
        <v>0</v>
      </c>
      <c r="AC277">
        <v>3</v>
      </c>
    </row>
    <row r="278" spans="1:29" ht="14" x14ac:dyDescent="0.25">
      <c r="C278" s="42" t="s">
        <v>668</v>
      </c>
      <c r="H278" s="64">
        <f>I277+0</f>
        <v>4776.03</v>
      </c>
      <c r="I278" s="64"/>
      <c r="J278" s="64">
        <f>K277+0</f>
        <v>295827.3</v>
      </c>
      <c r="K278" s="64"/>
      <c r="O278" s="43">
        <f>I277+0</f>
        <v>4776.03</v>
      </c>
      <c r="P278" s="43">
        <f>K277+0</f>
        <v>295827.3</v>
      </c>
    </row>
    <row r="280" spans="1:29" ht="28" x14ac:dyDescent="0.25">
      <c r="A280" s="30">
        <v>33</v>
      </c>
      <c r="B280" s="30" t="str">
        <f>Source!F206</f>
        <v>4.10-80-12</v>
      </c>
      <c r="C280" s="30" t="s">
        <v>272</v>
      </c>
      <c r="D280" s="32" t="str">
        <f>Source!H206</f>
        <v>1  ШТ.</v>
      </c>
      <c r="E280" s="31">
        <f>Source!I206</f>
        <v>1</v>
      </c>
      <c r="F280" s="34"/>
      <c r="G280" s="33"/>
      <c r="H280" s="31"/>
      <c r="I280" s="34"/>
      <c r="J280" s="31"/>
      <c r="K280" s="34"/>
      <c r="Q280">
        <f>Source!X206</f>
        <v>36.840000000000003</v>
      </c>
      <c r="R280">
        <f>Source!X207</f>
        <v>2075.7600000000002</v>
      </c>
      <c r="S280">
        <f>Source!Y206</f>
        <v>18.829999999999998</v>
      </c>
      <c r="T280">
        <f>Source!Y207</f>
        <v>1060.94</v>
      </c>
      <c r="U280">
        <f>ROUND((175/100)*ROUND(Source!R206, 2), 2)</f>
        <v>0.02</v>
      </c>
      <c r="V280">
        <f>ROUND((0/100)*ROUND(Source!R207, 2), 2)</f>
        <v>0</v>
      </c>
      <c r="AC280">
        <v>0</v>
      </c>
    </row>
    <row r="281" spans="1:29" ht="14.5" x14ac:dyDescent="0.25">
      <c r="A281" s="30"/>
      <c r="B281" s="30"/>
      <c r="C281" s="30" t="s">
        <v>657</v>
      </c>
      <c r="D281" s="32"/>
      <c r="E281" s="31"/>
      <c r="F281" s="34">
        <f>Source!AO206</f>
        <v>32.57</v>
      </c>
      <c r="G281" s="35" t="s">
        <v>156</v>
      </c>
      <c r="H281" s="31">
        <f>Source!AV207</f>
        <v>1.0469999999999999</v>
      </c>
      <c r="I281" s="34">
        <f>Source!S206</f>
        <v>40.92</v>
      </c>
      <c r="J281" s="31">
        <f>IF(Source!BA207&lt;&gt; 0, Source!BA207, 1)</f>
        <v>56.35</v>
      </c>
      <c r="K281" s="34">
        <f>Source!S207</f>
        <v>2305.84</v>
      </c>
    </row>
    <row r="282" spans="1:29" ht="14.5" x14ac:dyDescent="0.25">
      <c r="A282" s="30"/>
      <c r="B282" s="30"/>
      <c r="C282" s="30" t="s">
        <v>659</v>
      </c>
      <c r="D282" s="32"/>
      <c r="E282" s="31"/>
      <c r="F282" s="34">
        <f>Source!AM206</f>
        <v>0.05</v>
      </c>
      <c r="G282" s="35" t="s">
        <v>156</v>
      </c>
      <c r="H282" s="31">
        <f>Source!AV207</f>
        <v>1.0469999999999999</v>
      </c>
      <c r="I282" s="34">
        <f>Source!Q206</f>
        <v>0.06</v>
      </c>
      <c r="J282" s="31">
        <f>IF(Source!BB207&lt;&gt; 0, Source!BB207, 1)</f>
        <v>20</v>
      </c>
      <c r="K282" s="34">
        <f>Source!Q207</f>
        <v>1.2</v>
      </c>
    </row>
    <row r="283" spans="1:29" ht="14.5" x14ac:dyDescent="0.25">
      <c r="A283" s="30"/>
      <c r="B283" s="30"/>
      <c r="C283" s="30" t="s">
        <v>660</v>
      </c>
      <c r="D283" s="32"/>
      <c r="E283" s="31"/>
      <c r="F283" s="34">
        <f>Source!AN206</f>
        <v>0.01</v>
      </c>
      <c r="G283" s="35" t="s">
        <v>156</v>
      </c>
      <c r="H283" s="31">
        <f>Source!AV207</f>
        <v>1.0469999999999999</v>
      </c>
      <c r="I283" s="36">
        <f>Source!R206</f>
        <v>0.01</v>
      </c>
      <c r="J283" s="31">
        <f>IF(Source!BS207&lt;&gt; 0, Source!BS207, 1)</f>
        <v>56.35</v>
      </c>
      <c r="K283" s="36">
        <f>Source!R207</f>
        <v>0.56000000000000005</v>
      </c>
    </row>
    <row r="284" spans="1:29" ht="14.5" x14ac:dyDescent="0.25">
      <c r="A284" s="30"/>
      <c r="B284" s="30"/>
      <c r="C284" s="30" t="s">
        <v>672</v>
      </c>
      <c r="D284" s="32"/>
      <c r="E284" s="31"/>
      <c r="F284" s="34">
        <f>Source!AL206</f>
        <v>3.71</v>
      </c>
      <c r="G284" s="35" t="s">
        <v>3</v>
      </c>
      <c r="H284" s="31">
        <f>Source!AW207</f>
        <v>1</v>
      </c>
      <c r="I284" s="34">
        <f>Source!P206</f>
        <v>3.71</v>
      </c>
      <c r="J284" s="31">
        <f>IF(Source!BC207&lt;&gt; 0, Source!BC207, 1)</f>
        <v>9.84</v>
      </c>
      <c r="K284" s="34">
        <f>Source!P207</f>
        <v>36.51</v>
      </c>
    </row>
    <row r="285" spans="1:29" ht="14.5" x14ac:dyDescent="0.25">
      <c r="A285" s="30"/>
      <c r="B285" s="30"/>
      <c r="C285" s="30" t="s">
        <v>661</v>
      </c>
      <c r="D285" s="32" t="s">
        <v>662</v>
      </c>
      <c r="E285" s="31">
        <f>Source!BZ207</f>
        <v>90</v>
      </c>
      <c r="F285" s="34"/>
      <c r="G285" s="33"/>
      <c r="H285" s="31"/>
      <c r="I285" s="34">
        <f>SUM(Q280:Q284)</f>
        <v>36.840000000000003</v>
      </c>
      <c r="J285" s="31">
        <f>Source!AT207</f>
        <v>90</v>
      </c>
      <c r="K285" s="34">
        <f>SUM(R280:R284)</f>
        <v>2075.7600000000002</v>
      </c>
    </row>
    <row r="286" spans="1:29" ht="14.5" x14ac:dyDescent="0.25">
      <c r="A286" s="30"/>
      <c r="B286" s="30"/>
      <c r="C286" s="30" t="s">
        <v>663</v>
      </c>
      <c r="D286" s="32" t="s">
        <v>662</v>
      </c>
      <c r="E286" s="31">
        <f>Source!CA207</f>
        <v>46</v>
      </c>
      <c r="F286" s="34"/>
      <c r="G286" s="33"/>
      <c r="H286" s="31"/>
      <c r="I286" s="34">
        <f>SUM(S280:S285)</f>
        <v>18.829999999999998</v>
      </c>
      <c r="J286" s="31">
        <f>Source!AU207</f>
        <v>46</v>
      </c>
      <c r="K286" s="34">
        <f>SUM(T280:T285)</f>
        <v>1060.94</v>
      </c>
    </row>
    <row r="287" spans="1:29" ht="14.5" x14ac:dyDescent="0.25">
      <c r="A287" s="37"/>
      <c r="B287" s="37"/>
      <c r="C287" s="37" t="s">
        <v>664</v>
      </c>
      <c r="D287" s="38" t="s">
        <v>665</v>
      </c>
      <c r="E287" s="39">
        <f>Source!AQ206</f>
        <v>2.4</v>
      </c>
      <c r="F287" s="40"/>
      <c r="G287" s="41" t="s">
        <v>156</v>
      </c>
      <c r="H287" s="39">
        <f>Source!AV207</f>
        <v>1.0469999999999999</v>
      </c>
      <c r="I287" s="40">
        <f>Source!U206</f>
        <v>3.0153599999999998</v>
      </c>
      <c r="J287" s="39"/>
      <c r="K287" s="40"/>
    </row>
    <row r="288" spans="1:29" ht="14" x14ac:dyDescent="0.25">
      <c r="C288" s="42" t="s">
        <v>666</v>
      </c>
      <c r="H288" s="64">
        <f>I281+I282+I284+I285+I286+0-0-0</f>
        <v>100.36</v>
      </c>
      <c r="I288" s="64"/>
      <c r="J288" s="64">
        <f>K281+K282+K284+K285+K286+0-0-0</f>
        <v>5480.25</v>
      </c>
      <c r="K288" s="64"/>
    </row>
    <row r="289" spans="1:29" ht="14" hidden="1" x14ac:dyDescent="0.25">
      <c r="C289" s="42" t="s">
        <v>667</v>
      </c>
      <c r="H289" s="62">
        <f>0+0</f>
        <v>0</v>
      </c>
      <c r="I289" s="62"/>
      <c r="J289" s="62">
        <f>0+0</f>
        <v>0</v>
      </c>
      <c r="K289" s="62"/>
    </row>
    <row r="290" spans="1:29" ht="14" x14ac:dyDescent="0.25">
      <c r="C290" s="42" t="s">
        <v>668</v>
      </c>
      <c r="H290" s="62">
        <f>I281+I282+I284+I285+I286+0</f>
        <v>100.36</v>
      </c>
      <c r="I290" s="62"/>
      <c r="J290" s="62">
        <f>K281+K282+K284+K285+K286+0</f>
        <v>5480.25</v>
      </c>
      <c r="K290" s="62"/>
      <c r="O290" s="43">
        <f>I281+I282+I284+I285+I286+0</f>
        <v>100.36</v>
      </c>
      <c r="P290" s="43">
        <f>K281+K282+K284+K285+K286+0</f>
        <v>5480.25</v>
      </c>
    </row>
    <row r="292" spans="1:29" ht="54" x14ac:dyDescent="0.25">
      <c r="A292" s="46">
        <v>34</v>
      </c>
      <c r="B292" s="46" t="str">
        <f>Source!F208</f>
        <v>КА, п.17</v>
      </c>
      <c r="C292" s="46" t="s">
        <v>681</v>
      </c>
      <c r="D292" s="47" t="str">
        <f>Source!H208</f>
        <v>ШТ</v>
      </c>
      <c r="E292" s="48">
        <f>Source!I208</f>
        <v>1</v>
      </c>
      <c r="F292" s="49">
        <f>Source!AL208</f>
        <v>189.95</v>
      </c>
      <c r="G292" s="50" t="s">
        <v>3</v>
      </c>
      <c r="H292" s="48">
        <f>Source!AW209</f>
        <v>1</v>
      </c>
      <c r="I292" s="49">
        <f>Source!P208</f>
        <v>189.95</v>
      </c>
      <c r="J292" s="48">
        <f>IF(Source!BC209&lt;&gt; 0, Source!BC209, 1)</f>
        <v>7.57</v>
      </c>
      <c r="K292" s="49">
        <f>Source!P209</f>
        <v>1437.92</v>
      </c>
      <c r="Q292">
        <f>Source!X208</f>
        <v>0</v>
      </c>
      <c r="R292">
        <f>Source!X209</f>
        <v>0</v>
      </c>
      <c r="S292">
        <f>Source!Y208</f>
        <v>0</v>
      </c>
      <c r="T292">
        <f>Source!Y209</f>
        <v>0</v>
      </c>
      <c r="U292">
        <f>ROUND((175/100)*ROUND(Source!R208, 2), 2)</f>
        <v>0</v>
      </c>
      <c r="V292">
        <f>ROUND((0/100)*ROUND(Source!R209, 2), 2)</f>
        <v>0</v>
      </c>
      <c r="AC292">
        <v>5</v>
      </c>
    </row>
    <row r="293" spans="1:29" ht="14" x14ac:dyDescent="0.25">
      <c r="A293" s="51"/>
      <c r="B293" s="51"/>
      <c r="C293" s="52" t="s">
        <v>668</v>
      </c>
      <c r="D293" s="51"/>
      <c r="E293" s="51"/>
      <c r="F293" s="51"/>
      <c r="G293" s="51"/>
      <c r="H293" s="66">
        <f>I292+0</f>
        <v>189.95</v>
      </c>
      <c r="I293" s="66"/>
      <c r="J293" s="66">
        <f>K292+0</f>
        <v>1437.92</v>
      </c>
      <c r="K293" s="66"/>
      <c r="O293" s="43">
        <f>I292+0</f>
        <v>189.95</v>
      </c>
      <c r="P293" s="43">
        <f>K292+0</f>
        <v>1437.92</v>
      </c>
    </row>
    <row r="295" spans="1:29" ht="28" x14ac:dyDescent="0.25">
      <c r="A295" s="30">
        <v>35</v>
      </c>
      <c r="B295" s="30" t="str">
        <f>Source!F210</f>
        <v>4.10-80-13</v>
      </c>
      <c r="C295" s="30" t="s">
        <v>280</v>
      </c>
      <c r="D295" s="32" t="str">
        <f>Source!H210</f>
        <v>1  ШТ.</v>
      </c>
      <c r="E295" s="31">
        <f>Source!I210</f>
        <v>10</v>
      </c>
      <c r="F295" s="34"/>
      <c r="G295" s="33"/>
      <c r="H295" s="31"/>
      <c r="I295" s="34"/>
      <c r="J295" s="31"/>
      <c r="K295" s="34"/>
      <c r="Q295">
        <f>Source!X210</f>
        <v>181.83</v>
      </c>
      <c r="R295">
        <f>Source!X211</f>
        <v>10245.959999999999</v>
      </c>
      <c r="S295">
        <f>Source!Y210</f>
        <v>92.93</v>
      </c>
      <c r="T295">
        <f>Source!Y211</f>
        <v>5236.82</v>
      </c>
      <c r="U295">
        <f>ROUND((175/100)*ROUND(Source!R210, 2), 2)</f>
        <v>0.23</v>
      </c>
      <c r="V295">
        <f>ROUND((0/100)*ROUND(Source!R211, 2), 2)</f>
        <v>0</v>
      </c>
      <c r="AC295">
        <v>0</v>
      </c>
    </row>
    <row r="296" spans="1:29" ht="14.5" x14ac:dyDescent="0.25">
      <c r="A296" s="30"/>
      <c r="B296" s="30"/>
      <c r="C296" s="30" t="s">
        <v>657</v>
      </c>
      <c r="D296" s="32"/>
      <c r="E296" s="31"/>
      <c r="F296" s="34">
        <f>Source!AO210</f>
        <v>16.07</v>
      </c>
      <c r="G296" s="35" t="s">
        <v>156</v>
      </c>
      <c r="H296" s="31">
        <f>Source!AV211</f>
        <v>1.0469999999999999</v>
      </c>
      <c r="I296" s="34">
        <f>Source!S210</f>
        <v>201.9</v>
      </c>
      <c r="J296" s="31">
        <f>IF(Source!BA211&lt;&gt; 0, Source!BA211, 1)</f>
        <v>56.35</v>
      </c>
      <c r="K296" s="34">
        <f>Source!S211</f>
        <v>11377.07</v>
      </c>
    </row>
    <row r="297" spans="1:29" ht="14.5" x14ac:dyDescent="0.25">
      <c r="A297" s="30"/>
      <c r="B297" s="30"/>
      <c r="C297" s="30" t="s">
        <v>659</v>
      </c>
      <c r="D297" s="32"/>
      <c r="E297" s="31"/>
      <c r="F297" s="34">
        <f>Source!AM210</f>
        <v>0.05</v>
      </c>
      <c r="G297" s="35" t="s">
        <v>156</v>
      </c>
      <c r="H297" s="31">
        <f>Source!AV211</f>
        <v>1.0469999999999999</v>
      </c>
      <c r="I297" s="34">
        <f>Source!Q210</f>
        <v>0.63</v>
      </c>
      <c r="J297" s="31">
        <f>IF(Source!BB211&lt;&gt; 0, Source!BB211, 1)</f>
        <v>20</v>
      </c>
      <c r="K297" s="34">
        <f>Source!Q211</f>
        <v>12.6</v>
      </c>
    </row>
    <row r="298" spans="1:29" ht="14.5" x14ac:dyDescent="0.25">
      <c r="A298" s="30"/>
      <c r="B298" s="30"/>
      <c r="C298" s="30" t="s">
        <v>660</v>
      </c>
      <c r="D298" s="32"/>
      <c r="E298" s="31"/>
      <c r="F298" s="34">
        <f>Source!AN210</f>
        <v>0.01</v>
      </c>
      <c r="G298" s="35" t="s">
        <v>156</v>
      </c>
      <c r="H298" s="31">
        <f>Source!AV211</f>
        <v>1.0469999999999999</v>
      </c>
      <c r="I298" s="36">
        <f>Source!R210</f>
        <v>0.13</v>
      </c>
      <c r="J298" s="31">
        <f>IF(Source!BS211&lt;&gt; 0, Source!BS211, 1)</f>
        <v>56.35</v>
      </c>
      <c r="K298" s="36">
        <f>Source!R211</f>
        <v>7.33</v>
      </c>
    </row>
    <row r="299" spans="1:29" ht="14.5" x14ac:dyDescent="0.25">
      <c r="A299" s="30"/>
      <c r="B299" s="30"/>
      <c r="C299" s="30" t="s">
        <v>672</v>
      </c>
      <c r="D299" s="32"/>
      <c r="E299" s="31"/>
      <c r="F299" s="34">
        <f>Source!AL210</f>
        <v>1.96</v>
      </c>
      <c r="G299" s="35" t="s">
        <v>3</v>
      </c>
      <c r="H299" s="31">
        <f>Source!AW211</f>
        <v>1</v>
      </c>
      <c r="I299" s="34">
        <f>Source!P210</f>
        <v>19.600000000000001</v>
      </c>
      <c r="J299" s="31">
        <f>IF(Source!BC211&lt;&gt; 0, Source!BC211, 1)</f>
        <v>9.84</v>
      </c>
      <c r="K299" s="34">
        <f>Source!P211</f>
        <v>192.86</v>
      </c>
    </row>
    <row r="300" spans="1:29" ht="14.5" x14ac:dyDescent="0.25">
      <c r="A300" s="30"/>
      <c r="B300" s="30"/>
      <c r="C300" s="30" t="s">
        <v>661</v>
      </c>
      <c r="D300" s="32" t="s">
        <v>662</v>
      </c>
      <c r="E300" s="31">
        <f>Source!BZ211</f>
        <v>90</v>
      </c>
      <c r="F300" s="34"/>
      <c r="G300" s="33"/>
      <c r="H300" s="31"/>
      <c r="I300" s="34">
        <f>SUM(Q295:Q299)</f>
        <v>181.83</v>
      </c>
      <c r="J300" s="31">
        <f>Source!AT211</f>
        <v>90</v>
      </c>
      <c r="K300" s="34">
        <f>SUM(R295:R299)</f>
        <v>10245.959999999999</v>
      </c>
    </row>
    <row r="301" spans="1:29" ht="14.5" x14ac:dyDescent="0.25">
      <c r="A301" s="30"/>
      <c r="B301" s="30"/>
      <c r="C301" s="30" t="s">
        <v>663</v>
      </c>
      <c r="D301" s="32" t="s">
        <v>662</v>
      </c>
      <c r="E301" s="31">
        <f>Source!CA211</f>
        <v>46</v>
      </c>
      <c r="F301" s="34"/>
      <c r="G301" s="33"/>
      <c r="H301" s="31"/>
      <c r="I301" s="34">
        <f>SUM(S295:S300)</f>
        <v>92.93</v>
      </c>
      <c r="J301" s="31">
        <f>Source!AU211</f>
        <v>46</v>
      </c>
      <c r="K301" s="34">
        <f>SUM(T295:T300)</f>
        <v>5236.82</v>
      </c>
    </row>
    <row r="302" spans="1:29" ht="14.5" x14ac:dyDescent="0.25">
      <c r="A302" s="37"/>
      <c r="B302" s="37"/>
      <c r="C302" s="37" t="s">
        <v>664</v>
      </c>
      <c r="D302" s="38" t="s">
        <v>665</v>
      </c>
      <c r="E302" s="39">
        <f>Source!AQ210</f>
        <v>1.2</v>
      </c>
      <c r="F302" s="40"/>
      <c r="G302" s="41" t="s">
        <v>156</v>
      </c>
      <c r="H302" s="39">
        <f>Source!AV211</f>
        <v>1.0469999999999999</v>
      </c>
      <c r="I302" s="40">
        <f>Source!U210</f>
        <v>15.076799999999999</v>
      </c>
      <c r="J302" s="39"/>
      <c r="K302" s="40"/>
    </row>
    <row r="303" spans="1:29" ht="14" x14ac:dyDescent="0.25">
      <c r="C303" s="42" t="s">
        <v>666</v>
      </c>
      <c r="H303" s="64">
        <f>I296+I297+I299+I300+I301+0-0-0</f>
        <v>496.89000000000004</v>
      </c>
      <c r="I303" s="64"/>
      <c r="J303" s="64">
        <f>K296+K297+K299+K300+K301+0-0-0</f>
        <v>27065.309999999998</v>
      </c>
      <c r="K303" s="64"/>
    </row>
    <row r="304" spans="1:29" ht="14" hidden="1" x14ac:dyDescent="0.25">
      <c r="C304" s="42" t="s">
        <v>667</v>
      </c>
      <c r="H304" s="62">
        <f>0+0</f>
        <v>0</v>
      </c>
      <c r="I304" s="62"/>
      <c r="J304" s="62">
        <f>0+0</f>
        <v>0</v>
      </c>
      <c r="K304" s="62"/>
    </row>
    <row r="305" spans="1:29" ht="14" x14ac:dyDescent="0.25">
      <c r="C305" s="42" t="s">
        <v>668</v>
      </c>
      <c r="H305" s="62">
        <f>I296+I297+I299+I300+I301+0</f>
        <v>496.89000000000004</v>
      </c>
      <c r="I305" s="62"/>
      <c r="J305" s="62">
        <f>K296+K297+K299+K300+K301+0</f>
        <v>27065.309999999998</v>
      </c>
      <c r="K305" s="62"/>
      <c r="O305" s="43">
        <f>I296+I297+I299+I300+I301+0</f>
        <v>496.89000000000004</v>
      </c>
      <c r="P305" s="43">
        <f>K296+K297+K299+K300+K301+0</f>
        <v>27065.309999999998</v>
      </c>
    </row>
    <row r="307" spans="1:29" ht="54" x14ac:dyDescent="0.25">
      <c r="A307" s="46">
        <v>36</v>
      </c>
      <c r="B307" s="46" t="str">
        <f>Source!F212</f>
        <v>КА, п.18</v>
      </c>
      <c r="C307" s="46" t="s">
        <v>682</v>
      </c>
      <c r="D307" s="47" t="str">
        <f>Source!H212</f>
        <v>ШТ</v>
      </c>
      <c r="E307" s="48">
        <f>Source!I212</f>
        <v>10</v>
      </c>
      <c r="F307" s="49">
        <f>Source!AL212</f>
        <v>350.79</v>
      </c>
      <c r="G307" s="50" t="s">
        <v>3</v>
      </c>
      <c r="H307" s="48">
        <f>Source!AW213</f>
        <v>1</v>
      </c>
      <c r="I307" s="49">
        <f>Source!P212</f>
        <v>3507.9</v>
      </c>
      <c r="J307" s="48">
        <f>IF(Source!BC213&lt;&gt; 0, Source!BC213, 1)</f>
        <v>7.57</v>
      </c>
      <c r="K307" s="49">
        <f>Source!P213</f>
        <v>26554.799999999999</v>
      </c>
      <c r="Q307">
        <f>Source!X212</f>
        <v>0</v>
      </c>
      <c r="R307">
        <f>Source!X213</f>
        <v>0</v>
      </c>
      <c r="S307">
        <f>Source!Y212</f>
        <v>0</v>
      </c>
      <c r="T307">
        <f>Source!Y213</f>
        <v>0</v>
      </c>
      <c r="U307">
        <f>ROUND((175/100)*ROUND(Source!R212, 2), 2)</f>
        <v>0</v>
      </c>
      <c r="V307">
        <f>ROUND((0/100)*ROUND(Source!R213, 2), 2)</f>
        <v>0</v>
      </c>
      <c r="AC307">
        <v>5</v>
      </c>
    </row>
    <row r="308" spans="1:29" ht="14" x14ac:dyDescent="0.25">
      <c r="A308" s="51"/>
      <c r="B308" s="51"/>
      <c r="C308" s="52" t="s">
        <v>668</v>
      </c>
      <c r="D308" s="51"/>
      <c r="E308" s="51"/>
      <c r="F308" s="51"/>
      <c r="G308" s="51"/>
      <c r="H308" s="66">
        <f>I307+0</f>
        <v>3507.9</v>
      </c>
      <c r="I308" s="66"/>
      <c r="J308" s="66">
        <f>K307+0</f>
        <v>26554.799999999999</v>
      </c>
      <c r="K308" s="66"/>
      <c r="O308" s="43">
        <f>I307+0</f>
        <v>3507.9</v>
      </c>
      <c r="P308" s="43">
        <f>K307+0</f>
        <v>26554.799999999999</v>
      </c>
    </row>
    <row r="310" spans="1:29" ht="28" x14ac:dyDescent="0.25">
      <c r="A310" s="30">
        <v>37</v>
      </c>
      <c r="B310" s="30" t="str">
        <f>Source!F214</f>
        <v>4.10-80-12</v>
      </c>
      <c r="C310" s="30" t="s">
        <v>272</v>
      </c>
      <c r="D310" s="32" t="str">
        <f>Source!H214</f>
        <v>1  ШТ.</v>
      </c>
      <c r="E310" s="31">
        <f>Source!I214</f>
        <v>2</v>
      </c>
      <c r="F310" s="34"/>
      <c r="G310" s="33"/>
      <c r="H310" s="31"/>
      <c r="I310" s="34"/>
      <c r="J310" s="31"/>
      <c r="K310" s="34"/>
      <c r="Q310">
        <f>Source!X214</f>
        <v>73.680000000000007</v>
      </c>
      <c r="R310">
        <f>Source!X215</f>
        <v>4152.03</v>
      </c>
      <c r="S310">
        <f>Source!Y214</f>
        <v>37.659999999999997</v>
      </c>
      <c r="T310">
        <f>Source!Y215</f>
        <v>2122.15</v>
      </c>
      <c r="U310">
        <f>ROUND((175/100)*ROUND(Source!R214, 2), 2)</f>
        <v>0.05</v>
      </c>
      <c r="V310">
        <f>ROUND((0/100)*ROUND(Source!R215, 2), 2)</f>
        <v>0</v>
      </c>
      <c r="AC310">
        <v>0</v>
      </c>
    </row>
    <row r="311" spans="1:29" ht="14.5" x14ac:dyDescent="0.25">
      <c r="A311" s="30"/>
      <c r="B311" s="30"/>
      <c r="C311" s="30" t="s">
        <v>657</v>
      </c>
      <c r="D311" s="32"/>
      <c r="E311" s="31"/>
      <c r="F311" s="34">
        <f>Source!AO214</f>
        <v>32.57</v>
      </c>
      <c r="G311" s="35" t="s">
        <v>156</v>
      </c>
      <c r="H311" s="31">
        <f>Source!AV215</f>
        <v>1.0469999999999999</v>
      </c>
      <c r="I311" s="34">
        <f>Source!S214</f>
        <v>81.84</v>
      </c>
      <c r="J311" s="31">
        <f>IF(Source!BA215&lt;&gt; 0, Source!BA215, 1)</f>
        <v>56.35</v>
      </c>
      <c r="K311" s="34">
        <f>Source!S215</f>
        <v>4611.68</v>
      </c>
    </row>
    <row r="312" spans="1:29" ht="14.5" x14ac:dyDescent="0.25">
      <c r="A312" s="30"/>
      <c r="B312" s="30"/>
      <c r="C312" s="30" t="s">
        <v>659</v>
      </c>
      <c r="D312" s="32"/>
      <c r="E312" s="31"/>
      <c r="F312" s="34">
        <f>Source!AM214</f>
        <v>0.05</v>
      </c>
      <c r="G312" s="35" t="s">
        <v>156</v>
      </c>
      <c r="H312" s="31">
        <f>Source!AV215</f>
        <v>1.0469999999999999</v>
      </c>
      <c r="I312" s="34">
        <f>Source!Q214</f>
        <v>0.13</v>
      </c>
      <c r="J312" s="31">
        <f>IF(Source!BB215&lt;&gt; 0, Source!BB215, 1)</f>
        <v>20</v>
      </c>
      <c r="K312" s="34">
        <f>Source!Q215</f>
        <v>2.6</v>
      </c>
    </row>
    <row r="313" spans="1:29" ht="14.5" x14ac:dyDescent="0.25">
      <c r="A313" s="30"/>
      <c r="B313" s="30"/>
      <c r="C313" s="30" t="s">
        <v>660</v>
      </c>
      <c r="D313" s="32"/>
      <c r="E313" s="31"/>
      <c r="F313" s="34">
        <f>Source!AN214</f>
        <v>0.01</v>
      </c>
      <c r="G313" s="35" t="s">
        <v>156</v>
      </c>
      <c r="H313" s="31">
        <f>Source!AV215</f>
        <v>1.0469999999999999</v>
      </c>
      <c r="I313" s="36">
        <f>Source!R214</f>
        <v>0.03</v>
      </c>
      <c r="J313" s="31">
        <f>IF(Source!BS215&lt;&gt; 0, Source!BS215, 1)</f>
        <v>56.35</v>
      </c>
      <c r="K313" s="36">
        <f>Source!R215</f>
        <v>1.69</v>
      </c>
    </row>
    <row r="314" spans="1:29" ht="14.5" x14ac:dyDescent="0.25">
      <c r="A314" s="30"/>
      <c r="B314" s="30"/>
      <c r="C314" s="30" t="s">
        <v>672</v>
      </c>
      <c r="D314" s="32"/>
      <c r="E314" s="31"/>
      <c r="F314" s="34">
        <f>Source!AL214</f>
        <v>3.71</v>
      </c>
      <c r="G314" s="35" t="s">
        <v>3</v>
      </c>
      <c r="H314" s="31">
        <f>Source!AW215</f>
        <v>1</v>
      </c>
      <c r="I314" s="34">
        <f>Source!P214</f>
        <v>7.42</v>
      </c>
      <c r="J314" s="31">
        <f>IF(Source!BC215&lt;&gt; 0, Source!BC215, 1)</f>
        <v>9.84</v>
      </c>
      <c r="K314" s="34">
        <f>Source!P215</f>
        <v>73.010000000000005</v>
      </c>
    </row>
    <row r="315" spans="1:29" ht="14.5" x14ac:dyDescent="0.25">
      <c r="A315" s="30"/>
      <c r="B315" s="30"/>
      <c r="C315" s="30" t="s">
        <v>661</v>
      </c>
      <c r="D315" s="32" t="s">
        <v>662</v>
      </c>
      <c r="E315" s="31">
        <f>Source!BZ215</f>
        <v>90</v>
      </c>
      <c r="F315" s="34"/>
      <c r="G315" s="33"/>
      <c r="H315" s="31"/>
      <c r="I315" s="34">
        <f>SUM(Q310:Q314)</f>
        <v>73.680000000000007</v>
      </c>
      <c r="J315" s="31">
        <f>Source!AT215</f>
        <v>90</v>
      </c>
      <c r="K315" s="34">
        <f>SUM(R310:R314)</f>
        <v>4152.03</v>
      </c>
    </row>
    <row r="316" spans="1:29" ht="14.5" x14ac:dyDescent="0.25">
      <c r="A316" s="30"/>
      <c r="B316" s="30"/>
      <c r="C316" s="30" t="s">
        <v>663</v>
      </c>
      <c r="D316" s="32" t="s">
        <v>662</v>
      </c>
      <c r="E316" s="31">
        <f>Source!CA215</f>
        <v>46</v>
      </c>
      <c r="F316" s="34"/>
      <c r="G316" s="33"/>
      <c r="H316" s="31"/>
      <c r="I316" s="34">
        <f>SUM(S310:S315)</f>
        <v>37.659999999999997</v>
      </c>
      <c r="J316" s="31">
        <f>Source!AU215</f>
        <v>46</v>
      </c>
      <c r="K316" s="34">
        <f>SUM(T310:T315)</f>
        <v>2122.15</v>
      </c>
    </row>
    <row r="317" spans="1:29" ht="14.5" x14ac:dyDescent="0.25">
      <c r="A317" s="37"/>
      <c r="B317" s="37"/>
      <c r="C317" s="37" t="s">
        <v>664</v>
      </c>
      <c r="D317" s="38" t="s">
        <v>665</v>
      </c>
      <c r="E317" s="39">
        <f>Source!AQ214</f>
        <v>2.4</v>
      </c>
      <c r="F317" s="40"/>
      <c r="G317" s="41" t="s">
        <v>156</v>
      </c>
      <c r="H317" s="39">
        <f>Source!AV215</f>
        <v>1.0469999999999999</v>
      </c>
      <c r="I317" s="40">
        <f>Source!U214</f>
        <v>6.0307199999999996</v>
      </c>
      <c r="J317" s="39"/>
      <c r="K317" s="40"/>
    </row>
    <row r="318" spans="1:29" ht="14" x14ac:dyDescent="0.25">
      <c r="C318" s="42" t="s">
        <v>666</v>
      </c>
      <c r="H318" s="64">
        <f>I311+I312+I314+I315+I316+0-0-0</f>
        <v>200.73</v>
      </c>
      <c r="I318" s="64"/>
      <c r="J318" s="64">
        <f>K311+K312+K314+K315+K316+0-0-0</f>
        <v>10961.47</v>
      </c>
      <c r="K318" s="64"/>
    </row>
    <row r="319" spans="1:29" ht="14" hidden="1" x14ac:dyDescent="0.25">
      <c r="C319" s="42" t="s">
        <v>667</v>
      </c>
      <c r="H319" s="62">
        <f>0+0</f>
        <v>0</v>
      </c>
      <c r="I319" s="62"/>
      <c r="J319" s="62">
        <f>0+0</f>
        <v>0</v>
      </c>
      <c r="K319" s="62"/>
    </row>
    <row r="320" spans="1:29" ht="14" x14ac:dyDescent="0.25">
      <c r="C320" s="42" t="s">
        <v>668</v>
      </c>
      <c r="H320" s="62">
        <f>I311+I312+I314+I315+I316+0</f>
        <v>200.73</v>
      </c>
      <c r="I320" s="62"/>
      <c r="J320" s="62">
        <f>K311+K312+K314+K315+K316+0</f>
        <v>10961.47</v>
      </c>
      <c r="K320" s="62"/>
      <c r="O320" s="43">
        <f>I311+I312+I314+I315+I316+0</f>
        <v>200.73</v>
      </c>
      <c r="P320" s="43">
        <f>K311+K312+K314+K315+K316+0</f>
        <v>10961.47</v>
      </c>
    </row>
    <row r="322" spans="1:29" ht="54" x14ac:dyDescent="0.25">
      <c r="A322" s="46">
        <v>38</v>
      </c>
      <c r="B322" s="46" t="str">
        <f>Source!F216</f>
        <v>КА, п.19</v>
      </c>
      <c r="C322" s="46" t="s">
        <v>683</v>
      </c>
      <c r="D322" s="47" t="str">
        <f>Source!H216</f>
        <v>ШТ</v>
      </c>
      <c r="E322" s="48">
        <f>Source!I216</f>
        <v>2</v>
      </c>
      <c r="F322" s="49">
        <f>Source!AL216</f>
        <v>527.30999999999995</v>
      </c>
      <c r="G322" s="50" t="s">
        <v>3</v>
      </c>
      <c r="H322" s="48">
        <f>Source!AW217</f>
        <v>1</v>
      </c>
      <c r="I322" s="49">
        <f>Source!P216</f>
        <v>1054.6199999999999</v>
      </c>
      <c r="J322" s="48">
        <f>IF(Source!BC217&lt;&gt; 0, Source!BC217, 1)</f>
        <v>7.57</v>
      </c>
      <c r="K322" s="49">
        <f>Source!P217</f>
        <v>7983.47</v>
      </c>
      <c r="Q322">
        <f>Source!X216</f>
        <v>0</v>
      </c>
      <c r="R322">
        <f>Source!X217</f>
        <v>0</v>
      </c>
      <c r="S322">
        <f>Source!Y216</f>
        <v>0</v>
      </c>
      <c r="T322">
        <f>Source!Y217</f>
        <v>0</v>
      </c>
      <c r="U322">
        <f>ROUND((175/100)*ROUND(Source!R216, 2), 2)</f>
        <v>0</v>
      </c>
      <c r="V322">
        <f>ROUND((0/100)*ROUND(Source!R217, 2), 2)</f>
        <v>0</v>
      </c>
      <c r="AC322">
        <v>5</v>
      </c>
    </row>
    <row r="323" spans="1:29" ht="14" x14ac:dyDescent="0.25">
      <c r="A323" s="51"/>
      <c r="B323" s="51"/>
      <c r="C323" s="52" t="s">
        <v>668</v>
      </c>
      <c r="D323" s="51"/>
      <c r="E323" s="51"/>
      <c r="F323" s="51"/>
      <c r="G323" s="51"/>
      <c r="H323" s="66">
        <f>I322+0</f>
        <v>1054.6199999999999</v>
      </c>
      <c r="I323" s="66"/>
      <c r="J323" s="66">
        <f>K322+0</f>
        <v>7983.47</v>
      </c>
      <c r="K323" s="66"/>
      <c r="O323" s="43">
        <f>I322+0</f>
        <v>1054.6199999999999</v>
      </c>
      <c r="P323" s="43">
        <f>K322+0</f>
        <v>7983.47</v>
      </c>
    </row>
    <row r="325" spans="1:29" ht="28" x14ac:dyDescent="0.25">
      <c r="A325" s="30">
        <v>39</v>
      </c>
      <c r="B325" s="30" t="str">
        <f>Source!F218</f>
        <v>4.10-76-7</v>
      </c>
      <c r="C325" s="30" t="s">
        <v>292</v>
      </c>
      <c r="D325" s="32" t="str">
        <f>Source!H218</f>
        <v>1  ШТ.</v>
      </c>
      <c r="E325" s="31">
        <f>Source!I218</f>
        <v>186</v>
      </c>
      <c r="F325" s="34"/>
      <c r="G325" s="33"/>
      <c r="H325" s="31"/>
      <c r="I325" s="34"/>
      <c r="J325" s="31"/>
      <c r="K325" s="34"/>
      <c r="Q325">
        <f>Source!X218</f>
        <v>5279.3</v>
      </c>
      <c r="R325">
        <f>Source!X219</f>
        <v>297488.67</v>
      </c>
      <c r="S325">
        <f>Source!Y218</f>
        <v>2945.29</v>
      </c>
      <c r="T325">
        <f>Source!Y219</f>
        <v>165967.35999999999</v>
      </c>
      <c r="U325">
        <f>ROUND((175/100)*ROUND(Source!R218, 2), 2)</f>
        <v>0</v>
      </c>
      <c r="V325">
        <f>ROUND((0/100)*ROUND(Source!R219, 2), 2)</f>
        <v>0</v>
      </c>
      <c r="AC325">
        <v>0</v>
      </c>
    </row>
    <row r="326" spans="1:29" x14ac:dyDescent="0.25">
      <c r="C326" s="44" t="str">
        <f>"Объем: "&amp;Source!I218&amp;"=144+"&amp;"42"</f>
        <v>Объем: 186=144+42</v>
      </c>
    </row>
    <row r="327" spans="1:29" ht="14.5" x14ac:dyDescent="0.25">
      <c r="A327" s="30"/>
      <c r="B327" s="30"/>
      <c r="C327" s="30" t="s">
        <v>657</v>
      </c>
      <c r="D327" s="32"/>
      <c r="E327" s="31"/>
      <c r="F327" s="34">
        <f>Source!AO218</f>
        <v>23.78</v>
      </c>
      <c r="G327" s="35" t="s">
        <v>156</v>
      </c>
      <c r="H327" s="31">
        <f>Source!AV219</f>
        <v>1.0469999999999999</v>
      </c>
      <c r="I327" s="34">
        <f>Source!S218</f>
        <v>5557.16</v>
      </c>
      <c r="J327" s="31">
        <f>IF(Source!BA219&lt;&gt; 0, Source!BA219, 1)</f>
        <v>56.35</v>
      </c>
      <c r="K327" s="34">
        <f>Source!S219</f>
        <v>313145.96999999997</v>
      </c>
    </row>
    <row r="328" spans="1:29" ht="14.5" x14ac:dyDescent="0.25">
      <c r="A328" s="30"/>
      <c r="B328" s="30"/>
      <c r="C328" s="30" t="s">
        <v>672</v>
      </c>
      <c r="D328" s="32"/>
      <c r="E328" s="31"/>
      <c r="F328" s="34">
        <f>Source!AL218</f>
        <v>24.46</v>
      </c>
      <c r="G328" s="35" t="s">
        <v>3</v>
      </c>
      <c r="H328" s="31">
        <f>Source!AW219</f>
        <v>1</v>
      </c>
      <c r="I328" s="34">
        <f>Source!P218</f>
        <v>4549.5600000000004</v>
      </c>
      <c r="J328" s="31">
        <f>IF(Source!BC219&lt;&gt; 0, Source!BC219, 1)</f>
        <v>11.11</v>
      </c>
      <c r="K328" s="34">
        <f>Source!P219</f>
        <v>50545.61</v>
      </c>
    </row>
    <row r="329" spans="1:29" ht="14.5" x14ac:dyDescent="0.25">
      <c r="A329" s="30"/>
      <c r="B329" s="30"/>
      <c r="C329" s="30" t="s">
        <v>661</v>
      </c>
      <c r="D329" s="32" t="s">
        <v>662</v>
      </c>
      <c r="E329" s="31">
        <f>Source!BZ219</f>
        <v>95</v>
      </c>
      <c r="F329" s="34"/>
      <c r="G329" s="33"/>
      <c r="H329" s="31"/>
      <c r="I329" s="34">
        <f>SUM(Q325:Q328)</f>
        <v>5279.3</v>
      </c>
      <c r="J329" s="31">
        <f>Source!AT219</f>
        <v>95</v>
      </c>
      <c r="K329" s="34">
        <f>SUM(R325:R328)</f>
        <v>297488.67</v>
      </c>
    </row>
    <row r="330" spans="1:29" ht="14.5" x14ac:dyDescent="0.25">
      <c r="A330" s="30"/>
      <c r="B330" s="30"/>
      <c r="C330" s="30" t="s">
        <v>663</v>
      </c>
      <c r="D330" s="32" t="s">
        <v>662</v>
      </c>
      <c r="E330" s="31">
        <f>Source!CA219</f>
        <v>53</v>
      </c>
      <c r="F330" s="34"/>
      <c r="G330" s="33"/>
      <c r="H330" s="31"/>
      <c r="I330" s="34">
        <f>SUM(S325:S329)</f>
        <v>2945.29</v>
      </c>
      <c r="J330" s="31">
        <f>Source!AU219</f>
        <v>53</v>
      </c>
      <c r="K330" s="34">
        <f>SUM(T325:T329)</f>
        <v>165967.35999999999</v>
      </c>
    </row>
    <row r="331" spans="1:29" ht="14.5" x14ac:dyDescent="0.25">
      <c r="A331" s="37"/>
      <c r="B331" s="37"/>
      <c r="C331" s="37" t="s">
        <v>664</v>
      </c>
      <c r="D331" s="38" t="s">
        <v>665</v>
      </c>
      <c r="E331" s="39">
        <f>Source!AQ218</f>
        <v>2</v>
      </c>
      <c r="F331" s="40"/>
      <c r="G331" s="41" t="s">
        <v>156</v>
      </c>
      <c r="H331" s="39">
        <f>Source!AV219</f>
        <v>1.0469999999999999</v>
      </c>
      <c r="I331" s="40">
        <f>Source!U218</f>
        <v>467.38079999999997</v>
      </c>
      <c r="J331" s="39"/>
      <c r="K331" s="40"/>
    </row>
    <row r="332" spans="1:29" ht="14" x14ac:dyDescent="0.25">
      <c r="C332" s="42" t="s">
        <v>666</v>
      </c>
      <c r="H332" s="64">
        <f>I327+I328+I329+I330+0-0-0</f>
        <v>18331.310000000001</v>
      </c>
      <c r="I332" s="64"/>
      <c r="J332" s="64">
        <f>K327+K328+K329+K330+0-0-0</f>
        <v>827147.61</v>
      </c>
      <c r="K332" s="64"/>
    </row>
    <row r="333" spans="1:29" ht="14" hidden="1" x14ac:dyDescent="0.25">
      <c r="C333" s="42" t="s">
        <v>667</v>
      </c>
      <c r="H333" s="62">
        <f>0+0</f>
        <v>0</v>
      </c>
      <c r="I333" s="62"/>
      <c r="J333" s="62">
        <f>0+0</f>
        <v>0</v>
      </c>
      <c r="K333" s="62"/>
    </row>
    <row r="334" spans="1:29" ht="14" x14ac:dyDescent="0.25">
      <c r="C334" s="42" t="s">
        <v>668</v>
      </c>
      <c r="H334" s="62">
        <f>I327+I328+I329+I330+0</f>
        <v>18331.310000000001</v>
      </c>
      <c r="I334" s="62"/>
      <c r="J334" s="62">
        <f>K327+K328+K329+K330+0</f>
        <v>827147.61</v>
      </c>
      <c r="K334" s="62"/>
      <c r="O334" s="43">
        <f>I327+I328+I329+I330+0</f>
        <v>18331.310000000001</v>
      </c>
      <c r="P334" s="43">
        <f>K327+K328+K329+K330+0</f>
        <v>827147.61</v>
      </c>
    </row>
    <row r="336" spans="1:29" ht="98" x14ac:dyDescent="0.25">
      <c r="A336" s="46">
        <v>40</v>
      </c>
      <c r="B336" s="46" t="str">
        <f>Source!F220</f>
        <v>13.1-2-285</v>
      </c>
      <c r="C336" s="46" t="s">
        <v>684</v>
      </c>
      <c r="D336" s="47" t="str">
        <f>Source!H220</f>
        <v>шт.</v>
      </c>
      <c r="E336" s="48">
        <f>Source!I220</f>
        <v>144</v>
      </c>
      <c r="F336" s="49">
        <f>Source!AL220</f>
        <v>320.68</v>
      </c>
      <c r="G336" s="50" t="s">
        <v>3</v>
      </c>
      <c r="H336" s="48">
        <f>Source!AW221</f>
        <v>1</v>
      </c>
      <c r="I336" s="49">
        <f>Source!P220</f>
        <v>46177.919999999998</v>
      </c>
      <c r="J336" s="48">
        <f>IF(Source!BC221&lt;&gt; 0, Source!BC221, 1)</f>
        <v>7.3</v>
      </c>
      <c r="K336" s="49">
        <f>Source!P221</f>
        <v>337098.82</v>
      </c>
      <c r="Q336">
        <f>Source!X220</f>
        <v>0</v>
      </c>
      <c r="R336">
        <f>Source!X221</f>
        <v>0</v>
      </c>
      <c r="S336">
        <f>Source!Y220</f>
        <v>0</v>
      </c>
      <c r="T336">
        <f>Source!Y221</f>
        <v>0</v>
      </c>
      <c r="U336">
        <f>ROUND((175/100)*ROUND(Source!R220, 2), 2)</f>
        <v>0</v>
      </c>
      <c r="V336">
        <f>ROUND((0/100)*ROUND(Source!R221, 2), 2)</f>
        <v>0</v>
      </c>
      <c r="AC336">
        <v>5</v>
      </c>
    </row>
    <row r="337" spans="1:29" ht="14" x14ac:dyDescent="0.25">
      <c r="A337" s="51"/>
      <c r="B337" s="51"/>
      <c r="C337" s="52" t="s">
        <v>668</v>
      </c>
      <c r="D337" s="51"/>
      <c r="E337" s="51"/>
      <c r="F337" s="51"/>
      <c r="G337" s="51"/>
      <c r="H337" s="66">
        <f>I336+0</f>
        <v>46177.919999999998</v>
      </c>
      <c r="I337" s="66"/>
      <c r="J337" s="66">
        <f>K336+0</f>
        <v>337098.82</v>
      </c>
      <c r="K337" s="66"/>
      <c r="O337" s="43">
        <f>I336+0</f>
        <v>46177.919999999998</v>
      </c>
      <c r="P337" s="43">
        <f>K336+0</f>
        <v>337098.82</v>
      </c>
    </row>
    <row r="339" spans="1:29" ht="112" x14ac:dyDescent="0.25">
      <c r="A339" s="46">
        <v>41</v>
      </c>
      <c r="B339" s="46" t="str">
        <f>Source!F222</f>
        <v>13.1-2-156</v>
      </c>
      <c r="C339" s="46" t="s">
        <v>685</v>
      </c>
      <c r="D339" s="47" t="str">
        <f>Source!H222</f>
        <v>шт.</v>
      </c>
      <c r="E339" s="48">
        <f>Source!I222</f>
        <v>42</v>
      </c>
      <c r="F339" s="49">
        <f>Source!AL222</f>
        <v>311.24</v>
      </c>
      <c r="G339" s="50" t="s">
        <v>3</v>
      </c>
      <c r="H339" s="48">
        <f>Source!AW223</f>
        <v>1</v>
      </c>
      <c r="I339" s="49">
        <f>Source!P222</f>
        <v>13072.08</v>
      </c>
      <c r="J339" s="48">
        <f>IF(Source!BC223&lt;&gt; 0, Source!BC223, 1)</f>
        <v>7.12</v>
      </c>
      <c r="K339" s="49">
        <f>Source!P223</f>
        <v>93073.21</v>
      </c>
      <c r="Q339">
        <f>Source!X222</f>
        <v>0</v>
      </c>
      <c r="R339">
        <f>Source!X223</f>
        <v>0</v>
      </c>
      <c r="S339">
        <f>Source!Y222</f>
        <v>0</v>
      </c>
      <c r="T339">
        <f>Source!Y223</f>
        <v>0</v>
      </c>
      <c r="U339">
        <f>ROUND((175/100)*ROUND(Source!R222, 2), 2)</f>
        <v>0</v>
      </c>
      <c r="V339">
        <f>ROUND((0/100)*ROUND(Source!R223, 2), 2)</f>
        <v>0</v>
      </c>
      <c r="AC339">
        <v>5</v>
      </c>
    </row>
    <row r="340" spans="1:29" ht="14" x14ac:dyDescent="0.25">
      <c r="A340" s="51"/>
      <c r="B340" s="51"/>
      <c r="C340" s="52" t="s">
        <v>668</v>
      </c>
      <c r="D340" s="51"/>
      <c r="E340" s="51"/>
      <c r="F340" s="51"/>
      <c r="G340" s="51"/>
      <c r="H340" s="66">
        <f>I339+0</f>
        <v>13072.08</v>
      </c>
      <c r="I340" s="66"/>
      <c r="J340" s="66">
        <f>K339+0</f>
        <v>93073.21</v>
      </c>
      <c r="K340" s="66"/>
      <c r="O340" s="43">
        <f>I339+0</f>
        <v>13072.08</v>
      </c>
      <c r="P340" s="43">
        <f>K339+0</f>
        <v>93073.21</v>
      </c>
    </row>
    <row r="342" spans="1:29" ht="56" x14ac:dyDescent="0.25">
      <c r="A342" s="30">
        <v>42</v>
      </c>
      <c r="B342" s="30" t="str">
        <f>Source!F224</f>
        <v>4.10-81-2</v>
      </c>
      <c r="C342" s="30" t="s">
        <v>247</v>
      </c>
      <c r="D342" s="32" t="str">
        <f>Source!H224</f>
        <v>1  ШТ.</v>
      </c>
      <c r="E342" s="31">
        <f>Source!I224</f>
        <v>1</v>
      </c>
      <c r="F342" s="34"/>
      <c r="G342" s="33"/>
      <c r="H342" s="31"/>
      <c r="I342" s="34"/>
      <c r="J342" s="31"/>
      <c r="K342" s="34"/>
      <c r="Q342">
        <f>Source!X224</f>
        <v>23.99</v>
      </c>
      <c r="R342">
        <f>Source!X225</f>
        <v>1351.55</v>
      </c>
      <c r="S342">
        <f>Source!Y224</f>
        <v>12.26</v>
      </c>
      <c r="T342">
        <f>Source!Y225</f>
        <v>690.79</v>
      </c>
      <c r="U342">
        <f>ROUND((175/100)*ROUND(Source!R224, 2), 2)</f>
        <v>0.02</v>
      </c>
      <c r="V342">
        <f>ROUND((0/100)*ROUND(Source!R225, 2), 2)</f>
        <v>0</v>
      </c>
      <c r="AC342">
        <v>0</v>
      </c>
    </row>
    <row r="343" spans="1:29" ht="14.5" x14ac:dyDescent="0.25">
      <c r="A343" s="30"/>
      <c r="B343" s="30"/>
      <c r="C343" s="30" t="s">
        <v>657</v>
      </c>
      <c r="D343" s="32"/>
      <c r="E343" s="31"/>
      <c r="F343" s="34">
        <f>Source!AO224</f>
        <v>21.2</v>
      </c>
      <c r="G343" s="35" t="s">
        <v>156</v>
      </c>
      <c r="H343" s="31">
        <f>Source!AV225</f>
        <v>1.0469999999999999</v>
      </c>
      <c r="I343" s="34">
        <f>Source!S224</f>
        <v>26.64</v>
      </c>
      <c r="J343" s="31">
        <f>IF(Source!BA225&lt;&gt; 0, Source!BA225, 1)</f>
        <v>56.35</v>
      </c>
      <c r="K343" s="34">
        <f>Source!S225</f>
        <v>1501.16</v>
      </c>
    </row>
    <row r="344" spans="1:29" ht="14.5" x14ac:dyDescent="0.25">
      <c r="A344" s="30"/>
      <c r="B344" s="30"/>
      <c r="C344" s="30" t="s">
        <v>659</v>
      </c>
      <c r="D344" s="32"/>
      <c r="E344" s="31"/>
      <c r="F344" s="34">
        <f>Source!AM224</f>
        <v>0.06</v>
      </c>
      <c r="G344" s="35" t="s">
        <v>156</v>
      </c>
      <c r="H344" s="31">
        <f>Source!AV225</f>
        <v>1.0469999999999999</v>
      </c>
      <c r="I344" s="34">
        <f>Source!Q224</f>
        <v>0.08</v>
      </c>
      <c r="J344" s="31">
        <f>IF(Source!BB225&lt;&gt; 0, Source!BB225, 1)</f>
        <v>18.5</v>
      </c>
      <c r="K344" s="34">
        <f>Source!Q225</f>
        <v>1.48</v>
      </c>
    </row>
    <row r="345" spans="1:29" ht="14.5" x14ac:dyDescent="0.25">
      <c r="A345" s="30"/>
      <c r="B345" s="30"/>
      <c r="C345" s="30" t="s">
        <v>660</v>
      </c>
      <c r="D345" s="32"/>
      <c r="E345" s="31"/>
      <c r="F345" s="34">
        <f>Source!AN224</f>
        <v>0.01</v>
      </c>
      <c r="G345" s="35" t="s">
        <v>156</v>
      </c>
      <c r="H345" s="31">
        <f>Source!AV225</f>
        <v>1.0469999999999999</v>
      </c>
      <c r="I345" s="36">
        <f>Source!R224</f>
        <v>0.01</v>
      </c>
      <c r="J345" s="31">
        <f>IF(Source!BS225&lt;&gt; 0, Source!BS225, 1)</f>
        <v>56.35</v>
      </c>
      <c r="K345" s="36">
        <f>Source!R225</f>
        <v>0.56000000000000005</v>
      </c>
    </row>
    <row r="346" spans="1:29" ht="14.5" x14ac:dyDescent="0.25">
      <c r="A346" s="30"/>
      <c r="B346" s="30"/>
      <c r="C346" s="30" t="s">
        <v>672</v>
      </c>
      <c r="D346" s="32"/>
      <c r="E346" s="31"/>
      <c r="F346" s="34">
        <f>Source!AL224</f>
        <v>1.26</v>
      </c>
      <c r="G346" s="35" t="s">
        <v>3</v>
      </c>
      <c r="H346" s="31">
        <f>Source!AW225</f>
        <v>1</v>
      </c>
      <c r="I346" s="34">
        <f>Source!P224</f>
        <v>1.26</v>
      </c>
      <c r="J346" s="31">
        <f>IF(Source!BC225&lt;&gt; 0, Source!BC225, 1)</f>
        <v>9.84</v>
      </c>
      <c r="K346" s="34">
        <f>Source!P225</f>
        <v>12.4</v>
      </c>
    </row>
    <row r="347" spans="1:29" ht="14.5" x14ac:dyDescent="0.25">
      <c r="A347" s="30"/>
      <c r="B347" s="30"/>
      <c r="C347" s="30" t="s">
        <v>661</v>
      </c>
      <c r="D347" s="32" t="s">
        <v>662</v>
      </c>
      <c r="E347" s="31">
        <f>Source!BZ225</f>
        <v>90</v>
      </c>
      <c r="F347" s="34"/>
      <c r="G347" s="33"/>
      <c r="H347" s="31"/>
      <c r="I347" s="34">
        <f>SUM(Q342:Q346)</f>
        <v>23.99</v>
      </c>
      <c r="J347" s="31">
        <f>Source!AT225</f>
        <v>90</v>
      </c>
      <c r="K347" s="34">
        <f>SUM(R342:R346)</f>
        <v>1351.55</v>
      </c>
    </row>
    <row r="348" spans="1:29" ht="14.5" x14ac:dyDescent="0.25">
      <c r="A348" s="30"/>
      <c r="B348" s="30"/>
      <c r="C348" s="30" t="s">
        <v>663</v>
      </c>
      <c r="D348" s="32" t="s">
        <v>662</v>
      </c>
      <c r="E348" s="31">
        <f>Source!CA225</f>
        <v>46</v>
      </c>
      <c r="F348" s="34"/>
      <c r="G348" s="33"/>
      <c r="H348" s="31"/>
      <c r="I348" s="34">
        <f>SUM(S342:S347)</f>
        <v>12.26</v>
      </c>
      <c r="J348" s="31">
        <f>Source!AU225</f>
        <v>46</v>
      </c>
      <c r="K348" s="34">
        <f>SUM(T342:T347)</f>
        <v>690.79</v>
      </c>
    </row>
    <row r="349" spans="1:29" ht="14.5" x14ac:dyDescent="0.25">
      <c r="A349" s="37"/>
      <c r="B349" s="37"/>
      <c r="C349" s="37" t="s">
        <v>664</v>
      </c>
      <c r="D349" s="38" t="s">
        <v>665</v>
      </c>
      <c r="E349" s="39">
        <f>Source!AQ224</f>
        <v>1.68</v>
      </c>
      <c r="F349" s="40"/>
      <c r="G349" s="41" t="s">
        <v>156</v>
      </c>
      <c r="H349" s="39">
        <f>Source!AV225</f>
        <v>1.0469999999999999</v>
      </c>
      <c r="I349" s="40">
        <f>Source!U224</f>
        <v>2.1107519999999997</v>
      </c>
      <c r="J349" s="39"/>
      <c r="K349" s="40"/>
    </row>
    <row r="350" spans="1:29" ht="14" x14ac:dyDescent="0.25">
      <c r="C350" s="42" t="s">
        <v>666</v>
      </c>
      <c r="H350" s="64">
        <f>I343+I344+I346+I347+I348+0-0-0</f>
        <v>64.23</v>
      </c>
      <c r="I350" s="64"/>
      <c r="J350" s="64">
        <f>K343+K344+K346+K347+K348+0-0-0</f>
        <v>3557.38</v>
      </c>
      <c r="K350" s="64"/>
    </row>
    <row r="351" spans="1:29" ht="14" hidden="1" x14ac:dyDescent="0.25">
      <c r="C351" s="42" t="s">
        <v>667</v>
      </c>
      <c r="H351" s="62">
        <f>0+0</f>
        <v>0</v>
      </c>
      <c r="I351" s="62"/>
      <c r="J351" s="62">
        <f>0+0</f>
        <v>0</v>
      </c>
      <c r="K351" s="62"/>
    </row>
    <row r="352" spans="1:29" ht="14" x14ac:dyDescent="0.25">
      <c r="C352" s="42" t="s">
        <v>668</v>
      </c>
      <c r="H352" s="62">
        <f>I343+I344+I346+I347+I348+0</f>
        <v>64.23</v>
      </c>
      <c r="I352" s="62"/>
      <c r="J352" s="62">
        <f>K343+K344+K346+K347+K348+0</f>
        <v>3557.38</v>
      </c>
      <c r="K352" s="62"/>
      <c r="O352" s="43">
        <f>I343+I344+I346+I347+I348+0</f>
        <v>64.23</v>
      </c>
      <c r="P352" s="43">
        <f>K343+K344+K346+K347+K348+0</f>
        <v>3557.38</v>
      </c>
    </row>
    <row r="354" spans="1:29" ht="112" x14ac:dyDescent="0.25">
      <c r="A354" s="46">
        <v>43</v>
      </c>
      <c r="B354" s="46" t="str">
        <f>Source!F226</f>
        <v>13.1-2-611</v>
      </c>
      <c r="C354" s="46" t="s">
        <v>686</v>
      </c>
      <c r="D354" s="47" t="str">
        <f>Source!H226</f>
        <v>шт.</v>
      </c>
      <c r="E354" s="48">
        <f>Source!I226</f>
        <v>1</v>
      </c>
      <c r="F354" s="49">
        <f>Source!AL226</f>
        <v>53.88</v>
      </c>
      <c r="G354" s="50" t="s">
        <v>3</v>
      </c>
      <c r="H354" s="48">
        <f>Source!AW227</f>
        <v>1</v>
      </c>
      <c r="I354" s="49">
        <f>Source!P226</f>
        <v>53.88</v>
      </c>
      <c r="J354" s="48">
        <f>IF(Source!BC227&lt;&gt; 0, Source!BC227, 1)</f>
        <v>3.56</v>
      </c>
      <c r="K354" s="49">
        <f>Source!P227</f>
        <v>191.81</v>
      </c>
      <c r="Q354">
        <f>Source!X226</f>
        <v>0</v>
      </c>
      <c r="R354">
        <f>Source!X227</f>
        <v>0</v>
      </c>
      <c r="S354">
        <f>Source!Y226</f>
        <v>0</v>
      </c>
      <c r="T354">
        <f>Source!Y227</f>
        <v>0</v>
      </c>
      <c r="U354">
        <f>ROUND((175/100)*ROUND(Source!R226, 2), 2)</f>
        <v>0</v>
      </c>
      <c r="V354">
        <f>ROUND((0/100)*ROUND(Source!R227, 2), 2)</f>
        <v>0</v>
      </c>
      <c r="AC354">
        <v>5</v>
      </c>
    </row>
    <row r="355" spans="1:29" ht="14" x14ac:dyDescent="0.25">
      <c r="A355" s="51"/>
      <c r="B355" s="51"/>
      <c r="C355" s="52" t="s">
        <v>668</v>
      </c>
      <c r="D355" s="51"/>
      <c r="E355" s="51"/>
      <c r="F355" s="51"/>
      <c r="G355" s="51"/>
      <c r="H355" s="66">
        <f>I354+0</f>
        <v>53.88</v>
      </c>
      <c r="I355" s="66"/>
      <c r="J355" s="66">
        <f>K354+0</f>
        <v>191.81</v>
      </c>
      <c r="K355" s="66"/>
      <c r="O355" s="43">
        <f>I354+0</f>
        <v>53.88</v>
      </c>
      <c r="P355" s="43">
        <f>K354+0</f>
        <v>191.81</v>
      </c>
    </row>
    <row r="357" spans="1:29" ht="28" x14ac:dyDescent="0.25">
      <c r="A357" s="30">
        <v>44</v>
      </c>
      <c r="B357" s="30" t="str">
        <f>Source!F228</f>
        <v>4.10-118-12</v>
      </c>
      <c r="C357" s="30" t="s">
        <v>310</v>
      </c>
      <c r="D357" s="32" t="str">
        <f>Source!H228</f>
        <v>100 шт.</v>
      </c>
      <c r="E357" s="31">
        <f>Source!I228</f>
        <v>7.0000000000000007E-2</v>
      </c>
      <c r="F357" s="34"/>
      <c r="G357" s="33"/>
      <c r="H357" s="31"/>
      <c r="I357" s="34"/>
      <c r="J357" s="31"/>
      <c r="K357" s="34"/>
      <c r="Q357">
        <f>Source!X228</f>
        <v>22.06</v>
      </c>
      <c r="R357">
        <f>Source!X229</f>
        <v>1243.03</v>
      </c>
      <c r="S357">
        <f>Source!Y228</f>
        <v>11.27</v>
      </c>
      <c r="T357">
        <f>Source!Y229</f>
        <v>635.32000000000005</v>
      </c>
      <c r="U357">
        <f>ROUND((175/100)*ROUND(Source!R228, 2), 2)</f>
        <v>0</v>
      </c>
      <c r="V357">
        <f>ROUND((0/100)*ROUND(Source!R229, 2), 2)</f>
        <v>0</v>
      </c>
      <c r="AC357">
        <v>0</v>
      </c>
    </row>
    <row r="358" spans="1:29" x14ac:dyDescent="0.25">
      <c r="C358" s="44" t="str">
        <f>"Объем: "&amp;Source!I228&amp;"=7/"&amp;"100"</f>
        <v>Объем: 0,07=7/100</v>
      </c>
    </row>
    <row r="359" spans="1:29" ht="14.5" x14ac:dyDescent="0.25">
      <c r="A359" s="30"/>
      <c r="B359" s="30"/>
      <c r="C359" s="30" t="s">
        <v>657</v>
      </c>
      <c r="D359" s="32"/>
      <c r="E359" s="31"/>
      <c r="F359" s="34">
        <f>Source!AO228</f>
        <v>278.64</v>
      </c>
      <c r="G359" s="35" t="s">
        <v>156</v>
      </c>
      <c r="H359" s="31">
        <f>Source!AV229</f>
        <v>1.0469999999999999</v>
      </c>
      <c r="I359" s="34">
        <f>Source!S228</f>
        <v>24.51</v>
      </c>
      <c r="J359" s="31">
        <f>IF(Source!BA229&lt;&gt; 0, Source!BA229, 1)</f>
        <v>56.35</v>
      </c>
      <c r="K359" s="34">
        <f>Source!S229</f>
        <v>1381.14</v>
      </c>
    </row>
    <row r="360" spans="1:29" ht="14.5" x14ac:dyDescent="0.25">
      <c r="A360" s="30"/>
      <c r="B360" s="30"/>
      <c r="C360" s="30" t="s">
        <v>672</v>
      </c>
      <c r="D360" s="32"/>
      <c r="E360" s="31"/>
      <c r="F360" s="34">
        <f>Source!AL228</f>
        <v>85.6</v>
      </c>
      <c r="G360" s="35" t="s">
        <v>3</v>
      </c>
      <c r="H360" s="31">
        <f>Source!AW229</f>
        <v>1</v>
      </c>
      <c r="I360" s="34">
        <f>Source!P228</f>
        <v>5.99</v>
      </c>
      <c r="J360" s="31">
        <f>IF(Source!BC229&lt;&gt; 0, Source!BC229, 1)</f>
        <v>5.0599999999999996</v>
      </c>
      <c r="K360" s="34">
        <f>Source!P229</f>
        <v>30.31</v>
      </c>
    </row>
    <row r="361" spans="1:29" ht="14.5" x14ac:dyDescent="0.25">
      <c r="A361" s="30"/>
      <c r="B361" s="30"/>
      <c r="C361" s="30" t="s">
        <v>661</v>
      </c>
      <c r="D361" s="32" t="s">
        <v>662</v>
      </c>
      <c r="E361" s="31">
        <f>Source!BZ229</f>
        <v>90</v>
      </c>
      <c r="F361" s="34"/>
      <c r="G361" s="33"/>
      <c r="H361" s="31"/>
      <c r="I361" s="34">
        <f>SUM(Q357:Q360)</f>
        <v>22.06</v>
      </c>
      <c r="J361" s="31">
        <f>Source!AT229</f>
        <v>90</v>
      </c>
      <c r="K361" s="34">
        <f>SUM(R357:R360)</f>
        <v>1243.03</v>
      </c>
    </row>
    <row r="362" spans="1:29" ht="14.5" x14ac:dyDescent="0.25">
      <c r="A362" s="30"/>
      <c r="B362" s="30"/>
      <c r="C362" s="30" t="s">
        <v>663</v>
      </c>
      <c r="D362" s="32" t="s">
        <v>662</v>
      </c>
      <c r="E362" s="31">
        <f>Source!CA229</f>
        <v>46</v>
      </c>
      <c r="F362" s="34"/>
      <c r="G362" s="33"/>
      <c r="H362" s="31"/>
      <c r="I362" s="34">
        <f>SUM(S357:S361)</f>
        <v>11.27</v>
      </c>
      <c r="J362" s="31">
        <f>Source!AU229</f>
        <v>46</v>
      </c>
      <c r="K362" s="34">
        <f>SUM(T357:T361)</f>
        <v>635.32000000000005</v>
      </c>
    </row>
    <row r="363" spans="1:29" ht="14.5" x14ac:dyDescent="0.25">
      <c r="A363" s="37"/>
      <c r="B363" s="37"/>
      <c r="C363" s="37" t="s">
        <v>664</v>
      </c>
      <c r="D363" s="38" t="s">
        <v>665</v>
      </c>
      <c r="E363" s="39">
        <f>Source!AQ228</f>
        <v>24</v>
      </c>
      <c r="F363" s="40"/>
      <c r="G363" s="41" t="s">
        <v>156</v>
      </c>
      <c r="H363" s="39">
        <f>Source!AV229</f>
        <v>1.0469999999999999</v>
      </c>
      <c r="I363" s="40">
        <f>Source!U228</f>
        <v>2.1107519999999997</v>
      </c>
      <c r="J363" s="39"/>
      <c r="K363" s="40"/>
    </row>
    <row r="364" spans="1:29" ht="14" x14ac:dyDescent="0.25">
      <c r="C364" s="42" t="s">
        <v>666</v>
      </c>
      <c r="H364" s="64">
        <f>I359+I360+I361+I362+0-0-0</f>
        <v>63.83</v>
      </c>
      <c r="I364" s="64"/>
      <c r="J364" s="64">
        <f>K359+K360+K361+K362+0-0-0</f>
        <v>3289.8</v>
      </c>
      <c r="K364" s="64"/>
    </row>
    <row r="365" spans="1:29" ht="14" hidden="1" x14ac:dyDescent="0.25">
      <c r="C365" s="42" t="s">
        <v>667</v>
      </c>
      <c r="H365" s="62">
        <f>0+0</f>
        <v>0</v>
      </c>
      <c r="I365" s="62"/>
      <c r="J365" s="62">
        <f>0+0</f>
        <v>0</v>
      </c>
      <c r="K365" s="62"/>
    </row>
    <row r="366" spans="1:29" ht="14" x14ac:dyDescent="0.25">
      <c r="C366" s="42" t="s">
        <v>668</v>
      </c>
      <c r="H366" s="62">
        <f>I359+I360+I361+I362+0</f>
        <v>63.83</v>
      </c>
      <c r="I366" s="62"/>
      <c r="J366" s="62">
        <f>K359+K360+K361+K362+0</f>
        <v>3289.8</v>
      </c>
      <c r="K366" s="62"/>
      <c r="O366" s="43">
        <f>I359+I360+I361+I362+0</f>
        <v>63.83</v>
      </c>
      <c r="P366" s="43">
        <f>K359+K360+K361+K362+0</f>
        <v>3289.8</v>
      </c>
    </row>
    <row r="368" spans="1:29" ht="54" x14ac:dyDescent="0.25">
      <c r="A368" s="46">
        <v>45</v>
      </c>
      <c r="B368" s="46" t="str">
        <f>Source!F230</f>
        <v>КА, п.20</v>
      </c>
      <c r="C368" s="46" t="s">
        <v>687</v>
      </c>
      <c r="D368" s="47" t="str">
        <f>Source!H230</f>
        <v>ШТ</v>
      </c>
      <c r="E368" s="48">
        <f>Source!I230</f>
        <v>7</v>
      </c>
      <c r="F368" s="49">
        <f>Source!AL230</f>
        <v>591.19999999999993</v>
      </c>
      <c r="G368" s="50" t="s">
        <v>3</v>
      </c>
      <c r="H368" s="48">
        <f>Source!AW231</f>
        <v>1</v>
      </c>
      <c r="I368" s="49">
        <f>Source!P230</f>
        <v>4138.3999999999996</v>
      </c>
      <c r="J368" s="48">
        <f>IF(Source!BC231&lt;&gt; 0, Source!BC231, 1)</f>
        <v>7.57</v>
      </c>
      <c r="K368" s="49">
        <f>Source!P231</f>
        <v>31327.69</v>
      </c>
      <c r="Q368">
        <f>Source!X230</f>
        <v>0</v>
      </c>
      <c r="R368">
        <f>Source!X231</f>
        <v>0</v>
      </c>
      <c r="S368">
        <f>Source!Y230</f>
        <v>0</v>
      </c>
      <c r="T368">
        <f>Source!Y231</f>
        <v>0</v>
      </c>
      <c r="U368">
        <f>ROUND((175/100)*ROUND(Source!R230, 2), 2)</f>
        <v>0</v>
      </c>
      <c r="V368">
        <f>ROUND((0/100)*ROUND(Source!R231, 2), 2)</f>
        <v>0</v>
      </c>
      <c r="AC368">
        <v>5</v>
      </c>
    </row>
    <row r="369" spans="1:29" ht="14" x14ac:dyDescent="0.25">
      <c r="A369" s="51"/>
      <c r="B369" s="51"/>
      <c r="C369" s="52" t="s">
        <v>668</v>
      </c>
      <c r="D369" s="51"/>
      <c r="E369" s="51"/>
      <c r="F369" s="51"/>
      <c r="G369" s="51"/>
      <c r="H369" s="66">
        <f>I368+0</f>
        <v>4138.3999999999996</v>
      </c>
      <c r="I369" s="66"/>
      <c r="J369" s="66">
        <f>K368+0</f>
        <v>31327.69</v>
      </c>
      <c r="K369" s="66"/>
      <c r="O369" s="43">
        <f>I368+0</f>
        <v>4138.3999999999996</v>
      </c>
      <c r="P369" s="43">
        <f>K368+0</f>
        <v>31327.69</v>
      </c>
    </row>
    <row r="372" spans="1:29" ht="14" x14ac:dyDescent="0.3">
      <c r="A372" s="61" t="str">
        <f>CONCATENATE("Итого по разделу: ",IF(Source!G233&lt;&gt;"Новый раздел", Source!G233, ""))</f>
        <v>Итого по разделу: Оборудование устанавливаемое по месту</v>
      </c>
      <c r="B372" s="61"/>
      <c r="C372" s="61"/>
      <c r="D372" s="61"/>
      <c r="E372" s="61"/>
      <c r="F372" s="61"/>
      <c r="G372" s="61"/>
      <c r="H372" s="62">
        <f>SUM(O242:O371)</f>
        <v>98907.520000000004</v>
      </c>
      <c r="I372" s="63"/>
      <c r="J372" s="62">
        <f>SUM(P242:P371)</f>
        <v>2055339.77</v>
      </c>
      <c r="K372" s="63"/>
    </row>
    <row r="373" spans="1:29" hidden="1" x14ac:dyDescent="0.25">
      <c r="A373" t="s">
        <v>670</v>
      </c>
      <c r="I373">
        <f>SUM(W242:W372)</f>
        <v>0</v>
      </c>
      <c r="J373">
        <f>SUM(X242:X372)</f>
        <v>0</v>
      </c>
    </row>
    <row r="374" spans="1:29" hidden="1" x14ac:dyDescent="0.25">
      <c r="A374" t="s">
        <v>671</v>
      </c>
      <c r="I374">
        <f>SUM(Y242:Y373)</f>
        <v>0</v>
      </c>
      <c r="J374">
        <f>SUM(Z242:Z373)</f>
        <v>0</v>
      </c>
    </row>
    <row r="376" spans="1:29" ht="16.5" x14ac:dyDescent="0.25">
      <c r="A376" s="65" t="str">
        <f>CONCATENATE("Раздел: ",IF(Source!G263&lt;&gt;"Новый раздел", Source!G263, ""))</f>
        <v>Раздел: Огнестойкая кабельная линия</v>
      </c>
      <c r="B376" s="65"/>
      <c r="C376" s="65"/>
      <c r="D376" s="65"/>
      <c r="E376" s="65"/>
      <c r="F376" s="65"/>
      <c r="G376" s="65"/>
      <c r="H376" s="65"/>
      <c r="I376" s="65"/>
      <c r="J376" s="65"/>
      <c r="K376" s="65"/>
    </row>
    <row r="377" spans="1:29" ht="56" x14ac:dyDescent="0.25">
      <c r="A377" s="30">
        <v>46</v>
      </c>
      <c r="B377" s="30" t="str">
        <f>Source!F267</f>
        <v>4.10-185-8</v>
      </c>
      <c r="C377" s="30" t="s">
        <v>78</v>
      </c>
      <c r="D377" s="32" t="str">
        <f>Source!H267</f>
        <v>100 м</v>
      </c>
      <c r="E377" s="31">
        <f>Source!I267</f>
        <v>45.5</v>
      </c>
      <c r="F377" s="34"/>
      <c r="G377" s="33"/>
      <c r="H377" s="31"/>
      <c r="I377" s="34"/>
      <c r="J377" s="31"/>
      <c r="K377" s="34"/>
      <c r="Q377">
        <f>Source!X267</f>
        <v>21166.35</v>
      </c>
      <c r="R377">
        <f>Source!X268</f>
        <v>1192723.99</v>
      </c>
      <c r="S377">
        <f>Source!Y267</f>
        <v>10818.36</v>
      </c>
      <c r="T377">
        <f>Source!Y268</f>
        <v>609614.48</v>
      </c>
      <c r="U377">
        <f>ROUND((175/100)*ROUND(Source!R267, 2), 2)</f>
        <v>0</v>
      </c>
      <c r="V377">
        <f>ROUND((0/100)*ROUND(Source!R268, 2), 2)</f>
        <v>0</v>
      </c>
      <c r="AC377">
        <v>0</v>
      </c>
    </row>
    <row r="378" spans="1:29" x14ac:dyDescent="0.25">
      <c r="C378" s="44" t="str">
        <f>"Объем: "&amp;Source!I267&amp;"=4550/"&amp;"100"</f>
        <v>Объем: 45,5=4550/100</v>
      </c>
    </row>
    <row r="379" spans="1:29" ht="14.5" x14ac:dyDescent="0.25">
      <c r="A379" s="30"/>
      <c r="B379" s="30"/>
      <c r="C379" s="30" t="s">
        <v>657</v>
      </c>
      <c r="D379" s="32"/>
      <c r="E379" s="31"/>
      <c r="F379" s="34">
        <f>Source!AO267</f>
        <v>411.4</v>
      </c>
      <c r="G379" s="35" t="s">
        <v>156</v>
      </c>
      <c r="H379" s="31">
        <f>Source!AV268</f>
        <v>1.0469999999999999</v>
      </c>
      <c r="I379" s="34">
        <f>Source!S267</f>
        <v>23518.17</v>
      </c>
      <c r="J379" s="31">
        <f>IF(Source!BA268&lt;&gt; 0, Source!BA268, 1)</f>
        <v>56.35</v>
      </c>
      <c r="K379" s="34">
        <f>Source!S268</f>
        <v>1325248.8799999999</v>
      </c>
    </row>
    <row r="380" spans="1:29" ht="14.5" x14ac:dyDescent="0.25">
      <c r="A380" s="30"/>
      <c r="B380" s="30"/>
      <c r="C380" s="30" t="s">
        <v>659</v>
      </c>
      <c r="D380" s="32"/>
      <c r="E380" s="31"/>
      <c r="F380" s="34">
        <f>Source!AM267</f>
        <v>6.99</v>
      </c>
      <c r="G380" s="35" t="s">
        <v>156</v>
      </c>
      <c r="H380" s="31">
        <f>Source!AV268</f>
        <v>1.0469999999999999</v>
      </c>
      <c r="I380" s="34">
        <f>Source!Q267</f>
        <v>399.59</v>
      </c>
      <c r="J380" s="31">
        <f>IF(Source!BB268&lt;&gt; 0, Source!BB268, 1)</f>
        <v>9.6</v>
      </c>
      <c r="K380" s="34">
        <f>Source!Q268</f>
        <v>3836.06</v>
      </c>
    </row>
    <row r="381" spans="1:29" ht="14.5" x14ac:dyDescent="0.25">
      <c r="A381" s="30"/>
      <c r="B381" s="30"/>
      <c r="C381" s="30" t="s">
        <v>672</v>
      </c>
      <c r="D381" s="32"/>
      <c r="E381" s="31"/>
      <c r="F381" s="34">
        <f>Source!AL267</f>
        <v>23.39</v>
      </c>
      <c r="G381" s="35" t="s">
        <v>3</v>
      </c>
      <c r="H381" s="31">
        <f>Source!AW268</f>
        <v>1</v>
      </c>
      <c r="I381" s="34">
        <f>Source!P267</f>
        <v>1064.25</v>
      </c>
      <c r="J381" s="31">
        <f>IF(Source!BC268&lt;&gt; 0, Source!BC268, 1)</f>
        <v>7.41</v>
      </c>
      <c r="K381" s="34">
        <f>Source!P268</f>
        <v>7886.09</v>
      </c>
    </row>
    <row r="382" spans="1:29" ht="14.5" x14ac:dyDescent="0.25">
      <c r="A382" s="30"/>
      <c r="B382" s="30"/>
      <c r="C382" s="30" t="s">
        <v>661</v>
      </c>
      <c r="D382" s="32" t="s">
        <v>662</v>
      </c>
      <c r="E382" s="31">
        <f>Source!BZ268</f>
        <v>90</v>
      </c>
      <c r="F382" s="34"/>
      <c r="G382" s="33"/>
      <c r="H382" s="31"/>
      <c r="I382" s="34">
        <f>SUM(Q377:Q381)</f>
        <v>21166.35</v>
      </c>
      <c r="J382" s="31">
        <f>Source!AT268</f>
        <v>90</v>
      </c>
      <c r="K382" s="34">
        <f>SUM(R377:R381)</f>
        <v>1192723.99</v>
      </c>
    </row>
    <row r="383" spans="1:29" ht="14.5" x14ac:dyDescent="0.25">
      <c r="A383" s="30"/>
      <c r="B383" s="30"/>
      <c r="C383" s="30" t="s">
        <v>663</v>
      </c>
      <c r="D383" s="32" t="s">
        <v>662</v>
      </c>
      <c r="E383" s="31">
        <f>Source!CA268</f>
        <v>46</v>
      </c>
      <c r="F383" s="34"/>
      <c r="G383" s="33"/>
      <c r="H383" s="31"/>
      <c r="I383" s="34">
        <f>SUM(S377:S382)</f>
        <v>10818.36</v>
      </c>
      <c r="J383" s="31">
        <f>Source!AU268</f>
        <v>46</v>
      </c>
      <c r="K383" s="34">
        <f>SUM(T377:T382)</f>
        <v>609614.48</v>
      </c>
    </row>
    <row r="384" spans="1:29" ht="14.5" x14ac:dyDescent="0.25">
      <c r="A384" s="37"/>
      <c r="B384" s="37"/>
      <c r="C384" s="37" t="s">
        <v>664</v>
      </c>
      <c r="D384" s="38" t="s">
        <v>665</v>
      </c>
      <c r="E384" s="39">
        <f>Source!AQ267</f>
        <v>34.61</v>
      </c>
      <c r="F384" s="40"/>
      <c r="G384" s="41" t="s">
        <v>156</v>
      </c>
      <c r="H384" s="39">
        <f>Source!AV268</f>
        <v>1.0469999999999999</v>
      </c>
      <c r="I384" s="40">
        <f>Source!U267</f>
        <v>1978.5221819999997</v>
      </c>
      <c r="J384" s="39"/>
      <c r="K384" s="40"/>
    </row>
    <row r="385" spans="1:29" ht="14" x14ac:dyDescent="0.25">
      <c r="C385" s="42" t="s">
        <v>666</v>
      </c>
      <c r="H385" s="64">
        <f>I379+I380+I381+I382+I383+0-0-0</f>
        <v>56966.720000000001</v>
      </c>
      <c r="I385" s="64"/>
      <c r="J385" s="64">
        <f>K379+K380+K381+K382+K383+0-0-0</f>
        <v>3139309.5</v>
      </c>
      <c r="K385" s="64"/>
    </row>
    <row r="386" spans="1:29" ht="14" hidden="1" x14ac:dyDescent="0.25">
      <c r="C386" s="42" t="s">
        <v>667</v>
      </c>
      <c r="H386" s="62">
        <f>0+0</f>
        <v>0</v>
      </c>
      <c r="I386" s="62"/>
      <c r="J386" s="62">
        <f>0+0</f>
        <v>0</v>
      </c>
      <c r="K386" s="62"/>
    </row>
    <row r="387" spans="1:29" ht="14" x14ac:dyDescent="0.25">
      <c r="C387" s="42" t="s">
        <v>668</v>
      </c>
      <c r="H387" s="62">
        <f>I379+I380+I381+I382+I383+0</f>
        <v>56966.720000000001</v>
      </c>
      <c r="I387" s="62"/>
      <c r="J387" s="62">
        <f>K379+K380+K381+K382+K383+0</f>
        <v>3139309.5</v>
      </c>
      <c r="K387" s="62"/>
      <c r="O387" s="43">
        <f>I379+I380+I381+I382+I383+0</f>
        <v>56966.720000000001</v>
      </c>
      <c r="P387" s="43">
        <f>K379+K380+K381+K382+K383+0</f>
        <v>3139309.5</v>
      </c>
    </row>
    <row r="389" spans="1:29" ht="55" x14ac:dyDescent="0.25">
      <c r="A389" s="30">
        <v>47</v>
      </c>
      <c r="B389" s="30" t="str">
        <f>Source!F269</f>
        <v>КА, п.21</v>
      </c>
      <c r="C389" s="30" t="s">
        <v>688</v>
      </c>
      <c r="D389" s="32" t="str">
        <f>Source!H269</f>
        <v>м</v>
      </c>
      <c r="E389" s="31">
        <f>Source!I269</f>
        <v>4641</v>
      </c>
      <c r="F389" s="34">
        <f>Source!AL269</f>
        <v>11.33</v>
      </c>
      <c r="G389" s="35" t="s">
        <v>3</v>
      </c>
      <c r="H389" s="31">
        <f>Source!AW270</f>
        <v>1</v>
      </c>
      <c r="I389" s="34">
        <f>Source!P269</f>
        <v>52582.53</v>
      </c>
      <c r="J389" s="31">
        <f>IF(Source!BC270&lt;&gt; 0, Source!BC270, 1)</f>
        <v>9.84</v>
      </c>
      <c r="K389" s="34">
        <f>Source!P270</f>
        <v>517412.1</v>
      </c>
      <c r="Q389">
        <f>Source!X269</f>
        <v>0</v>
      </c>
      <c r="R389">
        <f>Source!X270</f>
        <v>0</v>
      </c>
      <c r="S389">
        <f>Source!Y269</f>
        <v>0</v>
      </c>
      <c r="T389">
        <f>Source!Y270</f>
        <v>0</v>
      </c>
      <c r="U389">
        <f>ROUND((175/100)*ROUND(Source!R269, 2), 2)</f>
        <v>0</v>
      </c>
      <c r="V389">
        <f>ROUND((0/100)*ROUND(Source!R270, 2), 2)</f>
        <v>0</v>
      </c>
      <c r="AC389">
        <v>3</v>
      </c>
    </row>
    <row r="390" spans="1:29" x14ac:dyDescent="0.25">
      <c r="A390" s="53"/>
      <c r="B390" s="53"/>
      <c r="C390" s="54" t="str">
        <f>"Объем: "&amp;Source!I269&amp;"=4550*"&amp;"1,02"</f>
        <v>Объем: 4641=4550*1,02</v>
      </c>
      <c r="D390" s="53"/>
      <c r="E390" s="53"/>
      <c r="F390" s="53"/>
      <c r="G390" s="53"/>
      <c r="H390" s="53"/>
      <c r="I390" s="53"/>
      <c r="J390" s="53"/>
      <c r="K390" s="53"/>
    </row>
    <row r="391" spans="1:29" ht="14" x14ac:dyDescent="0.25">
      <c r="C391" s="42" t="s">
        <v>668</v>
      </c>
      <c r="H391" s="64">
        <f>I389+0</f>
        <v>52582.53</v>
      </c>
      <c r="I391" s="64"/>
      <c r="J391" s="64">
        <f>K389+0</f>
        <v>517412.1</v>
      </c>
      <c r="K391" s="64"/>
      <c r="O391" s="43">
        <f>I389+0</f>
        <v>52582.53</v>
      </c>
      <c r="P391" s="43">
        <f>K389+0</f>
        <v>517412.1</v>
      </c>
    </row>
    <row r="393" spans="1:29" ht="55" x14ac:dyDescent="0.25">
      <c r="A393" s="37">
        <v>48</v>
      </c>
      <c r="B393" s="37" t="str">
        <f>Source!F271</f>
        <v>КА, п.22</v>
      </c>
      <c r="C393" s="37" t="s">
        <v>689</v>
      </c>
      <c r="D393" s="38" t="str">
        <f>Source!H271</f>
        <v>ШТ</v>
      </c>
      <c r="E393" s="39">
        <f>Source!I271</f>
        <v>11375</v>
      </c>
      <c r="F393" s="40">
        <f>Source!AL271</f>
        <v>1.53</v>
      </c>
      <c r="G393" s="41" t="s">
        <v>3</v>
      </c>
      <c r="H393" s="39">
        <f>Source!AW272</f>
        <v>1</v>
      </c>
      <c r="I393" s="40">
        <f>Source!P271</f>
        <v>17403.75</v>
      </c>
      <c r="J393" s="39">
        <f>IF(Source!BC272&lt;&gt; 0, Source!BC272, 1)</f>
        <v>9.84</v>
      </c>
      <c r="K393" s="40">
        <f>Source!P272</f>
        <v>171252.9</v>
      </c>
      <c r="Q393">
        <f>Source!X271</f>
        <v>0</v>
      </c>
      <c r="R393">
        <f>Source!X272</f>
        <v>0</v>
      </c>
      <c r="S393">
        <f>Source!Y271</f>
        <v>0</v>
      </c>
      <c r="T393">
        <f>Source!Y272</f>
        <v>0</v>
      </c>
      <c r="U393">
        <f>ROUND((175/100)*ROUND(Source!R271, 2), 2)</f>
        <v>0</v>
      </c>
      <c r="V393">
        <f>ROUND((0/100)*ROUND(Source!R272, 2), 2)</f>
        <v>0</v>
      </c>
      <c r="AC393">
        <v>3</v>
      </c>
    </row>
    <row r="394" spans="1:29" ht="14" x14ac:dyDescent="0.25">
      <c r="C394" s="42" t="s">
        <v>668</v>
      </c>
      <c r="H394" s="64">
        <f>I393+0</f>
        <v>17403.75</v>
      </c>
      <c r="I394" s="64"/>
      <c r="J394" s="64">
        <f>K393+0</f>
        <v>171252.9</v>
      </c>
      <c r="K394" s="64"/>
      <c r="O394" s="43">
        <f>I393+0</f>
        <v>17403.75</v>
      </c>
      <c r="P394" s="43">
        <f>K393+0</f>
        <v>171252.9</v>
      </c>
    </row>
    <row r="396" spans="1:29" ht="41" x14ac:dyDescent="0.25">
      <c r="A396" s="30">
        <v>49</v>
      </c>
      <c r="B396" s="30" t="str">
        <f>Source!F273</f>
        <v>КА, п.23</v>
      </c>
      <c r="C396" s="30" t="s">
        <v>690</v>
      </c>
      <c r="D396" s="32" t="str">
        <f>Source!H273</f>
        <v>м</v>
      </c>
      <c r="E396" s="31">
        <f>Source!I273</f>
        <v>4590</v>
      </c>
      <c r="F396" s="34">
        <f>Source!AL273</f>
        <v>9.41</v>
      </c>
      <c r="G396" s="35" t="s">
        <v>3</v>
      </c>
      <c r="H396" s="31">
        <f>Source!AW274</f>
        <v>1</v>
      </c>
      <c r="I396" s="34">
        <f>Source!P273</f>
        <v>43191.9</v>
      </c>
      <c r="J396" s="31">
        <f>IF(Source!BC274&lt;&gt; 0, Source!BC274, 1)</f>
        <v>9.84</v>
      </c>
      <c r="K396" s="34">
        <f>Source!P274</f>
        <v>425008.3</v>
      </c>
      <c r="Q396">
        <f>Source!X273</f>
        <v>0</v>
      </c>
      <c r="R396">
        <f>Source!X274</f>
        <v>0</v>
      </c>
      <c r="S396">
        <f>Source!Y273</f>
        <v>0</v>
      </c>
      <c r="T396">
        <f>Source!Y274</f>
        <v>0</v>
      </c>
      <c r="U396">
        <f>ROUND((175/100)*ROUND(Source!R273, 2), 2)</f>
        <v>0</v>
      </c>
      <c r="V396">
        <f>ROUND((0/100)*ROUND(Source!R274, 2), 2)</f>
        <v>0</v>
      </c>
      <c r="AC396">
        <v>3</v>
      </c>
    </row>
    <row r="397" spans="1:29" x14ac:dyDescent="0.25">
      <c r="A397" s="53"/>
      <c r="B397" s="53"/>
      <c r="C397" s="54" t="str">
        <f>"Объем: "&amp;Source!I273&amp;"=4500*"&amp;"1,02"</f>
        <v>Объем: 4590=4500*1,02</v>
      </c>
      <c r="D397" s="53"/>
      <c r="E397" s="53"/>
      <c r="F397" s="53"/>
      <c r="G397" s="53"/>
      <c r="H397" s="53"/>
      <c r="I397" s="53"/>
      <c r="J397" s="53"/>
      <c r="K397" s="53"/>
    </row>
    <row r="398" spans="1:29" ht="14" x14ac:dyDescent="0.25">
      <c r="C398" s="42" t="s">
        <v>668</v>
      </c>
      <c r="H398" s="64">
        <f>I396+0</f>
        <v>43191.9</v>
      </c>
      <c r="I398" s="64"/>
      <c r="J398" s="64">
        <f>K396+0</f>
        <v>425008.3</v>
      </c>
      <c r="K398" s="64"/>
      <c r="O398" s="43">
        <f>I396+0</f>
        <v>43191.9</v>
      </c>
      <c r="P398" s="43">
        <f>K396+0</f>
        <v>425008.3</v>
      </c>
    </row>
    <row r="400" spans="1:29" ht="55" x14ac:dyDescent="0.25">
      <c r="A400" s="37">
        <v>50</v>
      </c>
      <c r="B400" s="37" t="str">
        <f>Source!F275</f>
        <v>КА, п.24</v>
      </c>
      <c r="C400" s="37" t="s">
        <v>691</v>
      </c>
      <c r="D400" s="38" t="str">
        <f>Source!H275</f>
        <v>м</v>
      </c>
      <c r="E400" s="39">
        <f>Source!I275</f>
        <v>50</v>
      </c>
      <c r="F400" s="40">
        <f>Source!AL275</f>
        <v>12.94</v>
      </c>
      <c r="G400" s="41" t="s">
        <v>3</v>
      </c>
      <c r="H400" s="39">
        <f>Source!AW276</f>
        <v>1</v>
      </c>
      <c r="I400" s="40">
        <f>Source!P275</f>
        <v>647</v>
      </c>
      <c r="J400" s="39">
        <f>IF(Source!BC276&lt;&gt; 0, Source!BC276, 1)</f>
        <v>9.84</v>
      </c>
      <c r="K400" s="40">
        <f>Source!P276</f>
        <v>6366.48</v>
      </c>
      <c r="Q400">
        <f>Source!X275</f>
        <v>0</v>
      </c>
      <c r="R400">
        <f>Source!X276</f>
        <v>0</v>
      </c>
      <c r="S400">
        <f>Source!Y275</f>
        <v>0</v>
      </c>
      <c r="T400">
        <f>Source!Y276</f>
        <v>0</v>
      </c>
      <c r="U400">
        <f>ROUND((175/100)*ROUND(Source!R275, 2), 2)</f>
        <v>0</v>
      </c>
      <c r="V400">
        <f>ROUND((0/100)*ROUND(Source!R276, 2), 2)</f>
        <v>0</v>
      </c>
      <c r="AC400">
        <v>3</v>
      </c>
    </row>
    <row r="401" spans="1:29" ht="14" x14ac:dyDescent="0.25">
      <c r="C401" s="42" t="s">
        <v>668</v>
      </c>
      <c r="H401" s="64">
        <f>I400+0</f>
        <v>647</v>
      </c>
      <c r="I401" s="64"/>
      <c r="J401" s="64">
        <f>K400+0</f>
        <v>6366.48</v>
      </c>
      <c r="K401" s="64"/>
      <c r="O401" s="43">
        <f>I400+0</f>
        <v>647</v>
      </c>
      <c r="P401" s="43">
        <f>K400+0</f>
        <v>6366.48</v>
      </c>
    </row>
    <row r="403" spans="1:29" ht="55" x14ac:dyDescent="0.25">
      <c r="A403" s="37">
        <v>51</v>
      </c>
      <c r="B403" s="37" t="str">
        <f>Source!F277</f>
        <v>КА, п.25</v>
      </c>
      <c r="C403" s="37" t="s">
        <v>692</v>
      </c>
      <c r="D403" s="38" t="str">
        <f>Source!H277</f>
        <v>ШТ</v>
      </c>
      <c r="E403" s="39">
        <f>Source!I277</f>
        <v>1</v>
      </c>
      <c r="F403" s="40">
        <f>Source!AL277</f>
        <v>127.7</v>
      </c>
      <c r="G403" s="41" t="s">
        <v>3</v>
      </c>
      <c r="H403" s="39">
        <f>Source!AW278</f>
        <v>1</v>
      </c>
      <c r="I403" s="40">
        <f>Source!P277</f>
        <v>127.7</v>
      </c>
      <c r="J403" s="39">
        <f>IF(Source!BC278&lt;&gt; 0, Source!BC278, 1)</f>
        <v>9.84</v>
      </c>
      <c r="K403" s="40">
        <f>Source!P278</f>
        <v>1256.57</v>
      </c>
      <c r="Q403">
        <f>Source!X277</f>
        <v>0</v>
      </c>
      <c r="R403">
        <f>Source!X278</f>
        <v>0</v>
      </c>
      <c r="S403">
        <f>Source!Y277</f>
        <v>0</v>
      </c>
      <c r="T403">
        <f>Source!Y278</f>
        <v>0</v>
      </c>
      <c r="U403">
        <f>ROUND((175/100)*ROUND(Source!R277, 2), 2)</f>
        <v>0</v>
      </c>
      <c r="V403">
        <f>ROUND((0/100)*ROUND(Source!R278, 2), 2)</f>
        <v>0</v>
      </c>
      <c r="AC403">
        <v>3</v>
      </c>
    </row>
    <row r="404" spans="1:29" ht="14" x14ac:dyDescent="0.25">
      <c r="C404" s="42" t="s">
        <v>668</v>
      </c>
      <c r="H404" s="64">
        <f>I403+0</f>
        <v>127.7</v>
      </c>
      <c r="I404" s="64"/>
      <c r="J404" s="64">
        <f>K403+0</f>
        <v>1256.57</v>
      </c>
      <c r="K404" s="64"/>
      <c r="O404" s="43">
        <f>I403+0</f>
        <v>127.7</v>
      </c>
      <c r="P404" s="43">
        <f>K403+0</f>
        <v>1256.57</v>
      </c>
    </row>
    <row r="407" spans="1:29" ht="14" x14ac:dyDescent="0.3">
      <c r="A407" s="61" t="str">
        <f>CONCATENATE("Итого по разделу: ",IF(Source!G280&lt;&gt;"Новый раздел", Source!G280, ""))</f>
        <v>Итого по разделу: Огнестойкая кабельная линия</v>
      </c>
      <c r="B407" s="61"/>
      <c r="C407" s="61"/>
      <c r="D407" s="61"/>
      <c r="E407" s="61"/>
      <c r="F407" s="61"/>
      <c r="G407" s="61"/>
      <c r="H407" s="62">
        <f>SUM(O376:O406)</f>
        <v>170919.6</v>
      </c>
      <c r="I407" s="63"/>
      <c r="J407" s="62">
        <f>SUM(P376:P406)</f>
        <v>4260605.8500000006</v>
      </c>
      <c r="K407" s="63"/>
    </row>
    <row r="408" spans="1:29" hidden="1" x14ac:dyDescent="0.25">
      <c r="A408" t="s">
        <v>670</v>
      </c>
      <c r="I408">
        <f>SUM(W376:W407)</f>
        <v>0</v>
      </c>
      <c r="J408">
        <f>SUM(X376:X407)</f>
        <v>0</v>
      </c>
    </row>
    <row r="409" spans="1:29" hidden="1" x14ac:dyDescent="0.25">
      <c r="A409" t="s">
        <v>671</v>
      </c>
      <c r="I409">
        <f>SUM(Y376:Y408)</f>
        <v>0</v>
      </c>
      <c r="J409">
        <f>SUM(Z376:Z408)</f>
        <v>0</v>
      </c>
    </row>
    <row r="411" spans="1:29" ht="16.5" x14ac:dyDescent="0.25">
      <c r="A411" s="65" t="str">
        <f>CONCATENATE("Раздел: ",IF(Source!G310&lt;&gt;"Новый раздел", Source!G310, ""))</f>
        <v>Раздел: Материалы</v>
      </c>
      <c r="B411" s="65"/>
      <c r="C411" s="65"/>
      <c r="D411" s="65"/>
      <c r="E411" s="65"/>
      <c r="F411" s="65"/>
      <c r="G411" s="65"/>
      <c r="H411" s="65"/>
      <c r="I411" s="65"/>
      <c r="J411" s="65"/>
      <c r="K411" s="65"/>
    </row>
    <row r="412" spans="1:29" ht="28" x14ac:dyDescent="0.25">
      <c r="A412" s="30">
        <v>52</v>
      </c>
      <c r="B412" s="30" t="str">
        <f>Source!F314</f>
        <v>4.10-81-6</v>
      </c>
      <c r="C412" s="30" t="s">
        <v>341</v>
      </c>
      <c r="D412" s="32" t="str">
        <f>Source!H314</f>
        <v>1  ШТ.</v>
      </c>
      <c r="E412" s="31">
        <f>Source!I314</f>
        <v>11</v>
      </c>
      <c r="F412" s="34"/>
      <c r="G412" s="33"/>
      <c r="H412" s="31"/>
      <c r="I412" s="34"/>
      <c r="J412" s="31"/>
      <c r="K412" s="34"/>
      <c r="Q412">
        <f>Source!X314</f>
        <v>58.46</v>
      </c>
      <c r="R412">
        <f>Source!X315</f>
        <v>3294.44</v>
      </c>
      <c r="S412">
        <f>Source!Y314</f>
        <v>29.88</v>
      </c>
      <c r="T412">
        <f>Source!Y315</f>
        <v>1683.83</v>
      </c>
      <c r="U412">
        <f>ROUND((175/100)*ROUND(Source!R314, 2), 2)</f>
        <v>6.77</v>
      </c>
      <c r="V412">
        <f>ROUND((0/100)*ROUND(Source!R315, 2), 2)</f>
        <v>0</v>
      </c>
      <c r="AC412">
        <v>0</v>
      </c>
    </row>
    <row r="413" spans="1:29" ht="14.5" x14ac:dyDescent="0.25">
      <c r="A413" s="30"/>
      <c r="B413" s="30"/>
      <c r="C413" s="30" t="s">
        <v>657</v>
      </c>
      <c r="D413" s="32"/>
      <c r="E413" s="31"/>
      <c r="F413" s="34">
        <f>Source!AO314</f>
        <v>4.42</v>
      </c>
      <c r="G413" s="35" t="s">
        <v>156</v>
      </c>
      <c r="H413" s="31">
        <f>Source!AV315</f>
        <v>1.0469999999999999</v>
      </c>
      <c r="I413" s="34">
        <f>Source!S314</f>
        <v>61.09</v>
      </c>
      <c r="J413" s="31">
        <f>IF(Source!BA315&lt;&gt; 0, Source!BA315, 1)</f>
        <v>56.35</v>
      </c>
      <c r="K413" s="34">
        <f>Source!S315</f>
        <v>3442.42</v>
      </c>
    </row>
    <row r="414" spans="1:29" ht="14.5" x14ac:dyDescent="0.25">
      <c r="A414" s="30"/>
      <c r="B414" s="30"/>
      <c r="C414" s="30" t="s">
        <v>659</v>
      </c>
      <c r="D414" s="32"/>
      <c r="E414" s="31"/>
      <c r="F414" s="34">
        <f>Source!AM314</f>
        <v>4.5599999999999996</v>
      </c>
      <c r="G414" s="35" t="s">
        <v>156</v>
      </c>
      <c r="H414" s="31">
        <f>Source!AV315</f>
        <v>1.0469999999999999</v>
      </c>
      <c r="I414" s="34">
        <f>Source!Q314</f>
        <v>63.02</v>
      </c>
      <c r="J414" s="31">
        <f>IF(Source!BB315&lt;&gt; 0, Source!BB315, 1)</f>
        <v>13.75</v>
      </c>
      <c r="K414" s="34">
        <f>Source!Q315</f>
        <v>866.53</v>
      </c>
    </row>
    <row r="415" spans="1:29" ht="14.5" x14ac:dyDescent="0.25">
      <c r="A415" s="30"/>
      <c r="B415" s="30"/>
      <c r="C415" s="30" t="s">
        <v>660</v>
      </c>
      <c r="D415" s="32"/>
      <c r="E415" s="31"/>
      <c r="F415" s="34">
        <f>Source!AN314</f>
        <v>0.28000000000000003</v>
      </c>
      <c r="G415" s="35" t="s">
        <v>156</v>
      </c>
      <c r="H415" s="31">
        <f>Source!AV315</f>
        <v>1.0469999999999999</v>
      </c>
      <c r="I415" s="36">
        <f>Source!R314</f>
        <v>3.87</v>
      </c>
      <c r="J415" s="31">
        <f>IF(Source!BS315&lt;&gt; 0, Source!BS315, 1)</f>
        <v>56.35</v>
      </c>
      <c r="K415" s="36">
        <f>Source!R315</f>
        <v>218.07</v>
      </c>
    </row>
    <row r="416" spans="1:29" ht="14.5" x14ac:dyDescent="0.25">
      <c r="A416" s="30"/>
      <c r="B416" s="30"/>
      <c r="C416" s="30" t="s">
        <v>672</v>
      </c>
      <c r="D416" s="32"/>
      <c r="E416" s="31"/>
      <c r="F416" s="34">
        <f>Source!AL314</f>
        <v>1.05</v>
      </c>
      <c r="G416" s="35" t="s">
        <v>3</v>
      </c>
      <c r="H416" s="31">
        <f>Source!AW315</f>
        <v>1</v>
      </c>
      <c r="I416" s="34">
        <f>Source!P314</f>
        <v>11.55</v>
      </c>
      <c r="J416" s="31">
        <f>IF(Source!BC315&lt;&gt; 0, Source!BC315, 1)</f>
        <v>9.84</v>
      </c>
      <c r="K416" s="34">
        <f>Source!P315</f>
        <v>113.65</v>
      </c>
    </row>
    <row r="417" spans="1:29" ht="14.5" x14ac:dyDescent="0.25">
      <c r="A417" s="30"/>
      <c r="B417" s="30"/>
      <c r="C417" s="30" t="s">
        <v>661</v>
      </c>
      <c r="D417" s="32" t="s">
        <v>662</v>
      </c>
      <c r="E417" s="31">
        <f>Source!BZ315</f>
        <v>90</v>
      </c>
      <c r="F417" s="34"/>
      <c r="G417" s="33"/>
      <c r="H417" s="31"/>
      <c r="I417" s="34">
        <f>SUM(Q412:Q416)</f>
        <v>58.46</v>
      </c>
      <c r="J417" s="31">
        <f>Source!AT315</f>
        <v>90</v>
      </c>
      <c r="K417" s="34">
        <f>SUM(R412:R416)</f>
        <v>3294.44</v>
      </c>
    </row>
    <row r="418" spans="1:29" ht="14.5" x14ac:dyDescent="0.25">
      <c r="A418" s="30"/>
      <c r="B418" s="30"/>
      <c r="C418" s="30" t="s">
        <v>663</v>
      </c>
      <c r="D418" s="32" t="s">
        <v>662</v>
      </c>
      <c r="E418" s="31">
        <f>Source!CA315</f>
        <v>46</v>
      </c>
      <c r="F418" s="34"/>
      <c r="G418" s="33"/>
      <c r="H418" s="31"/>
      <c r="I418" s="34">
        <f>SUM(S412:S417)</f>
        <v>29.88</v>
      </c>
      <c r="J418" s="31">
        <f>Source!AU315</f>
        <v>46</v>
      </c>
      <c r="K418" s="34">
        <f>SUM(T412:T417)</f>
        <v>1683.83</v>
      </c>
    </row>
    <row r="419" spans="1:29" ht="14.5" x14ac:dyDescent="0.25">
      <c r="A419" s="37"/>
      <c r="B419" s="37"/>
      <c r="C419" s="37" t="s">
        <v>664</v>
      </c>
      <c r="D419" s="38" t="s">
        <v>665</v>
      </c>
      <c r="E419" s="39">
        <f>Source!AQ314</f>
        <v>0.35</v>
      </c>
      <c r="F419" s="40"/>
      <c r="G419" s="41" t="s">
        <v>156</v>
      </c>
      <c r="H419" s="39">
        <f>Source!AV315</f>
        <v>1.0469999999999999</v>
      </c>
      <c r="I419" s="40">
        <f>Source!U314</f>
        <v>4.8371399999999998</v>
      </c>
      <c r="J419" s="39"/>
      <c r="K419" s="40"/>
    </row>
    <row r="420" spans="1:29" ht="14" x14ac:dyDescent="0.25">
      <c r="C420" s="42" t="s">
        <v>666</v>
      </c>
      <c r="H420" s="64">
        <f>I413+I414+I416+I417+I418+0-0-0</f>
        <v>224.00000000000003</v>
      </c>
      <c r="I420" s="64"/>
      <c r="J420" s="64">
        <f>K413+K414+K416+K417+K418+0-0-0</f>
        <v>9400.869999999999</v>
      </c>
      <c r="K420" s="64"/>
    </row>
    <row r="421" spans="1:29" ht="14" hidden="1" x14ac:dyDescent="0.25">
      <c r="C421" s="42" t="s">
        <v>667</v>
      </c>
      <c r="H421" s="62">
        <f>0+0</f>
        <v>0</v>
      </c>
      <c r="I421" s="62"/>
      <c r="J421" s="62">
        <f>0+0</f>
        <v>0</v>
      </c>
      <c r="K421" s="62"/>
    </row>
    <row r="422" spans="1:29" ht="14" x14ac:dyDescent="0.25">
      <c r="C422" s="42" t="s">
        <v>668</v>
      </c>
      <c r="H422" s="62">
        <f>I413+I414+I416+I417+I418+0</f>
        <v>224.00000000000003</v>
      </c>
      <c r="I422" s="62"/>
      <c r="J422" s="62">
        <f>K413+K414+K416+K417+K418+0</f>
        <v>9400.869999999999</v>
      </c>
      <c r="K422" s="62"/>
      <c r="O422" s="43">
        <f>I413+I414+I416+I417+I418+0</f>
        <v>224.00000000000003</v>
      </c>
      <c r="P422" s="43">
        <f>K413+K414+K416+K417+K418+0</f>
        <v>9400.869999999999</v>
      </c>
    </row>
    <row r="424" spans="1:29" ht="41" x14ac:dyDescent="0.25">
      <c r="A424" s="37">
        <v>53</v>
      </c>
      <c r="B424" s="37" t="str">
        <f>Source!F316</f>
        <v>КА, п.26</v>
      </c>
      <c r="C424" s="37" t="s">
        <v>693</v>
      </c>
      <c r="D424" s="38" t="str">
        <f>Source!H316</f>
        <v>ШТ</v>
      </c>
      <c r="E424" s="39">
        <f>Source!I316</f>
        <v>6</v>
      </c>
      <c r="F424" s="40">
        <f>Source!AL316</f>
        <v>79.86999999999999</v>
      </c>
      <c r="G424" s="41" t="s">
        <v>3</v>
      </c>
      <c r="H424" s="39">
        <f>Source!AW317</f>
        <v>1</v>
      </c>
      <c r="I424" s="40">
        <f>Source!P316</f>
        <v>479.22</v>
      </c>
      <c r="J424" s="39">
        <f>IF(Source!BC317&lt;&gt; 0, Source!BC317, 1)</f>
        <v>9.84</v>
      </c>
      <c r="K424" s="40">
        <f>Source!P317</f>
        <v>4715.5200000000004</v>
      </c>
      <c r="Q424">
        <f>Source!X316</f>
        <v>0</v>
      </c>
      <c r="R424">
        <f>Source!X317</f>
        <v>0</v>
      </c>
      <c r="S424">
        <f>Source!Y316</f>
        <v>0</v>
      </c>
      <c r="T424">
        <f>Source!Y317</f>
        <v>0</v>
      </c>
      <c r="U424">
        <f>ROUND((175/100)*ROUND(Source!R316, 2), 2)</f>
        <v>0</v>
      </c>
      <c r="V424">
        <f>ROUND((0/100)*ROUND(Source!R317, 2), 2)</f>
        <v>0</v>
      </c>
      <c r="AC424">
        <v>3</v>
      </c>
    </row>
    <row r="425" spans="1:29" ht="14" x14ac:dyDescent="0.25">
      <c r="C425" s="42" t="s">
        <v>668</v>
      </c>
      <c r="H425" s="64">
        <f>I424+0</f>
        <v>479.22</v>
      </c>
      <c r="I425" s="64"/>
      <c r="J425" s="64">
        <f>K424+0</f>
        <v>4715.5200000000004</v>
      </c>
      <c r="K425" s="64"/>
      <c r="O425" s="43">
        <f>I424+0</f>
        <v>479.22</v>
      </c>
      <c r="P425" s="43">
        <f>K424+0</f>
        <v>4715.5200000000004</v>
      </c>
    </row>
    <row r="427" spans="1:29" ht="55" x14ac:dyDescent="0.25">
      <c r="A427" s="37">
        <v>54</v>
      </c>
      <c r="B427" s="37" t="str">
        <f>Source!F318</f>
        <v>КА, п.27</v>
      </c>
      <c r="C427" s="37" t="s">
        <v>694</v>
      </c>
      <c r="D427" s="38" t="str">
        <f>Source!H318</f>
        <v>ШТ</v>
      </c>
      <c r="E427" s="39">
        <f>Source!I318</f>
        <v>1</v>
      </c>
      <c r="F427" s="40">
        <f>Source!AL318</f>
        <v>56.93</v>
      </c>
      <c r="G427" s="41" t="s">
        <v>3</v>
      </c>
      <c r="H427" s="39">
        <f>Source!AW319</f>
        <v>1</v>
      </c>
      <c r="I427" s="40">
        <f>Source!P318</f>
        <v>56.93</v>
      </c>
      <c r="J427" s="39">
        <f>IF(Source!BC319&lt;&gt; 0, Source!BC319, 1)</f>
        <v>9.84</v>
      </c>
      <c r="K427" s="40">
        <f>Source!P319</f>
        <v>560.19000000000005</v>
      </c>
      <c r="Q427">
        <f>Source!X318</f>
        <v>0</v>
      </c>
      <c r="R427">
        <f>Source!X319</f>
        <v>0</v>
      </c>
      <c r="S427">
        <f>Source!Y318</f>
        <v>0</v>
      </c>
      <c r="T427">
        <f>Source!Y319</f>
        <v>0</v>
      </c>
      <c r="U427">
        <f>ROUND((175/100)*ROUND(Source!R318, 2), 2)</f>
        <v>0</v>
      </c>
      <c r="V427">
        <f>ROUND((0/100)*ROUND(Source!R319, 2), 2)</f>
        <v>0</v>
      </c>
      <c r="AC427">
        <v>3</v>
      </c>
    </row>
    <row r="428" spans="1:29" ht="14" x14ac:dyDescent="0.25">
      <c r="C428" s="42" t="s">
        <v>668</v>
      </c>
      <c r="H428" s="64">
        <f>I427+0</f>
        <v>56.93</v>
      </c>
      <c r="I428" s="64"/>
      <c r="J428" s="64">
        <f>K427+0</f>
        <v>560.19000000000005</v>
      </c>
      <c r="K428" s="64"/>
      <c r="O428" s="43">
        <f>I427+0</f>
        <v>56.93</v>
      </c>
      <c r="P428" s="43">
        <f>K427+0</f>
        <v>560.19000000000005</v>
      </c>
    </row>
    <row r="430" spans="1:29" ht="41" x14ac:dyDescent="0.25">
      <c r="A430" s="37">
        <v>55</v>
      </c>
      <c r="B430" s="37" t="str">
        <f>Source!F320</f>
        <v>КА, п.28</v>
      </c>
      <c r="C430" s="37" t="s">
        <v>695</v>
      </c>
      <c r="D430" s="38" t="str">
        <f>Source!H320</f>
        <v>ШТ</v>
      </c>
      <c r="E430" s="39">
        <f>Source!I320</f>
        <v>4</v>
      </c>
      <c r="F430" s="40">
        <f>Source!AL320</f>
        <v>62.87</v>
      </c>
      <c r="G430" s="41" t="s">
        <v>3</v>
      </c>
      <c r="H430" s="39">
        <f>Source!AW321</f>
        <v>1</v>
      </c>
      <c r="I430" s="40">
        <f>Source!P320</f>
        <v>251.48</v>
      </c>
      <c r="J430" s="39">
        <f>IF(Source!BC321&lt;&gt; 0, Source!BC321, 1)</f>
        <v>9.84</v>
      </c>
      <c r="K430" s="40">
        <f>Source!P321</f>
        <v>2474.56</v>
      </c>
      <c r="Q430">
        <f>Source!X320</f>
        <v>0</v>
      </c>
      <c r="R430">
        <f>Source!X321</f>
        <v>0</v>
      </c>
      <c r="S430">
        <f>Source!Y320</f>
        <v>0</v>
      </c>
      <c r="T430">
        <f>Source!Y321</f>
        <v>0</v>
      </c>
      <c r="U430">
        <f>ROUND((175/100)*ROUND(Source!R320, 2), 2)</f>
        <v>0</v>
      </c>
      <c r="V430">
        <f>ROUND((0/100)*ROUND(Source!R321, 2), 2)</f>
        <v>0</v>
      </c>
      <c r="AC430">
        <v>3</v>
      </c>
    </row>
    <row r="431" spans="1:29" ht="14" x14ac:dyDescent="0.25">
      <c r="C431" s="42" t="s">
        <v>668</v>
      </c>
      <c r="H431" s="64">
        <f>I430+0</f>
        <v>251.48</v>
      </c>
      <c r="I431" s="64"/>
      <c r="J431" s="64">
        <f>K430+0</f>
        <v>2474.56</v>
      </c>
      <c r="K431" s="64"/>
      <c r="O431" s="43">
        <f>I430+0</f>
        <v>251.48</v>
      </c>
      <c r="P431" s="43">
        <f>K430+0</f>
        <v>2474.56</v>
      </c>
    </row>
    <row r="433" spans="1:43" ht="154" x14ac:dyDescent="0.25">
      <c r="A433" s="37">
        <v>56</v>
      </c>
      <c r="B433" s="37" t="str">
        <f>Source!F326</f>
        <v>1.1-1-8066</v>
      </c>
      <c r="C433" s="37" t="s">
        <v>627</v>
      </c>
      <c r="D433" s="38" t="str">
        <f>Source!H326</f>
        <v>кг</v>
      </c>
      <c r="E433" s="39">
        <f>Source!I326</f>
        <v>15</v>
      </c>
      <c r="F433" s="40">
        <f>Source!AL326</f>
        <v>347.24</v>
      </c>
      <c r="G433" s="41" t="s">
        <v>3</v>
      </c>
      <c r="H433" s="39">
        <f>Source!AW327</f>
        <v>1</v>
      </c>
      <c r="I433" s="40">
        <f>Source!P326</f>
        <v>5208.6000000000004</v>
      </c>
      <c r="J433" s="39">
        <f>IF(Source!BC327&lt;&gt; 0, Source!BC327, 1)</f>
        <v>5.45</v>
      </c>
      <c r="K433" s="40">
        <f>Source!P327</f>
        <v>28386.87</v>
      </c>
      <c r="Q433">
        <f>Source!X326</f>
        <v>0</v>
      </c>
      <c r="R433">
        <f>Source!X327</f>
        <v>0</v>
      </c>
      <c r="S433">
        <f>Source!Y326</f>
        <v>0</v>
      </c>
      <c r="T433">
        <f>Source!Y327</f>
        <v>0</v>
      </c>
      <c r="U433">
        <f>ROUND((175/100)*ROUND(Source!R326, 2), 2)</f>
        <v>0</v>
      </c>
      <c r="V433">
        <f>ROUND((0/100)*ROUND(Source!R327, 2), 2)</f>
        <v>0</v>
      </c>
      <c r="AC433">
        <v>3</v>
      </c>
    </row>
    <row r="434" spans="1:43" ht="14" x14ac:dyDescent="0.25">
      <c r="C434" s="42" t="s">
        <v>668</v>
      </c>
      <c r="H434" s="64">
        <f>I433+0</f>
        <v>5208.6000000000004</v>
      </c>
      <c r="I434" s="64"/>
      <c r="J434" s="64">
        <f>K433+0</f>
        <v>28386.87</v>
      </c>
      <c r="K434" s="64"/>
      <c r="O434" s="43">
        <f>I433+0</f>
        <v>5208.6000000000004</v>
      </c>
      <c r="P434" s="43">
        <f>K433+0</f>
        <v>28386.87</v>
      </c>
    </row>
    <row r="437" spans="1:43" ht="14" x14ac:dyDescent="0.3">
      <c r="A437" s="61" t="str">
        <f>CONCATENATE("Итого по разделу: ",IF(Source!G329&lt;&gt;"Новый раздел", Source!G329, ""))</f>
        <v>Итого по разделу: Материалы</v>
      </c>
      <c r="B437" s="61"/>
      <c r="C437" s="61"/>
      <c r="D437" s="61"/>
      <c r="E437" s="61"/>
      <c r="F437" s="61"/>
      <c r="G437" s="61"/>
      <c r="H437" s="62">
        <f>SUM(O411:O436)</f>
        <v>6220.2300000000005</v>
      </c>
      <c r="I437" s="63"/>
      <c r="J437" s="62">
        <f>SUM(P411:P436)</f>
        <v>45538.009999999995</v>
      </c>
      <c r="K437" s="63"/>
    </row>
    <row r="438" spans="1:43" hidden="1" x14ac:dyDescent="0.25">
      <c r="A438" t="s">
        <v>670</v>
      </c>
      <c r="I438">
        <f>SUM(W411:W437)</f>
        <v>0</v>
      </c>
      <c r="J438">
        <f>SUM(X411:X437)</f>
        <v>0</v>
      </c>
    </row>
    <row r="439" spans="1:43" hidden="1" x14ac:dyDescent="0.25">
      <c r="A439" t="s">
        <v>671</v>
      </c>
      <c r="I439">
        <f>SUM(Y411:Y438)</f>
        <v>0</v>
      </c>
      <c r="J439">
        <f>SUM(Z411:Z438)</f>
        <v>0</v>
      </c>
    </row>
    <row r="441" spans="1:43" ht="14" x14ac:dyDescent="0.3">
      <c r="A441" s="61" t="str">
        <f>CONCATENATE("Итого по локальной смете: ",IF(Source!G359&lt;&gt;"Новая локальная смета", Source!G359, ""))</f>
        <v>Итого по локальной смете: Система оповещения и управления эвакуацией</v>
      </c>
      <c r="B441" s="61"/>
      <c r="C441" s="61"/>
      <c r="D441" s="61"/>
      <c r="E441" s="61"/>
      <c r="F441" s="61"/>
      <c r="G441" s="61"/>
      <c r="H441" s="62">
        <f>SUM(O36:O440)</f>
        <v>410234.23</v>
      </c>
      <c r="I441" s="63"/>
      <c r="J441" s="62">
        <f>SUM(P36:P440)</f>
        <v>8624833.839999998</v>
      </c>
      <c r="K441" s="63"/>
      <c r="AQ441" s="45" t="str">
        <f>CONCATENATE("Итого по локальной смете: ",IF(Source!G359&lt;&gt;"Новая локальная смета", Source!G359, ""))</f>
        <v>Итого по локальной смете: Система оповещения и управления эвакуацией</v>
      </c>
    </row>
    <row r="442" spans="1:43" hidden="1" x14ac:dyDescent="0.25">
      <c r="A442" t="s">
        <v>670</v>
      </c>
      <c r="I442">
        <f>SUM(W36:W441)</f>
        <v>0</v>
      </c>
      <c r="J442">
        <f>SUM(X36:X441)</f>
        <v>0</v>
      </c>
    </row>
    <row r="443" spans="1:43" hidden="1" x14ac:dyDescent="0.25">
      <c r="A443" t="s">
        <v>671</v>
      </c>
      <c r="I443">
        <f>SUM(Y36:Y442)</f>
        <v>0</v>
      </c>
      <c r="J443">
        <f>SUM(Z36:Z442)</f>
        <v>0</v>
      </c>
    </row>
    <row r="445" spans="1:43" ht="14" hidden="1" x14ac:dyDescent="0.3">
      <c r="A445" s="61" t="str">
        <f>CONCATENATE("Итого по смете: ",IF(Source!G389&lt;&gt;"Новый объект", Source!G389, ""))</f>
        <v>Итого по смете: 02-01-09 СОУЭ 20.07</v>
      </c>
      <c r="B445" s="61"/>
      <c r="C445" s="61"/>
      <c r="D445" s="61"/>
      <c r="E445" s="61"/>
      <c r="F445" s="61"/>
      <c r="G445" s="61"/>
      <c r="H445" s="62">
        <f>SUM(O1:O444)</f>
        <v>410234.23</v>
      </c>
      <c r="I445" s="63"/>
      <c r="J445" s="62">
        <f>SUM(P1:P444)</f>
        <v>8624833.839999998</v>
      </c>
      <c r="K445" s="63"/>
    </row>
    <row r="446" spans="1:43" hidden="1" x14ac:dyDescent="0.25">
      <c r="A446" t="s">
        <v>670</v>
      </c>
      <c r="I446">
        <f>SUM(W1:W445)</f>
        <v>0</v>
      </c>
      <c r="J446">
        <f>SUM(X1:X445)</f>
        <v>0</v>
      </c>
    </row>
    <row r="447" spans="1:43" hidden="1" x14ac:dyDescent="0.25">
      <c r="A447" t="s">
        <v>671</v>
      </c>
      <c r="I447">
        <f>SUM(Y1:Y446)</f>
        <v>0</v>
      </c>
      <c r="J447">
        <f>SUM(Z1:Z446)</f>
        <v>0</v>
      </c>
    </row>
    <row r="450" spans="1:11" ht="14" x14ac:dyDescent="0.3">
      <c r="A450" s="58" t="s">
        <v>697</v>
      </c>
      <c r="B450" s="58"/>
      <c r="C450" s="55" t="str">
        <f>IF(Source!AC12&lt;&gt;"", Source!AC12," ")</f>
        <v>Ведущий инженер-сметчик</v>
      </c>
      <c r="D450" s="55"/>
      <c r="E450" s="55"/>
      <c r="F450" s="55"/>
      <c r="G450" s="55"/>
      <c r="H450" s="59" t="str">
        <f>IF(Source!AB12&lt;&gt;"", Source!AB12," ")</f>
        <v>О.А.Гришечкина</v>
      </c>
      <c r="I450" s="59"/>
      <c r="J450" s="59"/>
      <c r="K450" s="59"/>
    </row>
    <row r="451" spans="1:11" ht="14" x14ac:dyDescent="0.3">
      <c r="A451" s="17"/>
      <c r="B451" s="17"/>
      <c r="C451" s="60" t="s">
        <v>698</v>
      </c>
      <c r="D451" s="60"/>
      <c r="E451" s="60"/>
      <c r="F451" s="60"/>
      <c r="G451" s="60"/>
      <c r="H451" s="17"/>
      <c r="I451" s="17"/>
      <c r="J451" s="17"/>
      <c r="K451" s="17"/>
    </row>
    <row r="452" spans="1:11" ht="14" x14ac:dyDescent="0.3">
      <c r="A452" s="17"/>
      <c r="B452" s="17"/>
      <c r="C452" s="17"/>
      <c r="D452" s="17"/>
      <c r="E452" s="17"/>
      <c r="F452" s="17"/>
      <c r="G452" s="17"/>
      <c r="H452" s="17"/>
      <c r="I452" s="17"/>
      <c r="J452" s="17"/>
      <c r="K452" s="17"/>
    </row>
    <row r="453" spans="1:11" ht="14" x14ac:dyDescent="0.3">
      <c r="A453" s="58" t="s">
        <v>699</v>
      </c>
      <c r="B453" s="58"/>
      <c r="C453" s="55" t="str">
        <f>IF(Source!AE12&lt;&gt;"", Source!AE12," ")</f>
        <v>Начальник отдела</v>
      </c>
      <c r="D453" s="55"/>
      <c r="E453" s="55"/>
      <c r="F453" s="55"/>
      <c r="G453" s="55"/>
      <c r="H453" s="59" t="str">
        <f>IF(Source!AD12&lt;&gt;"", Source!AD12," ")</f>
        <v>И.В.Феденко</v>
      </c>
      <c r="I453" s="59"/>
      <c r="J453" s="59"/>
      <c r="K453" s="59"/>
    </row>
    <row r="454" spans="1:11" ht="14" x14ac:dyDescent="0.3">
      <c r="A454" s="17"/>
      <c r="B454" s="17"/>
      <c r="C454" s="60" t="s">
        <v>698</v>
      </c>
      <c r="D454" s="60"/>
      <c r="E454" s="60"/>
      <c r="F454" s="60"/>
      <c r="G454" s="60"/>
      <c r="H454" s="17"/>
      <c r="I454" s="17"/>
      <c r="J454" s="17"/>
      <c r="K454" s="17"/>
    </row>
  </sheetData>
  <mergeCells count="266">
    <mergeCell ref="B7:E7"/>
    <mergeCell ref="G7:K7"/>
    <mergeCell ref="J2:K2"/>
    <mergeCell ref="A10:K10"/>
    <mergeCell ref="A11:K11"/>
    <mergeCell ref="A13:K13"/>
    <mergeCell ref="B3:E3"/>
    <mergeCell ref="G3:K3"/>
    <mergeCell ref="B4:E4"/>
    <mergeCell ref="G4:K4"/>
    <mergeCell ref="B6:E6"/>
    <mergeCell ref="G6:K6"/>
    <mergeCell ref="E24:H24"/>
    <mergeCell ref="E25:H25"/>
    <mergeCell ref="E26:H26"/>
    <mergeCell ref="E27:H27"/>
    <mergeCell ref="E28:H28"/>
    <mergeCell ref="E29:H29"/>
    <mergeCell ref="A15:K15"/>
    <mergeCell ref="A16:K16"/>
    <mergeCell ref="A18:K18"/>
    <mergeCell ref="E21:H21"/>
    <mergeCell ref="E22:H22"/>
    <mergeCell ref="E23:H23"/>
    <mergeCell ref="H48:I48"/>
    <mergeCell ref="J48:K48"/>
    <mergeCell ref="H56:I56"/>
    <mergeCell ref="J56:K56"/>
    <mergeCell ref="H57:I57"/>
    <mergeCell ref="J57:K57"/>
    <mergeCell ref="A32:K32"/>
    <mergeCell ref="A36:K36"/>
    <mergeCell ref="A38:K38"/>
    <mergeCell ref="H46:I46"/>
    <mergeCell ref="J46:K46"/>
    <mergeCell ref="H47:I47"/>
    <mergeCell ref="J47:K47"/>
    <mergeCell ref="H69:I69"/>
    <mergeCell ref="J69:K69"/>
    <mergeCell ref="H78:I78"/>
    <mergeCell ref="J78:K78"/>
    <mergeCell ref="H79:I79"/>
    <mergeCell ref="J79:K79"/>
    <mergeCell ref="H58:I58"/>
    <mergeCell ref="J58:K58"/>
    <mergeCell ref="H67:I67"/>
    <mergeCell ref="J67:K67"/>
    <mergeCell ref="H68:I68"/>
    <mergeCell ref="J68:K68"/>
    <mergeCell ref="H91:I91"/>
    <mergeCell ref="J91:K91"/>
    <mergeCell ref="H101:I101"/>
    <mergeCell ref="J101:K101"/>
    <mergeCell ref="H102:I102"/>
    <mergeCell ref="J102:K102"/>
    <mergeCell ref="H80:I80"/>
    <mergeCell ref="J80:K80"/>
    <mergeCell ref="H89:I89"/>
    <mergeCell ref="J89:K89"/>
    <mergeCell ref="H90:I90"/>
    <mergeCell ref="J90:K90"/>
    <mergeCell ref="H113:I113"/>
    <mergeCell ref="J113:K113"/>
    <mergeCell ref="H121:I121"/>
    <mergeCell ref="J121:K121"/>
    <mergeCell ref="H122:I122"/>
    <mergeCell ref="J122:K122"/>
    <mergeCell ref="H103:I103"/>
    <mergeCell ref="J103:K103"/>
    <mergeCell ref="H111:I111"/>
    <mergeCell ref="J111:K111"/>
    <mergeCell ref="H112:I112"/>
    <mergeCell ref="J112:K112"/>
    <mergeCell ref="A149:G149"/>
    <mergeCell ref="A153:K153"/>
    <mergeCell ref="H134:I134"/>
    <mergeCell ref="J134:K134"/>
    <mergeCell ref="H144:I144"/>
    <mergeCell ref="J144:K144"/>
    <mergeCell ref="H145:I145"/>
    <mergeCell ref="J145:K145"/>
    <mergeCell ref="H123:I123"/>
    <mergeCell ref="J123:K123"/>
    <mergeCell ref="H132:I132"/>
    <mergeCell ref="J132:K132"/>
    <mergeCell ref="H133:I133"/>
    <mergeCell ref="J133:K133"/>
    <mergeCell ref="H162:I162"/>
    <mergeCell ref="J162:K162"/>
    <mergeCell ref="H163:I163"/>
    <mergeCell ref="J163:K163"/>
    <mergeCell ref="H164:I164"/>
    <mergeCell ref="J164:K164"/>
    <mergeCell ref="H146:I146"/>
    <mergeCell ref="J146:K146"/>
    <mergeCell ref="J149:K149"/>
    <mergeCell ref="H149:I149"/>
    <mergeCell ref="H178:I178"/>
    <mergeCell ref="J178:K178"/>
    <mergeCell ref="H181:I181"/>
    <mergeCell ref="J181:K181"/>
    <mergeCell ref="H191:I191"/>
    <mergeCell ref="J191:K191"/>
    <mergeCell ref="H167:I167"/>
    <mergeCell ref="J167:K167"/>
    <mergeCell ref="H176:I176"/>
    <mergeCell ref="J176:K176"/>
    <mergeCell ref="H177:I177"/>
    <mergeCell ref="J177:K177"/>
    <mergeCell ref="H206:I206"/>
    <mergeCell ref="J206:K206"/>
    <mergeCell ref="H207:I207"/>
    <mergeCell ref="J207:K207"/>
    <mergeCell ref="H208:I208"/>
    <mergeCell ref="J208:K208"/>
    <mergeCell ref="H192:I192"/>
    <mergeCell ref="J192:K192"/>
    <mergeCell ref="H193:I193"/>
    <mergeCell ref="J193:K193"/>
    <mergeCell ref="H196:I196"/>
    <mergeCell ref="J196:K196"/>
    <mergeCell ref="H223:I223"/>
    <mergeCell ref="J223:K223"/>
    <mergeCell ref="H226:I226"/>
    <mergeCell ref="J226:K226"/>
    <mergeCell ref="H229:I229"/>
    <mergeCell ref="J229:K229"/>
    <mergeCell ref="H211:I211"/>
    <mergeCell ref="J211:K211"/>
    <mergeCell ref="H221:I221"/>
    <mergeCell ref="J221:K221"/>
    <mergeCell ref="H222:I222"/>
    <mergeCell ref="J222:K222"/>
    <mergeCell ref="A238:G238"/>
    <mergeCell ref="A242:K242"/>
    <mergeCell ref="H252:I252"/>
    <mergeCell ref="J252:K252"/>
    <mergeCell ref="H253:I253"/>
    <mergeCell ref="J253:K253"/>
    <mergeCell ref="H232:I232"/>
    <mergeCell ref="J232:K232"/>
    <mergeCell ref="H235:I235"/>
    <mergeCell ref="J235:K235"/>
    <mergeCell ref="J238:K238"/>
    <mergeCell ref="H238:I238"/>
    <mergeCell ref="H263:I263"/>
    <mergeCell ref="J263:K263"/>
    <mergeCell ref="H266:I266"/>
    <mergeCell ref="J266:K266"/>
    <mergeCell ref="H269:I269"/>
    <mergeCell ref="J269:K269"/>
    <mergeCell ref="H254:I254"/>
    <mergeCell ref="J254:K254"/>
    <mergeCell ref="H257:I257"/>
    <mergeCell ref="J257:K257"/>
    <mergeCell ref="H260:I260"/>
    <mergeCell ref="J260:K260"/>
    <mergeCell ref="H288:I288"/>
    <mergeCell ref="J288:K288"/>
    <mergeCell ref="H289:I289"/>
    <mergeCell ref="J289:K289"/>
    <mergeCell ref="H290:I290"/>
    <mergeCell ref="J290:K290"/>
    <mergeCell ref="H272:I272"/>
    <mergeCell ref="J272:K272"/>
    <mergeCell ref="H275:I275"/>
    <mergeCell ref="J275:K275"/>
    <mergeCell ref="H278:I278"/>
    <mergeCell ref="J278:K278"/>
    <mergeCell ref="H305:I305"/>
    <mergeCell ref="J305:K305"/>
    <mergeCell ref="H308:I308"/>
    <mergeCell ref="J308:K308"/>
    <mergeCell ref="H318:I318"/>
    <mergeCell ref="J318:K318"/>
    <mergeCell ref="H293:I293"/>
    <mergeCell ref="J293:K293"/>
    <mergeCell ref="H303:I303"/>
    <mergeCell ref="J303:K303"/>
    <mergeCell ref="H304:I304"/>
    <mergeCell ref="J304:K304"/>
    <mergeCell ref="H332:I332"/>
    <mergeCell ref="J332:K332"/>
    <mergeCell ref="H333:I333"/>
    <mergeCell ref="J333:K333"/>
    <mergeCell ref="H334:I334"/>
    <mergeCell ref="J334:K334"/>
    <mergeCell ref="H319:I319"/>
    <mergeCell ref="J319:K319"/>
    <mergeCell ref="H320:I320"/>
    <mergeCell ref="J320:K320"/>
    <mergeCell ref="H323:I323"/>
    <mergeCell ref="J323:K323"/>
    <mergeCell ref="H351:I351"/>
    <mergeCell ref="J351:K351"/>
    <mergeCell ref="H352:I352"/>
    <mergeCell ref="J352:K352"/>
    <mergeCell ref="H355:I355"/>
    <mergeCell ref="J355:K355"/>
    <mergeCell ref="H337:I337"/>
    <mergeCell ref="J337:K337"/>
    <mergeCell ref="H340:I340"/>
    <mergeCell ref="J340:K340"/>
    <mergeCell ref="H350:I350"/>
    <mergeCell ref="J350:K350"/>
    <mergeCell ref="H369:I369"/>
    <mergeCell ref="J369:K369"/>
    <mergeCell ref="J372:K372"/>
    <mergeCell ref="H372:I372"/>
    <mergeCell ref="A372:G372"/>
    <mergeCell ref="A376:K376"/>
    <mergeCell ref="H364:I364"/>
    <mergeCell ref="J364:K364"/>
    <mergeCell ref="H365:I365"/>
    <mergeCell ref="J365:K365"/>
    <mergeCell ref="H366:I366"/>
    <mergeCell ref="J366:K366"/>
    <mergeCell ref="H391:I391"/>
    <mergeCell ref="J391:K391"/>
    <mergeCell ref="H394:I394"/>
    <mergeCell ref="J394:K394"/>
    <mergeCell ref="H398:I398"/>
    <mergeCell ref="J398:K398"/>
    <mergeCell ref="H385:I385"/>
    <mergeCell ref="J385:K385"/>
    <mergeCell ref="H386:I386"/>
    <mergeCell ref="J386:K386"/>
    <mergeCell ref="H387:I387"/>
    <mergeCell ref="J387:K387"/>
    <mergeCell ref="A407:G407"/>
    <mergeCell ref="A411:K411"/>
    <mergeCell ref="H420:I420"/>
    <mergeCell ref="J420:K420"/>
    <mergeCell ref="H421:I421"/>
    <mergeCell ref="J421:K421"/>
    <mergeCell ref="H401:I401"/>
    <mergeCell ref="J401:K401"/>
    <mergeCell ref="H404:I404"/>
    <mergeCell ref="J404:K404"/>
    <mergeCell ref="J407:K407"/>
    <mergeCell ref="H407:I407"/>
    <mergeCell ref="H431:I431"/>
    <mergeCell ref="J431:K431"/>
    <mergeCell ref="H434:I434"/>
    <mergeCell ref="J434:K434"/>
    <mergeCell ref="J437:K437"/>
    <mergeCell ref="H437:I437"/>
    <mergeCell ref="H422:I422"/>
    <mergeCell ref="J422:K422"/>
    <mergeCell ref="H425:I425"/>
    <mergeCell ref="J425:K425"/>
    <mergeCell ref="H428:I428"/>
    <mergeCell ref="J428:K428"/>
    <mergeCell ref="A450:B450"/>
    <mergeCell ref="H450:K450"/>
    <mergeCell ref="C451:G451"/>
    <mergeCell ref="A453:B453"/>
    <mergeCell ref="H453:K453"/>
    <mergeCell ref="C454:G454"/>
    <mergeCell ref="A437:G437"/>
    <mergeCell ref="J441:K441"/>
    <mergeCell ref="H441:I441"/>
    <mergeCell ref="A441:G441"/>
    <mergeCell ref="J445:K445"/>
    <mergeCell ref="H445:I445"/>
    <mergeCell ref="A445:G445"/>
  </mergeCells>
  <pageMargins left="0.4" right="0.2" top="0.2" bottom="0.4" header="0.2" footer="0.2"/>
  <pageSetup paperSize="9" scale="73" fitToHeight="0" orientation="portrait" r:id="rId1"/>
  <headerFooter>
    <oddHeader>&amp;L&amp;8</oddHeader>
    <oddFooter>&amp;R&amp;P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U436"/>
  <sheetViews>
    <sheetView workbookViewId="0">
      <selection activeCell="A432" sqref="A432:AX432"/>
    </sheetView>
  </sheetViews>
  <sheetFormatPr defaultColWidth="9.1796875" defaultRowHeight="12.5" x14ac:dyDescent="0.25"/>
  <cols>
    <col min="1" max="256" width="9.1796875" style="3" customWidth="1"/>
    <col min="257" max="16384" width="9.1796875" style="3"/>
  </cols>
  <sheetData>
    <row r="1" spans="1:133" x14ac:dyDescent="0.25">
      <c r="A1" s="3">
        <v>0</v>
      </c>
      <c r="B1" s="3" t="s">
        <v>0</v>
      </c>
      <c r="D1" s="3" t="s">
        <v>1</v>
      </c>
      <c r="F1" s="3">
        <v>0</v>
      </c>
      <c r="G1" s="3">
        <v>0</v>
      </c>
      <c r="H1" s="3">
        <v>0</v>
      </c>
      <c r="I1" s="3" t="s">
        <v>2</v>
      </c>
      <c r="J1" s="3" t="s">
        <v>3</v>
      </c>
      <c r="K1" s="3">
        <v>1</v>
      </c>
      <c r="L1" s="3">
        <v>74599</v>
      </c>
      <c r="M1" s="3">
        <v>10</v>
      </c>
      <c r="N1" s="3">
        <v>12</v>
      </c>
      <c r="O1" s="3">
        <v>1</v>
      </c>
      <c r="P1" s="3">
        <v>0</v>
      </c>
      <c r="Q1" s="3">
        <v>5</v>
      </c>
    </row>
    <row r="4" spans="1:133" ht="13" x14ac:dyDescent="0.3">
      <c r="A4" s="10">
        <v>1</v>
      </c>
      <c r="B4" s="10">
        <v>1</v>
      </c>
      <c r="C4" s="10">
        <v>-1</v>
      </c>
      <c r="D4" s="10"/>
      <c r="E4" s="10"/>
      <c r="F4" s="10"/>
      <c r="G4" s="10" t="s">
        <v>4</v>
      </c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0"/>
      <c r="AI4" s="10"/>
      <c r="AJ4" s="10"/>
      <c r="AK4" s="10"/>
      <c r="AL4" s="10"/>
      <c r="AM4" s="10"/>
      <c r="AN4" s="10"/>
      <c r="AO4" s="10"/>
      <c r="AP4" s="10"/>
      <c r="AQ4" s="10"/>
      <c r="AR4" s="10"/>
      <c r="AS4" s="10"/>
      <c r="AT4" s="10"/>
      <c r="AU4" s="10"/>
      <c r="AV4" s="10"/>
      <c r="AW4" s="10"/>
      <c r="AX4" s="10"/>
      <c r="AY4" s="10"/>
      <c r="AZ4" s="10"/>
      <c r="BA4" s="10"/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0"/>
      <c r="BO4" s="10"/>
      <c r="BP4" s="10"/>
      <c r="BQ4" s="10"/>
      <c r="BR4" s="10"/>
      <c r="BS4" s="10"/>
      <c r="BT4" s="10"/>
      <c r="BU4" s="10"/>
      <c r="BV4" s="10"/>
      <c r="BW4" s="10"/>
      <c r="BX4" s="10"/>
      <c r="BY4" s="10"/>
      <c r="BZ4" s="10"/>
      <c r="CA4" s="10"/>
      <c r="CB4" s="10"/>
      <c r="CC4" s="10"/>
      <c r="CD4" s="10"/>
      <c r="CE4" s="10"/>
      <c r="CF4" s="10"/>
      <c r="CG4" s="10"/>
      <c r="CH4" s="10"/>
      <c r="CI4" s="10"/>
      <c r="CJ4" s="10"/>
      <c r="CK4" s="10"/>
      <c r="CL4" s="10"/>
      <c r="CM4" s="10"/>
      <c r="CN4" s="10"/>
      <c r="CO4" s="10"/>
      <c r="CP4" s="10"/>
      <c r="CQ4" s="10"/>
      <c r="CR4" s="10"/>
      <c r="CS4" s="10"/>
      <c r="CT4" s="10"/>
      <c r="CU4" s="10"/>
      <c r="CV4" s="10"/>
      <c r="CW4" s="10"/>
      <c r="CX4" s="10"/>
      <c r="CY4" s="10"/>
      <c r="CZ4" s="10"/>
      <c r="DA4" s="10"/>
      <c r="DB4" s="10"/>
      <c r="DC4" s="10"/>
      <c r="DD4" s="10"/>
      <c r="DE4" s="10"/>
      <c r="DF4" s="10"/>
      <c r="DG4" s="10"/>
      <c r="DH4" s="10"/>
      <c r="DI4" s="10"/>
      <c r="DJ4" s="10"/>
      <c r="DK4" s="10"/>
      <c r="DL4" s="10"/>
      <c r="DM4" s="10"/>
      <c r="DN4" s="10"/>
      <c r="DO4" s="10"/>
      <c r="DP4" s="10"/>
      <c r="DQ4" s="10"/>
      <c r="DR4" s="10"/>
      <c r="DS4" s="10"/>
      <c r="DT4" s="10"/>
      <c r="DU4" s="10"/>
      <c r="DV4" s="10"/>
      <c r="DW4" s="10"/>
      <c r="DX4" s="10"/>
      <c r="DY4" s="10"/>
      <c r="DZ4" s="10"/>
      <c r="EA4" s="10"/>
      <c r="EB4" s="10"/>
      <c r="EC4" s="10">
        <v>0</v>
      </c>
    </row>
    <row r="5" spans="1:133" ht="13" x14ac:dyDescent="0.3">
      <c r="A5" s="10">
        <v>8</v>
      </c>
      <c r="B5" s="10">
        <v>1</v>
      </c>
      <c r="C5" s="10">
        <v>-1</v>
      </c>
      <c r="D5" s="10"/>
      <c r="E5" s="10"/>
      <c r="F5" s="10"/>
      <c r="G5" s="10" t="s">
        <v>4</v>
      </c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  <c r="AG5" s="10"/>
      <c r="AH5" s="10"/>
      <c r="AI5" s="10"/>
      <c r="AJ5" s="10"/>
      <c r="AK5" s="10"/>
      <c r="AL5" s="10"/>
      <c r="AM5" s="10"/>
      <c r="AN5" s="10"/>
      <c r="AO5" s="10"/>
      <c r="AP5" s="10"/>
      <c r="AQ5" s="10"/>
      <c r="AR5" s="10"/>
      <c r="AS5" s="10"/>
      <c r="AT5" s="10"/>
      <c r="AU5" s="10"/>
      <c r="AV5" s="10"/>
      <c r="AW5" s="10"/>
      <c r="AX5" s="10"/>
      <c r="AY5" s="10"/>
      <c r="AZ5" s="10"/>
      <c r="BA5" s="10"/>
      <c r="BB5" s="10"/>
      <c r="BC5" s="10"/>
      <c r="BD5" s="10"/>
      <c r="BE5" s="10"/>
      <c r="BF5" s="10"/>
      <c r="BG5" s="10"/>
      <c r="BH5" s="10"/>
      <c r="BI5" s="10"/>
      <c r="BJ5" s="10"/>
      <c r="BK5" s="10"/>
      <c r="BL5" s="10"/>
      <c r="BM5" s="10"/>
      <c r="BN5" s="10"/>
      <c r="BO5" s="10"/>
      <c r="BP5" s="10"/>
      <c r="BQ5" s="10"/>
      <c r="BR5" s="10"/>
      <c r="BS5" s="10"/>
      <c r="BT5" s="10"/>
      <c r="BU5" s="10"/>
      <c r="BV5" s="10"/>
      <c r="BW5" s="10"/>
      <c r="BX5" s="10"/>
      <c r="BY5" s="10"/>
      <c r="BZ5" s="10"/>
      <c r="CA5" s="10"/>
      <c r="CB5" s="10"/>
      <c r="CC5" s="10"/>
      <c r="CD5" s="10"/>
      <c r="CE5" s="10"/>
      <c r="CF5" s="10"/>
      <c r="CG5" s="10"/>
      <c r="CH5" s="10"/>
      <c r="CI5" s="10"/>
      <c r="CJ5" s="10"/>
      <c r="CK5" s="10"/>
      <c r="CL5" s="10"/>
      <c r="CM5" s="10"/>
      <c r="CN5" s="10"/>
      <c r="CO5" s="10"/>
      <c r="CP5" s="10"/>
      <c r="CQ5" s="10"/>
      <c r="CR5" s="10"/>
      <c r="CS5" s="10"/>
      <c r="CT5" s="10"/>
      <c r="CU5" s="10"/>
      <c r="CV5" s="10"/>
      <c r="CW5" s="10"/>
      <c r="CX5" s="10"/>
      <c r="CY5" s="10"/>
      <c r="CZ5" s="10"/>
      <c r="DA5" s="10"/>
      <c r="DB5" s="10"/>
      <c r="DC5" s="10"/>
      <c r="DD5" s="10"/>
      <c r="DE5" s="10"/>
      <c r="DF5" s="10"/>
      <c r="DG5" s="10"/>
      <c r="DH5" s="10"/>
      <c r="DI5" s="10"/>
      <c r="DJ5" s="10"/>
      <c r="DK5" s="10"/>
      <c r="DL5" s="10"/>
      <c r="DM5" s="10"/>
      <c r="DN5" s="10"/>
      <c r="DO5" s="10"/>
      <c r="DP5" s="10"/>
      <c r="DQ5" s="10"/>
      <c r="DR5" s="10"/>
      <c r="DS5" s="10"/>
      <c r="DT5" s="10"/>
      <c r="DU5" s="10"/>
      <c r="DV5" s="10"/>
      <c r="DW5" s="10"/>
      <c r="DX5" s="10"/>
      <c r="DY5" s="10"/>
      <c r="DZ5" s="10"/>
      <c r="EA5" s="10"/>
      <c r="EB5" s="10"/>
      <c r="EC5" s="10">
        <v>0</v>
      </c>
    </row>
    <row r="12" spans="1:133" ht="13" x14ac:dyDescent="0.3">
      <c r="A12" s="10">
        <v>1</v>
      </c>
      <c r="B12" s="10">
        <v>428</v>
      </c>
      <c r="C12" s="10">
        <v>0</v>
      </c>
      <c r="D12" s="10">
        <f>ROW(A389)</f>
        <v>389</v>
      </c>
      <c r="E12" s="10">
        <v>0</v>
      </c>
      <c r="F12" s="10" t="s">
        <v>5</v>
      </c>
      <c r="G12" s="10" t="s">
        <v>6</v>
      </c>
      <c r="H12" s="10" t="s">
        <v>3</v>
      </c>
      <c r="I12" s="10">
        <v>0</v>
      </c>
      <c r="J12" s="10" t="s">
        <v>7</v>
      </c>
      <c r="K12" s="10">
        <v>0</v>
      </c>
      <c r="L12" s="10">
        <v>0</v>
      </c>
      <c r="M12" s="10">
        <v>4098</v>
      </c>
      <c r="N12" s="10"/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1</v>
      </c>
      <c r="U12" s="10" t="s">
        <v>3</v>
      </c>
      <c r="V12" s="10">
        <v>2</v>
      </c>
      <c r="W12" s="10" t="s">
        <v>3</v>
      </c>
      <c r="X12" s="10" t="s">
        <v>3</v>
      </c>
      <c r="Y12" s="10" t="s">
        <v>3</v>
      </c>
      <c r="Z12" s="10" t="s">
        <v>3</v>
      </c>
      <c r="AA12" s="10" t="s">
        <v>3</v>
      </c>
      <c r="AB12" s="10" t="s">
        <v>8</v>
      </c>
      <c r="AC12" s="10" t="s">
        <v>9</v>
      </c>
      <c r="AD12" s="10" t="s">
        <v>10</v>
      </c>
      <c r="AE12" s="10" t="s">
        <v>11</v>
      </c>
      <c r="AF12" s="10" t="s">
        <v>3</v>
      </c>
      <c r="AG12" s="10" t="s">
        <v>3</v>
      </c>
      <c r="AH12" s="10" t="s">
        <v>3</v>
      </c>
      <c r="AI12" s="10" t="s">
        <v>3</v>
      </c>
      <c r="AJ12" s="10" t="s">
        <v>3</v>
      </c>
      <c r="AK12" s="10"/>
      <c r="AL12" s="10" t="s">
        <v>3</v>
      </c>
      <c r="AM12" s="10" t="s">
        <v>3</v>
      </c>
      <c r="AN12" s="10" t="s">
        <v>3</v>
      </c>
      <c r="AO12" s="10"/>
      <c r="AP12" s="10" t="s">
        <v>3</v>
      </c>
      <c r="AQ12" s="10" t="s">
        <v>3</v>
      </c>
      <c r="AR12" s="10" t="s">
        <v>3</v>
      </c>
      <c r="AS12" s="10"/>
      <c r="AT12" s="10"/>
      <c r="AU12" s="10"/>
      <c r="AV12" s="10"/>
      <c r="AW12" s="10"/>
      <c r="AX12" s="10" t="s">
        <v>3</v>
      </c>
      <c r="AY12" s="10" t="s">
        <v>3</v>
      </c>
      <c r="AZ12" s="10" t="s">
        <v>3</v>
      </c>
      <c r="BA12" s="10"/>
      <c r="BB12" s="10">
        <v>0</v>
      </c>
      <c r="BC12" s="10"/>
      <c r="BD12" s="10"/>
      <c r="BE12" s="10"/>
      <c r="BF12" s="10"/>
      <c r="BG12" s="10"/>
      <c r="BH12" s="10" t="s">
        <v>12</v>
      </c>
      <c r="BI12" s="10" t="s">
        <v>13</v>
      </c>
      <c r="BJ12" s="10">
        <v>1</v>
      </c>
      <c r="BK12" s="10">
        <v>1</v>
      </c>
      <c r="BL12" s="10">
        <v>0</v>
      </c>
      <c r="BM12" s="10">
        <v>0</v>
      </c>
      <c r="BN12" s="10">
        <v>1</v>
      </c>
      <c r="BO12" s="10">
        <v>0</v>
      </c>
      <c r="BP12" s="10">
        <v>6</v>
      </c>
      <c r="BQ12" s="10">
        <v>2</v>
      </c>
      <c r="BR12" s="10">
        <v>1</v>
      </c>
      <c r="BS12" s="10">
        <v>1</v>
      </c>
      <c r="BT12" s="10">
        <v>0</v>
      </c>
      <c r="BU12" s="10">
        <v>0</v>
      </c>
      <c r="BV12" s="10">
        <v>0</v>
      </c>
      <c r="BW12" s="10">
        <v>0</v>
      </c>
      <c r="BX12" s="10">
        <v>0</v>
      </c>
      <c r="BY12" s="10" t="s">
        <v>14</v>
      </c>
      <c r="BZ12" s="10" t="s">
        <v>15</v>
      </c>
      <c r="CA12" s="10" t="s">
        <v>16</v>
      </c>
      <c r="CB12" s="10" t="s">
        <v>16</v>
      </c>
      <c r="CC12" s="10" t="s">
        <v>16</v>
      </c>
      <c r="CD12" s="10" t="s">
        <v>16</v>
      </c>
      <c r="CE12" s="10" t="s">
        <v>17</v>
      </c>
      <c r="CF12" s="10">
        <v>0</v>
      </c>
      <c r="CG12" s="10">
        <v>0</v>
      </c>
      <c r="CH12" s="10">
        <v>8200</v>
      </c>
      <c r="CI12" s="10" t="s">
        <v>3</v>
      </c>
      <c r="CJ12" s="10" t="s">
        <v>3</v>
      </c>
      <c r="CK12" s="10">
        <v>82</v>
      </c>
      <c r="CL12" s="10"/>
      <c r="CM12" s="10"/>
      <c r="CN12" s="10"/>
      <c r="CO12" s="10"/>
      <c r="CP12" s="10"/>
      <c r="CQ12" s="10" t="s">
        <v>18</v>
      </c>
      <c r="CR12" s="10" t="s">
        <v>19</v>
      </c>
      <c r="CS12" s="10">
        <v>41660</v>
      </c>
      <c r="CT12" s="10">
        <v>1</v>
      </c>
      <c r="CU12" s="10">
        <v>81</v>
      </c>
      <c r="CV12" s="10"/>
      <c r="CW12" s="10"/>
      <c r="CX12" s="10"/>
      <c r="CY12" s="10">
        <v>0</v>
      </c>
      <c r="CZ12" s="10" t="s">
        <v>3</v>
      </c>
      <c r="DA12" s="10" t="s">
        <v>3</v>
      </c>
      <c r="DB12" s="10"/>
      <c r="DC12" s="10"/>
      <c r="DD12" s="10"/>
      <c r="DE12" s="10"/>
      <c r="DF12" s="10"/>
      <c r="DG12" s="10"/>
      <c r="DH12" s="10"/>
      <c r="DI12" s="10"/>
      <c r="DJ12" s="10"/>
      <c r="DK12" s="10"/>
      <c r="DL12" s="10"/>
      <c r="DM12" s="10"/>
      <c r="DN12" s="10"/>
      <c r="DO12" s="10"/>
      <c r="DP12" s="10"/>
      <c r="DQ12" s="10"/>
      <c r="DR12" s="10"/>
      <c r="DS12" s="10"/>
      <c r="DT12" s="10"/>
      <c r="DU12" s="10"/>
      <c r="DV12" s="10"/>
      <c r="DW12" s="10"/>
      <c r="DX12" s="10"/>
      <c r="DY12" s="10"/>
      <c r="DZ12" s="10"/>
      <c r="EA12" s="10"/>
      <c r="EB12" s="10"/>
      <c r="EC12" s="10">
        <v>0</v>
      </c>
    </row>
    <row r="15" spans="1:133" ht="13" x14ac:dyDescent="0.3">
      <c r="A15" s="10">
        <v>15</v>
      </c>
      <c r="B15" s="10">
        <v>1</v>
      </c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0"/>
      <c r="AV15" s="10"/>
      <c r="AW15" s="10"/>
      <c r="AX15" s="10"/>
      <c r="AY15" s="10"/>
      <c r="AZ15" s="10"/>
      <c r="BA15" s="10"/>
      <c r="BB15" s="10"/>
      <c r="BC15" s="10"/>
      <c r="BD15" s="10"/>
      <c r="BE15" s="10"/>
      <c r="BF15" s="10"/>
      <c r="BG15" s="10"/>
      <c r="BH15" s="10"/>
      <c r="BI15" s="10"/>
      <c r="BJ15" s="10"/>
      <c r="BK15" s="10"/>
      <c r="BL15" s="10"/>
      <c r="BM15" s="10"/>
      <c r="BN15" s="10"/>
      <c r="BO15" s="10"/>
      <c r="BP15" s="10"/>
      <c r="BQ15" s="10"/>
      <c r="BR15" s="10"/>
      <c r="BS15" s="10"/>
      <c r="BT15" s="10"/>
      <c r="BU15" s="10"/>
      <c r="BV15" s="10"/>
      <c r="BW15" s="10"/>
      <c r="BX15" s="10"/>
      <c r="BY15" s="10"/>
      <c r="BZ15" s="10"/>
      <c r="CA15" s="10"/>
      <c r="CB15" s="10"/>
      <c r="CC15" s="10"/>
      <c r="CD15" s="10"/>
      <c r="CE15" s="10"/>
      <c r="CF15" s="10"/>
      <c r="CG15" s="10"/>
      <c r="CH15" s="10"/>
      <c r="CI15" s="10"/>
      <c r="CJ15" s="10"/>
      <c r="CK15" s="10"/>
      <c r="CL15" s="10"/>
      <c r="CM15" s="10"/>
      <c r="CN15" s="10"/>
      <c r="CO15" s="10"/>
      <c r="CP15" s="10"/>
      <c r="CQ15" s="10"/>
      <c r="CR15" s="10"/>
      <c r="CS15" s="10"/>
      <c r="CT15" s="10"/>
      <c r="CU15" s="10"/>
      <c r="CV15" s="10"/>
      <c r="CW15" s="10"/>
      <c r="CX15" s="10"/>
      <c r="CY15" s="10"/>
      <c r="CZ15" s="10"/>
      <c r="DA15" s="10"/>
      <c r="DB15" s="10"/>
      <c r="DC15" s="10"/>
      <c r="DD15" s="10"/>
      <c r="DE15" s="10"/>
      <c r="DF15" s="10"/>
      <c r="DG15" s="10"/>
      <c r="DH15" s="10"/>
      <c r="DI15" s="10"/>
      <c r="DJ15" s="10"/>
      <c r="DK15" s="10"/>
      <c r="DL15" s="10"/>
      <c r="DM15" s="10"/>
      <c r="DN15" s="10"/>
      <c r="DO15" s="10"/>
      <c r="DP15" s="10"/>
      <c r="DQ15" s="10"/>
      <c r="DR15" s="10"/>
      <c r="DS15" s="10"/>
      <c r="DT15" s="10"/>
      <c r="DU15" s="10"/>
      <c r="DV15" s="10"/>
      <c r="DW15" s="10"/>
      <c r="DX15" s="10"/>
      <c r="DY15" s="10"/>
      <c r="DZ15" s="10"/>
      <c r="EA15" s="10"/>
      <c r="EB15" s="10"/>
      <c r="EC15" s="10"/>
    </row>
    <row r="18" spans="1:255" ht="13" x14ac:dyDescent="0.3">
      <c r="A18" s="11">
        <v>52</v>
      </c>
      <c r="B18" s="11">
        <f t="shared" ref="B18:G18" si="0">B389</f>
        <v>428</v>
      </c>
      <c r="C18" s="11">
        <f t="shared" si="0"/>
        <v>1</v>
      </c>
      <c r="D18" s="11">
        <f t="shared" si="0"/>
        <v>12</v>
      </c>
      <c r="E18" s="11">
        <f t="shared" si="0"/>
        <v>0</v>
      </c>
      <c r="F18" s="11" t="str">
        <f t="shared" si="0"/>
        <v>02-01-09</v>
      </c>
      <c r="G18" s="11" t="str">
        <f t="shared" si="0"/>
        <v>02-01-09 СОУЭ 20.07</v>
      </c>
      <c r="H18" s="11"/>
      <c r="I18" s="11"/>
      <c r="J18" s="11"/>
      <c r="K18" s="11"/>
      <c r="L18" s="11"/>
      <c r="M18" s="11"/>
      <c r="N18" s="11"/>
      <c r="O18" s="11">
        <f t="shared" ref="O18:AT18" si="1">O389</f>
        <v>352494.46</v>
      </c>
      <c r="P18" s="11">
        <f t="shared" si="1"/>
        <v>309995.38</v>
      </c>
      <c r="Q18" s="11">
        <f t="shared" si="1"/>
        <v>857.25</v>
      </c>
      <c r="R18" s="11">
        <f t="shared" si="1"/>
        <v>37.51</v>
      </c>
      <c r="S18" s="11">
        <f t="shared" si="1"/>
        <v>41641.83</v>
      </c>
      <c r="T18" s="11">
        <f t="shared" si="1"/>
        <v>0</v>
      </c>
      <c r="U18" s="11">
        <f t="shared" si="1"/>
        <v>3479.8297069199998</v>
      </c>
      <c r="V18" s="11">
        <f t="shared" si="1"/>
        <v>0</v>
      </c>
      <c r="W18" s="11">
        <f t="shared" si="1"/>
        <v>0</v>
      </c>
      <c r="X18" s="11">
        <f t="shared" si="1"/>
        <v>37982.15</v>
      </c>
      <c r="Y18" s="11">
        <f t="shared" si="1"/>
        <v>19757.62</v>
      </c>
      <c r="Z18" s="11">
        <f t="shared" si="1"/>
        <v>0</v>
      </c>
      <c r="AA18" s="11">
        <f t="shared" si="1"/>
        <v>0</v>
      </c>
      <c r="AB18" s="11">
        <f t="shared" si="1"/>
        <v>0</v>
      </c>
      <c r="AC18" s="11">
        <f t="shared" si="1"/>
        <v>0</v>
      </c>
      <c r="AD18" s="11">
        <f t="shared" si="1"/>
        <v>0</v>
      </c>
      <c r="AE18" s="11">
        <f t="shared" si="1"/>
        <v>0</v>
      </c>
      <c r="AF18" s="11">
        <f t="shared" si="1"/>
        <v>0</v>
      </c>
      <c r="AG18" s="11">
        <f t="shared" si="1"/>
        <v>0</v>
      </c>
      <c r="AH18" s="11">
        <f t="shared" si="1"/>
        <v>0</v>
      </c>
      <c r="AI18" s="11">
        <f t="shared" si="1"/>
        <v>0</v>
      </c>
      <c r="AJ18" s="11">
        <f t="shared" si="1"/>
        <v>0</v>
      </c>
      <c r="AK18" s="11">
        <f t="shared" si="1"/>
        <v>0</v>
      </c>
      <c r="AL18" s="11">
        <f t="shared" si="1"/>
        <v>0</v>
      </c>
      <c r="AM18" s="11">
        <f t="shared" si="1"/>
        <v>0</v>
      </c>
      <c r="AN18" s="11">
        <f t="shared" si="1"/>
        <v>0</v>
      </c>
      <c r="AO18" s="11">
        <f t="shared" si="1"/>
        <v>0</v>
      </c>
      <c r="AP18" s="11">
        <f t="shared" si="1"/>
        <v>176513.96</v>
      </c>
      <c r="AQ18" s="11">
        <f t="shared" si="1"/>
        <v>0</v>
      </c>
      <c r="AR18" s="11">
        <f t="shared" si="1"/>
        <v>410234.23</v>
      </c>
      <c r="AS18" s="11">
        <f t="shared" si="1"/>
        <v>880.07</v>
      </c>
      <c r="AT18" s="11">
        <f t="shared" si="1"/>
        <v>232840.2</v>
      </c>
      <c r="AU18" s="11">
        <f t="shared" ref="AU18:BZ18" si="2">AU389</f>
        <v>0</v>
      </c>
      <c r="AV18" s="11">
        <f t="shared" si="2"/>
        <v>309995.38</v>
      </c>
      <c r="AW18" s="11">
        <f t="shared" si="2"/>
        <v>133481.42000000001</v>
      </c>
      <c r="AX18" s="11">
        <f t="shared" si="2"/>
        <v>0</v>
      </c>
      <c r="AY18" s="11">
        <f t="shared" si="2"/>
        <v>133481.42000000001</v>
      </c>
      <c r="AZ18" s="11">
        <f t="shared" si="2"/>
        <v>176513.96</v>
      </c>
      <c r="BA18" s="11">
        <f t="shared" si="2"/>
        <v>0</v>
      </c>
      <c r="BB18" s="11">
        <f t="shared" si="2"/>
        <v>0</v>
      </c>
      <c r="BC18" s="11">
        <f t="shared" si="2"/>
        <v>0</v>
      </c>
      <c r="BD18" s="11">
        <f t="shared" si="2"/>
        <v>0</v>
      </c>
      <c r="BE18" s="11">
        <f t="shared" si="2"/>
        <v>0</v>
      </c>
      <c r="BF18" s="11">
        <f t="shared" si="2"/>
        <v>0</v>
      </c>
      <c r="BG18" s="11">
        <f t="shared" si="2"/>
        <v>0</v>
      </c>
      <c r="BH18" s="11">
        <f t="shared" si="2"/>
        <v>0</v>
      </c>
      <c r="BI18" s="11">
        <f t="shared" si="2"/>
        <v>0</v>
      </c>
      <c r="BJ18" s="11">
        <f t="shared" si="2"/>
        <v>0</v>
      </c>
      <c r="BK18" s="11">
        <f t="shared" si="2"/>
        <v>0</v>
      </c>
      <c r="BL18" s="11">
        <f t="shared" si="2"/>
        <v>0</v>
      </c>
      <c r="BM18" s="11">
        <f t="shared" si="2"/>
        <v>0</v>
      </c>
      <c r="BN18" s="11">
        <f t="shared" si="2"/>
        <v>0</v>
      </c>
      <c r="BO18" s="11">
        <f t="shared" si="2"/>
        <v>0</v>
      </c>
      <c r="BP18" s="11">
        <f t="shared" si="2"/>
        <v>0</v>
      </c>
      <c r="BQ18" s="11">
        <f t="shared" si="2"/>
        <v>0</v>
      </c>
      <c r="BR18" s="11">
        <f t="shared" si="2"/>
        <v>0</v>
      </c>
      <c r="BS18" s="11">
        <f t="shared" si="2"/>
        <v>0</v>
      </c>
      <c r="BT18" s="11">
        <f t="shared" si="2"/>
        <v>0</v>
      </c>
      <c r="BU18" s="11">
        <f t="shared" si="2"/>
        <v>0</v>
      </c>
      <c r="BV18" s="11">
        <f t="shared" si="2"/>
        <v>0</v>
      </c>
      <c r="BW18" s="11">
        <f t="shared" si="2"/>
        <v>0</v>
      </c>
      <c r="BX18" s="11">
        <f t="shared" si="2"/>
        <v>0</v>
      </c>
      <c r="BY18" s="11">
        <f t="shared" si="2"/>
        <v>0</v>
      </c>
      <c r="BZ18" s="11">
        <f t="shared" si="2"/>
        <v>0</v>
      </c>
      <c r="CA18" s="11">
        <f t="shared" ref="CA18:DF18" si="3">CA389</f>
        <v>0</v>
      </c>
      <c r="CB18" s="11">
        <f t="shared" si="3"/>
        <v>0</v>
      </c>
      <c r="CC18" s="11">
        <f t="shared" si="3"/>
        <v>0</v>
      </c>
      <c r="CD18" s="11">
        <f t="shared" si="3"/>
        <v>0</v>
      </c>
      <c r="CE18" s="11">
        <f t="shared" si="3"/>
        <v>0</v>
      </c>
      <c r="CF18" s="11">
        <f t="shared" si="3"/>
        <v>0</v>
      </c>
      <c r="CG18" s="11">
        <f t="shared" si="3"/>
        <v>0</v>
      </c>
      <c r="CH18" s="11">
        <f t="shared" si="3"/>
        <v>0</v>
      </c>
      <c r="CI18" s="11">
        <f t="shared" si="3"/>
        <v>0</v>
      </c>
      <c r="CJ18" s="11">
        <f t="shared" si="3"/>
        <v>0</v>
      </c>
      <c r="CK18" s="11">
        <f t="shared" si="3"/>
        <v>0</v>
      </c>
      <c r="CL18" s="11">
        <f t="shared" si="3"/>
        <v>0</v>
      </c>
      <c r="CM18" s="11">
        <f t="shared" si="3"/>
        <v>0</v>
      </c>
      <c r="CN18" s="11">
        <f t="shared" si="3"/>
        <v>0</v>
      </c>
      <c r="CO18" s="11">
        <f t="shared" si="3"/>
        <v>0</v>
      </c>
      <c r="CP18" s="11">
        <f t="shared" si="3"/>
        <v>0</v>
      </c>
      <c r="CQ18" s="11">
        <f t="shared" si="3"/>
        <v>0</v>
      </c>
      <c r="CR18" s="11">
        <f t="shared" si="3"/>
        <v>0</v>
      </c>
      <c r="CS18" s="11">
        <f t="shared" si="3"/>
        <v>0</v>
      </c>
      <c r="CT18" s="11">
        <f t="shared" si="3"/>
        <v>0</v>
      </c>
      <c r="CU18" s="11">
        <f t="shared" si="3"/>
        <v>0</v>
      </c>
      <c r="CV18" s="11">
        <f t="shared" si="3"/>
        <v>0</v>
      </c>
      <c r="CW18" s="11">
        <f t="shared" si="3"/>
        <v>0</v>
      </c>
      <c r="CX18" s="11">
        <f t="shared" si="3"/>
        <v>0</v>
      </c>
      <c r="CY18" s="11">
        <f t="shared" si="3"/>
        <v>0</v>
      </c>
      <c r="CZ18" s="11">
        <f t="shared" si="3"/>
        <v>0</v>
      </c>
      <c r="DA18" s="11">
        <f t="shared" si="3"/>
        <v>0</v>
      </c>
      <c r="DB18" s="11">
        <f t="shared" si="3"/>
        <v>0</v>
      </c>
      <c r="DC18" s="11">
        <f t="shared" si="3"/>
        <v>0</v>
      </c>
      <c r="DD18" s="11">
        <f t="shared" si="3"/>
        <v>0</v>
      </c>
      <c r="DE18" s="11">
        <f t="shared" si="3"/>
        <v>0</v>
      </c>
      <c r="DF18" s="11">
        <f t="shared" si="3"/>
        <v>0</v>
      </c>
      <c r="DG18" s="12">
        <f t="shared" ref="DG18:EL18" si="4">DG389</f>
        <v>5371197.4199999999</v>
      </c>
      <c r="DH18" s="12">
        <f t="shared" si="4"/>
        <v>3014364.79</v>
      </c>
      <c r="DI18" s="12">
        <f t="shared" si="4"/>
        <v>10315.51</v>
      </c>
      <c r="DJ18" s="12">
        <f t="shared" si="4"/>
        <v>2113.6799999999998</v>
      </c>
      <c r="DK18" s="12">
        <f t="shared" si="4"/>
        <v>2346517.12</v>
      </c>
      <c r="DL18" s="12">
        <f t="shared" si="4"/>
        <v>0</v>
      </c>
      <c r="DM18" s="12">
        <f t="shared" si="4"/>
        <v>3479.8297069199998</v>
      </c>
      <c r="DN18" s="12">
        <f t="shared" si="4"/>
        <v>0</v>
      </c>
      <c r="DO18" s="12">
        <f t="shared" si="4"/>
        <v>0</v>
      </c>
      <c r="DP18" s="12">
        <f t="shared" si="4"/>
        <v>2140293.7799999998</v>
      </c>
      <c r="DQ18" s="12">
        <f t="shared" si="4"/>
        <v>1113342.6399999999</v>
      </c>
      <c r="DR18" s="12">
        <f t="shared" si="4"/>
        <v>0</v>
      </c>
      <c r="DS18" s="12">
        <f t="shared" si="4"/>
        <v>0</v>
      </c>
      <c r="DT18" s="12">
        <f t="shared" si="4"/>
        <v>0</v>
      </c>
      <c r="DU18" s="12">
        <f t="shared" si="4"/>
        <v>0</v>
      </c>
      <c r="DV18" s="12">
        <f t="shared" si="4"/>
        <v>0</v>
      </c>
      <c r="DW18" s="12">
        <f t="shared" si="4"/>
        <v>0</v>
      </c>
      <c r="DX18" s="12">
        <f t="shared" si="4"/>
        <v>0</v>
      </c>
      <c r="DY18" s="12">
        <f t="shared" si="4"/>
        <v>0</v>
      </c>
      <c r="DZ18" s="12">
        <f t="shared" si="4"/>
        <v>0</v>
      </c>
      <c r="EA18" s="12">
        <f t="shared" si="4"/>
        <v>0</v>
      </c>
      <c r="EB18" s="12">
        <f t="shared" si="4"/>
        <v>0</v>
      </c>
      <c r="EC18" s="12">
        <f t="shared" si="4"/>
        <v>0</v>
      </c>
      <c r="ED18" s="12">
        <f t="shared" si="4"/>
        <v>0</v>
      </c>
      <c r="EE18" s="12">
        <f t="shared" si="4"/>
        <v>0</v>
      </c>
      <c r="EF18" s="12">
        <f t="shared" si="4"/>
        <v>0</v>
      </c>
      <c r="EG18" s="12">
        <f t="shared" si="4"/>
        <v>0</v>
      </c>
      <c r="EH18" s="12">
        <f t="shared" si="4"/>
        <v>1317644.1499999999</v>
      </c>
      <c r="EI18" s="12">
        <f t="shared" si="4"/>
        <v>0</v>
      </c>
      <c r="EJ18" s="12">
        <f t="shared" si="4"/>
        <v>8624833.8399999999</v>
      </c>
      <c r="EK18" s="12">
        <f t="shared" si="4"/>
        <v>12919.6</v>
      </c>
      <c r="EL18" s="12">
        <f t="shared" si="4"/>
        <v>7294270.0899999999</v>
      </c>
      <c r="EM18" s="12">
        <f t="shared" ref="EM18:FR18" si="5">EM389</f>
        <v>0</v>
      </c>
      <c r="EN18" s="12">
        <f t="shared" si="5"/>
        <v>3014364.79</v>
      </c>
      <c r="EO18" s="12">
        <f t="shared" si="5"/>
        <v>1696720.64</v>
      </c>
      <c r="EP18" s="12">
        <f t="shared" si="5"/>
        <v>0</v>
      </c>
      <c r="EQ18" s="12">
        <f t="shared" si="5"/>
        <v>1696720.64</v>
      </c>
      <c r="ER18" s="12">
        <f t="shared" si="5"/>
        <v>1317644.1499999999</v>
      </c>
      <c r="ES18" s="12">
        <f t="shared" si="5"/>
        <v>0</v>
      </c>
      <c r="ET18" s="12">
        <f t="shared" si="5"/>
        <v>0</v>
      </c>
      <c r="EU18" s="12">
        <f t="shared" si="5"/>
        <v>0</v>
      </c>
      <c r="EV18" s="12">
        <f t="shared" si="5"/>
        <v>0</v>
      </c>
      <c r="EW18" s="12">
        <f t="shared" si="5"/>
        <v>0</v>
      </c>
      <c r="EX18" s="12">
        <f t="shared" si="5"/>
        <v>0</v>
      </c>
      <c r="EY18" s="12">
        <f t="shared" si="5"/>
        <v>0</v>
      </c>
      <c r="EZ18" s="12">
        <f t="shared" si="5"/>
        <v>0</v>
      </c>
      <c r="FA18" s="12">
        <f t="shared" si="5"/>
        <v>0</v>
      </c>
      <c r="FB18" s="12">
        <f t="shared" si="5"/>
        <v>0</v>
      </c>
      <c r="FC18" s="12">
        <f t="shared" si="5"/>
        <v>0</v>
      </c>
      <c r="FD18" s="12">
        <f t="shared" si="5"/>
        <v>0</v>
      </c>
      <c r="FE18" s="12">
        <f t="shared" si="5"/>
        <v>0</v>
      </c>
      <c r="FF18" s="12">
        <f t="shared" si="5"/>
        <v>0</v>
      </c>
      <c r="FG18" s="12">
        <f t="shared" si="5"/>
        <v>0</v>
      </c>
      <c r="FH18" s="12">
        <f t="shared" si="5"/>
        <v>0</v>
      </c>
      <c r="FI18" s="12">
        <f t="shared" si="5"/>
        <v>0</v>
      </c>
      <c r="FJ18" s="12">
        <f t="shared" si="5"/>
        <v>0</v>
      </c>
      <c r="FK18" s="12">
        <f t="shared" si="5"/>
        <v>0</v>
      </c>
      <c r="FL18" s="12">
        <f t="shared" si="5"/>
        <v>0</v>
      </c>
      <c r="FM18" s="12">
        <f t="shared" si="5"/>
        <v>0</v>
      </c>
      <c r="FN18" s="12">
        <f t="shared" si="5"/>
        <v>0</v>
      </c>
      <c r="FO18" s="12">
        <f t="shared" si="5"/>
        <v>0</v>
      </c>
      <c r="FP18" s="12">
        <f t="shared" si="5"/>
        <v>0</v>
      </c>
      <c r="FQ18" s="12">
        <f t="shared" si="5"/>
        <v>0</v>
      </c>
      <c r="FR18" s="12">
        <f t="shared" si="5"/>
        <v>0</v>
      </c>
      <c r="FS18" s="12">
        <f t="shared" ref="FS18:GX18" si="6">FS389</f>
        <v>0</v>
      </c>
      <c r="FT18" s="12">
        <f t="shared" si="6"/>
        <v>0</v>
      </c>
      <c r="FU18" s="12">
        <f t="shared" si="6"/>
        <v>0</v>
      </c>
      <c r="FV18" s="12">
        <f t="shared" si="6"/>
        <v>0</v>
      </c>
      <c r="FW18" s="12">
        <f t="shared" si="6"/>
        <v>0</v>
      </c>
      <c r="FX18" s="12">
        <f t="shared" si="6"/>
        <v>0</v>
      </c>
      <c r="FY18" s="12">
        <f t="shared" si="6"/>
        <v>0</v>
      </c>
      <c r="FZ18" s="12">
        <f t="shared" si="6"/>
        <v>0</v>
      </c>
      <c r="GA18" s="12">
        <f t="shared" si="6"/>
        <v>0</v>
      </c>
      <c r="GB18" s="12">
        <f t="shared" si="6"/>
        <v>0</v>
      </c>
      <c r="GC18" s="12">
        <f t="shared" si="6"/>
        <v>0</v>
      </c>
      <c r="GD18" s="12">
        <f t="shared" si="6"/>
        <v>0</v>
      </c>
      <c r="GE18" s="12">
        <f t="shared" si="6"/>
        <v>0</v>
      </c>
      <c r="GF18" s="12">
        <f t="shared" si="6"/>
        <v>0</v>
      </c>
      <c r="GG18" s="12">
        <f t="shared" si="6"/>
        <v>0</v>
      </c>
      <c r="GH18" s="12">
        <f t="shared" si="6"/>
        <v>0</v>
      </c>
      <c r="GI18" s="12">
        <f t="shared" si="6"/>
        <v>0</v>
      </c>
      <c r="GJ18" s="12">
        <f t="shared" si="6"/>
        <v>0</v>
      </c>
      <c r="GK18" s="12">
        <f t="shared" si="6"/>
        <v>0</v>
      </c>
      <c r="GL18" s="12">
        <f t="shared" si="6"/>
        <v>0</v>
      </c>
      <c r="GM18" s="12">
        <f t="shared" si="6"/>
        <v>0</v>
      </c>
      <c r="GN18" s="12">
        <f t="shared" si="6"/>
        <v>0</v>
      </c>
      <c r="GO18" s="12">
        <f t="shared" si="6"/>
        <v>0</v>
      </c>
      <c r="GP18" s="12">
        <f t="shared" si="6"/>
        <v>0</v>
      </c>
      <c r="GQ18" s="12">
        <f t="shared" si="6"/>
        <v>0</v>
      </c>
      <c r="GR18" s="12">
        <f t="shared" si="6"/>
        <v>0</v>
      </c>
      <c r="GS18" s="12">
        <f t="shared" si="6"/>
        <v>0</v>
      </c>
      <c r="GT18" s="12">
        <f t="shared" si="6"/>
        <v>0</v>
      </c>
      <c r="GU18" s="12">
        <f t="shared" si="6"/>
        <v>0</v>
      </c>
      <c r="GV18" s="12">
        <f t="shared" si="6"/>
        <v>0</v>
      </c>
      <c r="GW18" s="12">
        <f t="shared" si="6"/>
        <v>0</v>
      </c>
      <c r="GX18" s="12">
        <f t="shared" si="6"/>
        <v>0</v>
      </c>
    </row>
    <row r="20" spans="1:255" ht="13" x14ac:dyDescent="0.3">
      <c r="A20" s="10">
        <v>3</v>
      </c>
      <c r="B20" s="10">
        <v>1</v>
      </c>
      <c r="C20" s="10"/>
      <c r="D20" s="10">
        <f>ROW(A359)</f>
        <v>359</v>
      </c>
      <c r="E20" s="10"/>
      <c r="F20" s="10" t="s">
        <v>5</v>
      </c>
      <c r="G20" s="10" t="s">
        <v>20</v>
      </c>
      <c r="H20" s="10" t="s">
        <v>3</v>
      </c>
      <c r="I20" s="10">
        <v>0</v>
      </c>
      <c r="J20" s="10" t="s">
        <v>21</v>
      </c>
      <c r="K20" s="10">
        <v>-1</v>
      </c>
      <c r="L20" s="10" t="s">
        <v>5</v>
      </c>
      <c r="M20" s="10" t="s">
        <v>3</v>
      </c>
      <c r="N20" s="10"/>
      <c r="O20" s="10"/>
      <c r="P20" s="10"/>
      <c r="Q20" s="10"/>
      <c r="R20" s="10"/>
      <c r="S20" s="10">
        <v>0</v>
      </c>
      <c r="T20" s="10">
        <v>0</v>
      </c>
      <c r="U20" s="10" t="s">
        <v>3</v>
      </c>
      <c r="V20" s="10">
        <v>2</v>
      </c>
      <c r="W20" s="10"/>
      <c r="X20" s="10"/>
      <c r="Y20" s="10"/>
      <c r="Z20" s="10"/>
      <c r="AA20" s="10"/>
      <c r="AB20" s="10" t="s">
        <v>3</v>
      </c>
      <c r="AC20" s="10" t="s">
        <v>3</v>
      </c>
      <c r="AD20" s="10" t="s">
        <v>3</v>
      </c>
      <c r="AE20" s="10" t="s">
        <v>3</v>
      </c>
      <c r="AF20" s="10" t="s">
        <v>3</v>
      </c>
      <c r="AG20" s="10" t="s">
        <v>3</v>
      </c>
      <c r="AH20" s="10"/>
      <c r="AI20" s="10"/>
      <c r="AJ20" s="10"/>
      <c r="AK20" s="10"/>
      <c r="AL20" s="10"/>
      <c r="AM20" s="10"/>
      <c r="AN20" s="10"/>
      <c r="AO20" s="10"/>
      <c r="AP20" s="10" t="s">
        <v>3</v>
      </c>
      <c r="AQ20" s="10" t="s">
        <v>3</v>
      </c>
      <c r="AR20" s="10" t="s">
        <v>3</v>
      </c>
      <c r="AS20" s="10"/>
      <c r="AT20" s="10"/>
      <c r="AU20" s="10"/>
      <c r="AV20" s="10"/>
      <c r="AW20" s="10"/>
      <c r="AX20" s="10"/>
      <c r="AY20" s="10"/>
      <c r="AZ20" s="10" t="s">
        <v>3</v>
      </c>
      <c r="BA20" s="10"/>
      <c r="BB20" s="10" t="s">
        <v>3</v>
      </c>
      <c r="BC20" s="10" t="s">
        <v>3</v>
      </c>
      <c r="BD20" s="10" t="s">
        <v>3</v>
      </c>
      <c r="BE20" s="10" t="s">
        <v>3</v>
      </c>
      <c r="BF20" s="10" t="s">
        <v>3</v>
      </c>
      <c r="BG20" s="10" t="s">
        <v>3</v>
      </c>
      <c r="BH20" s="10" t="s">
        <v>3</v>
      </c>
      <c r="BI20" s="10" t="s">
        <v>3</v>
      </c>
      <c r="BJ20" s="10" t="s">
        <v>3</v>
      </c>
      <c r="BK20" s="10" t="s">
        <v>3</v>
      </c>
      <c r="BL20" s="10" t="s">
        <v>3</v>
      </c>
      <c r="BM20" s="10" t="s">
        <v>3</v>
      </c>
      <c r="BN20" s="10" t="s">
        <v>3</v>
      </c>
      <c r="BO20" s="10" t="s">
        <v>3</v>
      </c>
      <c r="BP20" s="10" t="s">
        <v>3</v>
      </c>
      <c r="BQ20" s="10"/>
      <c r="BR20" s="10"/>
      <c r="BS20" s="10"/>
      <c r="BT20" s="10"/>
      <c r="BU20" s="10"/>
      <c r="BV20" s="10"/>
      <c r="BW20" s="10"/>
      <c r="BX20" s="10">
        <v>0</v>
      </c>
      <c r="BY20" s="10"/>
      <c r="BZ20" s="10"/>
      <c r="CA20" s="10"/>
      <c r="CB20" s="10"/>
      <c r="CC20" s="10"/>
      <c r="CD20" s="10"/>
      <c r="CE20" s="10"/>
      <c r="CF20" s="10">
        <v>0</v>
      </c>
      <c r="CG20" s="10">
        <v>0</v>
      </c>
      <c r="CH20" s="10"/>
      <c r="CI20" s="10" t="s">
        <v>3</v>
      </c>
      <c r="CJ20" s="10" t="s">
        <v>3</v>
      </c>
      <c r="CK20" s="3" t="s">
        <v>3</v>
      </c>
      <c r="CL20" s="3" t="s">
        <v>3</v>
      </c>
      <c r="CM20" s="3" t="s">
        <v>3</v>
      </c>
      <c r="CN20" s="3" t="s">
        <v>3</v>
      </c>
      <c r="CO20" s="3" t="s">
        <v>3</v>
      </c>
      <c r="CP20" s="3" t="s">
        <v>3</v>
      </c>
      <c r="CQ20" s="3" t="s">
        <v>3</v>
      </c>
    </row>
    <row r="22" spans="1:255" ht="13" x14ac:dyDescent="0.3">
      <c r="A22" s="11">
        <v>52</v>
      </c>
      <c r="B22" s="11">
        <f t="shared" ref="B22:G22" si="7">B359</f>
        <v>1</v>
      </c>
      <c r="C22" s="11">
        <f t="shared" si="7"/>
        <v>3</v>
      </c>
      <c r="D22" s="11">
        <f t="shared" si="7"/>
        <v>20</v>
      </c>
      <c r="E22" s="11">
        <f t="shared" si="7"/>
        <v>0</v>
      </c>
      <c r="F22" s="11" t="str">
        <f t="shared" si="7"/>
        <v>02-01-09</v>
      </c>
      <c r="G22" s="11" t="str">
        <f t="shared" si="7"/>
        <v>Система оповещения и управления эвакуацией</v>
      </c>
      <c r="H22" s="11"/>
      <c r="I22" s="11"/>
      <c r="J22" s="11"/>
      <c r="K22" s="11"/>
      <c r="L22" s="11"/>
      <c r="M22" s="11"/>
      <c r="N22" s="11"/>
      <c r="O22" s="11">
        <f t="shared" ref="O22:AT22" si="8">O359</f>
        <v>352494.46</v>
      </c>
      <c r="P22" s="11">
        <f t="shared" si="8"/>
        <v>309995.38</v>
      </c>
      <c r="Q22" s="11">
        <f t="shared" si="8"/>
        <v>857.25</v>
      </c>
      <c r="R22" s="11">
        <f t="shared" si="8"/>
        <v>37.51</v>
      </c>
      <c r="S22" s="11">
        <f t="shared" si="8"/>
        <v>41641.83</v>
      </c>
      <c r="T22" s="11">
        <f t="shared" si="8"/>
        <v>0</v>
      </c>
      <c r="U22" s="11">
        <f t="shared" si="8"/>
        <v>3479.8297069199998</v>
      </c>
      <c r="V22" s="11">
        <f t="shared" si="8"/>
        <v>0</v>
      </c>
      <c r="W22" s="11">
        <f t="shared" si="8"/>
        <v>0</v>
      </c>
      <c r="X22" s="11">
        <f t="shared" si="8"/>
        <v>37982.15</v>
      </c>
      <c r="Y22" s="11">
        <f t="shared" si="8"/>
        <v>19757.62</v>
      </c>
      <c r="Z22" s="11">
        <f t="shared" si="8"/>
        <v>0</v>
      </c>
      <c r="AA22" s="11">
        <f t="shared" si="8"/>
        <v>0</v>
      </c>
      <c r="AB22" s="11">
        <f t="shared" si="8"/>
        <v>0</v>
      </c>
      <c r="AC22" s="11">
        <f t="shared" si="8"/>
        <v>0</v>
      </c>
      <c r="AD22" s="11">
        <f t="shared" si="8"/>
        <v>0</v>
      </c>
      <c r="AE22" s="11">
        <f t="shared" si="8"/>
        <v>0</v>
      </c>
      <c r="AF22" s="11">
        <f t="shared" si="8"/>
        <v>0</v>
      </c>
      <c r="AG22" s="11">
        <f t="shared" si="8"/>
        <v>0</v>
      </c>
      <c r="AH22" s="11">
        <f t="shared" si="8"/>
        <v>0</v>
      </c>
      <c r="AI22" s="11">
        <f t="shared" si="8"/>
        <v>0</v>
      </c>
      <c r="AJ22" s="11">
        <f t="shared" si="8"/>
        <v>0</v>
      </c>
      <c r="AK22" s="11">
        <f t="shared" si="8"/>
        <v>0</v>
      </c>
      <c r="AL22" s="11">
        <f t="shared" si="8"/>
        <v>0</v>
      </c>
      <c r="AM22" s="11">
        <f t="shared" si="8"/>
        <v>0</v>
      </c>
      <c r="AN22" s="11">
        <f t="shared" si="8"/>
        <v>0</v>
      </c>
      <c r="AO22" s="11">
        <f t="shared" si="8"/>
        <v>0</v>
      </c>
      <c r="AP22" s="11">
        <f t="shared" si="8"/>
        <v>176513.96</v>
      </c>
      <c r="AQ22" s="11">
        <f t="shared" si="8"/>
        <v>0</v>
      </c>
      <c r="AR22" s="11">
        <f t="shared" si="8"/>
        <v>410234.23</v>
      </c>
      <c r="AS22" s="11">
        <f t="shared" si="8"/>
        <v>880.07</v>
      </c>
      <c r="AT22" s="11">
        <f t="shared" si="8"/>
        <v>232840.2</v>
      </c>
      <c r="AU22" s="11">
        <f t="shared" ref="AU22:BZ22" si="9">AU359</f>
        <v>0</v>
      </c>
      <c r="AV22" s="11">
        <f t="shared" si="9"/>
        <v>309995.38</v>
      </c>
      <c r="AW22" s="11">
        <f t="shared" si="9"/>
        <v>133481.42000000001</v>
      </c>
      <c r="AX22" s="11">
        <f t="shared" si="9"/>
        <v>0</v>
      </c>
      <c r="AY22" s="11">
        <f t="shared" si="9"/>
        <v>133481.42000000001</v>
      </c>
      <c r="AZ22" s="11">
        <f t="shared" si="9"/>
        <v>176513.96</v>
      </c>
      <c r="BA22" s="11">
        <f t="shared" si="9"/>
        <v>0</v>
      </c>
      <c r="BB22" s="11">
        <f t="shared" si="9"/>
        <v>0</v>
      </c>
      <c r="BC22" s="11">
        <f t="shared" si="9"/>
        <v>0</v>
      </c>
      <c r="BD22" s="11">
        <f t="shared" si="9"/>
        <v>0</v>
      </c>
      <c r="BE22" s="11">
        <f t="shared" si="9"/>
        <v>0</v>
      </c>
      <c r="BF22" s="11">
        <f t="shared" si="9"/>
        <v>0</v>
      </c>
      <c r="BG22" s="11">
        <f t="shared" si="9"/>
        <v>0</v>
      </c>
      <c r="BH22" s="11">
        <f t="shared" si="9"/>
        <v>0</v>
      </c>
      <c r="BI22" s="11">
        <f t="shared" si="9"/>
        <v>0</v>
      </c>
      <c r="BJ22" s="11">
        <f t="shared" si="9"/>
        <v>0</v>
      </c>
      <c r="BK22" s="11">
        <f t="shared" si="9"/>
        <v>0</v>
      </c>
      <c r="BL22" s="11">
        <f t="shared" si="9"/>
        <v>0</v>
      </c>
      <c r="BM22" s="11">
        <f t="shared" si="9"/>
        <v>0</v>
      </c>
      <c r="BN22" s="11">
        <f t="shared" si="9"/>
        <v>0</v>
      </c>
      <c r="BO22" s="11">
        <f t="shared" si="9"/>
        <v>0</v>
      </c>
      <c r="BP22" s="11">
        <f t="shared" si="9"/>
        <v>0</v>
      </c>
      <c r="BQ22" s="11">
        <f t="shared" si="9"/>
        <v>0</v>
      </c>
      <c r="BR22" s="11">
        <f t="shared" si="9"/>
        <v>0</v>
      </c>
      <c r="BS22" s="11">
        <f t="shared" si="9"/>
        <v>0</v>
      </c>
      <c r="BT22" s="11">
        <f t="shared" si="9"/>
        <v>0</v>
      </c>
      <c r="BU22" s="11">
        <f t="shared" si="9"/>
        <v>0</v>
      </c>
      <c r="BV22" s="11">
        <f t="shared" si="9"/>
        <v>0</v>
      </c>
      <c r="BW22" s="11">
        <f t="shared" si="9"/>
        <v>0</v>
      </c>
      <c r="BX22" s="11">
        <f t="shared" si="9"/>
        <v>0</v>
      </c>
      <c r="BY22" s="11">
        <f t="shared" si="9"/>
        <v>0</v>
      </c>
      <c r="BZ22" s="11">
        <f t="shared" si="9"/>
        <v>0</v>
      </c>
      <c r="CA22" s="11">
        <f t="shared" ref="CA22:DF22" si="10">CA359</f>
        <v>0</v>
      </c>
      <c r="CB22" s="11">
        <f t="shared" si="10"/>
        <v>0</v>
      </c>
      <c r="CC22" s="11">
        <f t="shared" si="10"/>
        <v>0</v>
      </c>
      <c r="CD22" s="11">
        <f t="shared" si="10"/>
        <v>0</v>
      </c>
      <c r="CE22" s="11">
        <f t="shared" si="10"/>
        <v>0</v>
      </c>
      <c r="CF22" s="11">
        <f t="shared" si="10"/>
        <v>0</v>
      </c>
      <c r="CG22" s="11">
        <f t="shared" si="10"/>
        <v>0</v>
      </c>
      <c r="CH22" s="11">
        <f t="shared" si="10"/>
        <v>0</v>
      </c>
      <c r="CI22" s="11">
        <f t="shared" si="10"/>
        <v>0</v>
      </c>
      <c r="CJ22" s="11">
        <f t="shared" si="10"/>
        <v>0</v>
      </c>
      <c r="CK22" s="11">
        <f t="shared" si="10"/>
        <v>0</v>
      </c>
      <c r="CL22" s="11">
        <f t="shared" si="10"/>
        <v>0</v>
      </c>
      <c r="CM22" s="11">
        <f t="shared" si="10"/>
        <v>0</v>
      </c>
      <c r="CN22" s="11">
        <f t="shared" si="10"/>
        <v>0</v>
      </c>
      <c r="CO22" s="11">
        <f t="shared" si="10"/>
        <v>0</v>
      </c>
      <c r="CP22" s="11">
        <f t="shared" si="10"/>
        <v>0</v>
      </c>
      <c r="CQ22" s="11">
        <f t="shared" si="10"/>
        <v>0</v>
      </c>
      <c r="CR22" s="11">
        <f t="shared" si="10"/>
        <v>0</v>
      </c>
      <c r="CS22" s="11">
        <f t="shared" si="10"/>
        <v>0</v>
      </c>
      <c r="CT22" s="11">
        <f t="shared" si="10"/>
        <v>0</v>
      </c>
      <c r="CU22" s="11">
        <f t="shared" si="10"/>
        <v>0</v>
      </c>
      <c r="CV22" s="11">
        <f t="shared" si="10"/>
        <v>0</v>
      </c>
      <c r="CW22" s="11">
        <f t="shared" si="10"/>
        <v>0</v>
      </c>
      <c r="CX22" s="11">
        <f t="shared" si="10"/>
        <v>0</v>
      </c>
      <c r="CY22" s="11">
        <f t="shared" si="10"/>
        <v>0</v>
      </c>
      <c r="CZ22" s="11">
        <f t="shared" si="10"/>
        <v>0</v>
      </c>
      <c r="DA22" s="11">
        <f t="shared" si="10"/>
        <v>0</v>
      </c>
      <c r="DB22" s="11">
        <f t="shared" si="10"/>
        <v>0</v>
      </c>
      <c r="DC22" s="11">
        <f t="shared" si="10"/>
        <v>0</v>
      </c>
      <c r="DD22" s="11">
        <f t="shared" si="10"/>
        <v>0</v>
      </c>
      <c r="DE22" s="11">
        <f t="shared" si="10"/>
        <v>0</v>
      </c>
      <c r="DF22" s="11">
        <f t="shared" si="10"/>
        <v>0</v>
      </c>
      <c r="DG22" s="12">
        <f t="shared" ref="DG22:EL22" si="11">DG359</f>
        <v>5371197.4199999999</v>
      </c>
      <c r="DH22" s="12">
        <f t="shared" si="11"/>
        <v>3014364.79</v>
      </c>
      <c r="DI22" s="12">
        <f t="shared" si="11"/>
        <v>10315.51</v>
      </c>
      <c r="DJ22" s="12">
        <f t="shared" si="11"/>
        <v>2113.6799999999998</v>
      </c>
      <c r="DK22" s="12">
        <f t="shared" si="11"/>
        <v>2346517.12</v>
      </c>
      <c r="DL22" s="12">
        <f t="shared" si="11"/>
        <v>0</v>
      </c>
      <c r="DM22" s="12">
        <f t="shared" si="11"/>
        <v>3479.8297069199998</v>
      </c>
      <c r="DN22" s="12">
        <f t="shared" si="11"/>
        <v>0</v>
      </c>
      <c r="DO22" s="12">
        <f t="shared" si="11"/>
        <v>0</v>
      </c>
      <c r="DP22" s="12">
        <f t="shared" si="11"/>
        <v>2140293.7799999998</v>
      </c>
      <c r="DQ22" s="12">
        <f t="shared" si="11"/>
        <v>1113342.6399999999</v>
      </c>
      <c r="DR22" s="12">
        <f t="shared" si="11"/>
        <v>0</v>
      </c>
      <c r="DS22" s="12">
        <f t="shared" si="11"/>
        <v>0</v>
      </c>
      <c r="DT22" s="12">
        <f t="shared" si="11"/>
        <v>0</v>
      </c>
      <c r="DU22" s="12">
        <f t="shared" si="11"/>
        <v>0</v>
      </c>
      <c r="DV22" s="12">
        <f t="shared" si="11"/>
        <v>0</v>
      </c>
      <c r="DW22" s="12">
        <f t="shared" si="11"/>
        <v>0</v>
      </c>
      <c r="DX22" s="12">
        <f t="shared" si="11"/>
        <v>0</v>
      </c>
      <c r="DY22" s="12">
        <f t="shared" si="11"/>
        <v>0</v>
      </c>
      <c r="DZ22" s="12">
        <f t="shared" si="11"/>
        <v>0</v>
      </c>
      <c r="EA22" s="12">
        <f t="shared" si="11"/>
        <v>0</v>
      </c>
      <c r="EB22" s="12">
        <f t="shared" si="11"/>
        <v>0</v>
      </c>
      <c r="EC22" s="12">
        <f t="shared" si="11"/>
        <v>0</v>
      </c>
      <c r="ED22" s="12">
        <f t="shared" si="11"/>
        <v>0</v>
      </c>
      <c r="EE22" s="12">
        <f t="shared" si="11"/>
        <v>0</v>
      </c>
      <c r="EF22" s="12">
        <f t="shared" si="11"/>
        <v>0</v>
      </c>
      <c r="EG22" s="12">
        <f t="shared" si="11"/>
        <v>0</v>
      </c>
      <c r="EH22" s="12">
        <f t="shared" si="11"/>
        <v>1317644.1499999999</v>
      </c>
      <c r="EI22" s="12">
        <f t="shared" si="11"/>
        <v>0</v>
      </c>
      <c r="EJ22" s="12">
        <f t="shared" si="11"/>
        <v>8624833.8399999999</v>
      </c>
      <c r="EK22" s="12">
        <f t="shared" si="11"/>
        <v>12919.6</v>
      </c>
      <c r="EL22" s="12">
        <f t="shared" si="11"/>
        <v>7294270.0899999999</v>
      </c>
      <c r="EM22" s="12">
        <f t="shared" ref="EM22:FR22" si="12">EM359</f>
        <v>0</v>
      </c>
      <c r="EN22" s="12">
        <f t="shared" si="12"/>
        <v>3014364.79</v>
      </c>
      <c r="EO22" s="12">
        <f t="shared" si="12"/>
        <v>1696720.64</v>
      </c>
      <c r="EP22" s="12">
        <f t="shared" si="12"/>
        <v>0</v>
      </c>
      <c r="EQ22" s="12">
        <f t="shared" si="12"/>
        <v>1696720.64</v>
      </c>
      <c r="ER22" s="12">
        <f t="shared" si="12"/>
        <v>1317644.1499999999</v>
      </c>
      <c r="ES22" s="12">
        <f t="shared" si="12"/>
        <v>0</v>
      </c>
      <c r="ET22" s="12">
        <f t="shared" si="12"/>
        <v>0</v>
      </c>
      <c r="EU22" s="12">
        <f t="shared" si="12"/>
        <v>0</v>
      </c>
      <c r="EV22" s="12">
        <f t="shared" si="12"/>
        <v>0</v>
      </c>
      <c r="EW22" s="12">
        <f t="shared" si="12"/>
        <v>0</v>
      </c>
      <c r="EX22" s="12">
        <f t="shared" si="12"/>
        <v>0</v>
      </c>
      <c r="EY22" s="12">
        <f t="shared" si="12"/>
        <v>0</v>
      </c>
      <c r="EZ22" s="12">
        <f t="shared" si="12"/>
        <v>0</v>
      </c>
      <c r="FA22" s="12">
        <f t="shared" si="12"/>
        <v>0</v>
      </c>
      <c r="FB22" s="12">
        <f t="shared" si="12"/>
        <v>0</v>
      </c>
      <c r="FC22" s="12">
        <f t="shared" si="12"/>
        <v>0</v>
      </c>
      <c r="FD22" s="12">
        <f t="shared" si="12"/>
        <v>0</v>
      </c>
      <c r="FE22" s="12">
        <f t="shared" si="12"/>
        <v>0</v>
      </c>
      <c r="FF22" s="12">
        <f t="shared" si="12"/>
        <v>0</v>
      </c>
      <c r="FG22" s="12">
        <f t="shared" si="12"/>
        <v>0</v>
      </c>
      <c r="FH22" s="12">
        <f t="shared" si="12"/>
        <v>0</v>
      </c>
      <c r="FI22" s="12">
        <f t="shared" si="12"/>
        <v>0</v>
      </c>
      <c r="FJ22" s="12">
        <f t="shared" si="12"/>
        <v>0</v>
      </c>
      <c r="FK22" s="12">
        <f t="shared" si="12"/>
        <v>0</v>
      </c>
      <c r="FL22" s="12">
        <f t="shared" si="12"/>
        <v>0</v>
      </c>
      <c r="FM22" s="12">
        <f t="shared" si="12"/>
        <v>0</v>
      </c>
      <c r="FN22" s="12">
        <f t="shared" si="12"/>
        <v>0</v>
      </c>
      <c r="FO22" s="12">
        <f t="shared" si="12"/>
        <v>0</v>
      </c>
      <c r="FP22" s="12">
        <f t="shared" si="12"/>
        <v>0</v>
      </c>
      <c r="FQ22" s="12">
        <f t="shared" si="12"/>
        <v>0</v>
      </c>
      <c r="FR22" s="12">
        <f t="shared" si="12"/>
        <v>0</v>
      </c>
      <c r="FS22" s="12">
        <f t="shared" ref="FS22:GX22" si="13">FS359</f>
        <v>0</v>
      </c>
      <c r="FT22" s="12">
        <f t="shared" si="13"/>
        <v>0</v>
      </c>
      <c r="FU22" s="12">
        <f t="shared" si="13"/>
        <v>0</v>
      </c>
      <c r="FV22" s="12">
        <f t="shared" si="13"/>
        <v>0</v>
      </c>
      <c r="FW22" s="12">
        <f t="shared" si="13"/>
        <v>0</v>
      </c>
      <c r="FX22" s="12">
        <f t="shared" si="13"/>
        <v>0</v>
      </c>
      <c r="FY22" s="12">
        <f t="shared" si="13"/>
        <v>0</v>
      </c>
      <c r="FZ22" s="12">
        <f t="shared" si="13"/>
        <v>0</v>
      </c>
      <c r="GA22" s="12">
        <f t="shared" si="13"/>
        <v>0</v>
      </c>
      <c r="GB22" s="12">
        <f t="shared" si="13"/>
        <v>0</v>
      </c>
      <c r="GC22" s="12">
        <f t="shared" si="13"/>
        <v>0</v>
      </c>
      <c r="GD22" s="12">
        <f t="shared" si="13"/>
        <v>0</v>
      </c>
      <c r="GE22" s="12">
        <f t="shared" si="13"/>
        <v>0</v>
      </c>
      <c r="GF22" s="12">
        <f t="shared" si="13"/>
        <v>0</v>
      </c>
      <c r="GG22" s="12">
        <f t="shared" si="13"/>
        <v>0</v>
      </c>
      <c r="GH22" s="12">
        <f t="shared" si="13"/>
        <v>0</v>
      </c>
      <c r="GI22" s="12">
        <f t="shared" si="13"/>
        <v>0</v>
      </c>
      <c r="GJ22" s="12">
        <f t="shared" si="13"/>
        <v>0</v>
      </c>
      <c r="GK22" s="12">
        <f t="shared" si="13"/>
        <v>0</v>
      </c>
      <c r="GL22" s="12">
        <f t="shared" si="13"/>
        <v>0</v>
      </c>
      <c r="GM22" s="12">
        <f t="shared" si="13"/>
        <v>0</v>
      </c>
      <c r="GN22" s="12">
        <f t="shared" si="13"/>
        <v>0</v>
      </c>
      <c r="GO22" s="12">
        <f t="shared" si="13"/>
        <v>0</v>
      </c>
      <c r="GP22" s="12">
        <f t="shared" si="13"/>
        <v>0</v>
      </c>
      <c r="GQ22" s="12">
        <f t="shared" si="13"/>
        <v>0</v>
      </c>
      <c r="GR22" s="12">
        <f t="shared" si="13"/>
        <v>0</v>
      </c>
      <c r="GS22" s="12">
        <f t="shared" si="13"/>
        <v>0</v>
      </c>
      <c r="GT22" s="12">
        <f t="shared" si="13"/>
        <v>0</v>
      </c>
      <c r="GU22" s="12">
        <f t="shared" si="13"/>
        <v>0</v>
      </c>
      <c r="GV22" s="12">
        <f t="shared" si="13"/>
        <v>0</v>
      </c>
      <c r="GW22" s="12">
        <f t="shared" si="13"/>
        <v>0</v>
      </c>
      <c r="GX22" s="12">
        <f t="shared" si="13"/>
        <v>0</v>
      </c>
    </row>
    <row r="24" spans="1:255" ht="13" x14ac:dyDescent="0.3">
      <c r="A24" s="10">
        <v>4</v>
      </c>
      <c r="B24" s="10">
        <v>1</v>
      </c>
      <c r="C24" s="10"/>
      <c r="D24" s="10">
        <f>ROW(A53)</f>
        <v>53</v>
      </c>
      <c r="E24" s="10"/>
      <c r="F24" s="10" t="s">
        <v>22</v>
      </c>
      <c r="G24" s="10" t="s">
        <v>23</v>
      </c>
      <c r="H24" s="10" t="s">
        <v>3</v>
      </c>
      <c r="I24" s="10">
        <v>0</v>
      </c>
      <c r="J24" s="10"/>
      <c r="K24" s="10">
        <v>-1</v>
      </c>
      <c r="L24" s="10"/>
      <c r="M24" s="10" t="s">
        <v>3</v>
      </c>
      <c r="N24" s="10"/>
      <c r="O24" s="10"/>
      <c r="P24" s="10"/>
      <c r="Q24" s="10"/>
      <c r="R24" s="10"/>
      <c r="S24" s="10">
        <v>0</v>
      </c>
      <c r="T24" s="10">
        <v>0</v>
      </c>
      <c r="U24" s="10" t="s">
        <v>3</v>
      </c>
      <c r="V24" s="10">
        <v>2</v>
      </c>
      <c r="W24" s="10"/>
      <c r="X24" s="10"/>
      <c r="Y24" s="10"/>
      <c r="Z24" s="10"/>
      <c r="AA24" s="10"/>
      <c r="AB24" s="10" t="s">
        <v>3</v>
      </c>
      <c r="AC24" s="10" t="s">
        <v>3</v>
      </c>
      <c r="AD24" s="10" t="s">
        <v>3</v>
      </c>
      <c r="AE24" s="10" t="s">
        <v>3</v>
      </c>
      <c r="AF24" s="10" t="s">
        <v>3</v>
      </c>
      <c r="AG24" s="10" t="s">
        <v>3</v>
      </c>
      <c r="AH24" s="10"/>
      <c r="AI24" s="10"/>
      <c r="AJ24" s="10"/>
      <c r="AK24" s="10"/>
      <c r="AL24" s="10"/>
      <c r="AM24" s="10"/>
      <c r="AN24" s="10"/>
      <c r="AO24" s="10"/>
      <c r="AP24" s="10" t="s">
        <v>3</v>
      </c>
      <c r="AQ24" s="10" t="s">
        <v>3</v>
      </c>
      <c r="AR24" s="10" t="s">
        <v>3</v>
      </c>
      <c r="AS24" s="10"/>
      <c r="AT24" s="10"/>
      <c r="AU24" s="10"/>
      <c r="AV24" s="10"/>
      <c r="AW24" s="10"/>
      <c r="AX24" s="10"/>
      <c r="AY24" s="10"/>
      <c r="AZ24" s="10" t="s">
        <v>3</v>
      </c>
      <c r="BA24" s="10"/>
      <c r="BB24" s="10" t="s">
        <v>3</v>
      </c>
      <c r="BC24" s="10" t="s">
        <v>3</v>
      </c>
      <c r="BD24" s="10" t="s">
        <v>3</v>
      </c>
      <c r="BE24" s="10" t="s">
        <v>3</v>
      </c>
      <c r="BF24" s="10" t="s">
        <v>3</v>
      </c>
      <c r="BG24" s="10" t="s">
        <v>3</v>
      </c>
      <c r="BH24" s="10" t="s">
        <v>3</v>
      </c>
      <c r="BI24" s="10" t="s">
        <v>3</v>
      </c>
      <c r="BJ24" s="10" t="s">
        <v>3</v>
      </c>
      <c r="BK24" s="10" t="s">
        <v>3</v>
      </c>
      <c r="BL24" s="10" t="s">
        <v>3</v>
      </c>
      <c r="BM24" s="10" t="s">
        <v>3</v>
      </c>
      <c r="BN24" s="10" t="s">
        <v>3</v>
      </c>
      <c r="BO24" s="10" t="s">
        <v>3</v>
      </c>
      <c r="BP24" s="10" t="s">
        <v>3</v>
      </c>
      <c r="BQ24" s="10"/>
      <c r="BR24" s="10"/>
      <c r="BS24" s="10"/>
      <c r="BT24" s="10"/>
      <c r="BU24" s="10"/>
      <c r="BV24" s="10"/>
      <c r="BW24" s="10"/>
      <c r="BX24" s="10">
        <v>0</v>
      </c>
      <c r="BY24" s="10"/>
      <c r="BZ24" s="10"/>
      <c r="CA24" s="10"/>
      <c r="CB24" s="10"/>
      <c r="CC24" s="10"/>
      <c r="CD24" s="10"/>
      <c r="CE24" s="10"/>
      <c r="CF24" s="10"/>
      <c r="CG24" s="10"/>
      <c r="CH24" s="10"/>
      <c r="CI24" s="10"/>
      <c r="CJ24" s="10">
        <v>0</v>
      </c>
    </row>
    <row r="26" spans="1:255" ht="13" x14ac:dyDescent="0.3">
      <c r="A26" s="11">
        <v>52</v>
      </c>
      <c r="B26" s="11">
        <f t="shared" ref="B26:G26" si="14">B53</f>
        <v>1</v>
      </c>
      <c r="C26" s="11">
        <f t="shared" si="14"/>
        <v>4</v>
      </c>
      <c r="D26" s="11">
        <f t="shared" si="14"/>
        <v>24</v>
      </c>
      <c r="E26" s="11">
        <f t="shared" si="14"/>
        <v>0</v>
      </c>
      <c r="F26" s="11" t="str">
        <f t="shared" si="14"/>
        <v>Новый раздел</v>
      </c>
      <c r="G26" s="11" t="str">
        <f t="shared" si="14"/>
        <v>Демонтажные работы (письмо от  АНО «РГТ» об утверждении объёмов демонтажных работ)</v>
      </c>
      <c r="H26" s="11"/>
      <c r="I26" s="11"/>
      <c r="J26" s="11"/>
      <c r="K26" s="11"/>
      <c r="L26" s="11"/>
      <c r="M26" s="11"/>
      <c r="N26" s="11"/>
      <c r="O26" s="11">
        <f t="shared" ref="O26:AT26" si="15">O53</f>
        <v>10173.780000000001</v>
      </c>
      <c r="P26" s="11">
        <f t="shared" si="15"/>
        <v>0</v>
      </c>
      <c r="Q26" s="11">
        <f t="shared" si="15"/>
        <v>158.25</v>
      </c>
      <c r="R26" s="11">
        <f t="shared" si="15"/>
        <v>4.24</v>
      </c>
      <c r="S26" s="11">
        <f t="shared" si="15"/>
        <v>10015.530000000001</v>
      </c>
      <c r="T26" s="11">
        <f t="shared" si="15"/>
        <v>0</v>
      </c>
      <c r="U26" s="11">
        <f t="shared" si="15"/>
        <v>836.40380915999981</v>
      </c>
      <c r="V26" s="11">
        <f t="shared" si="15"/>
        <v>0</v>
      </c>
      <c r="W26" s="11">
        <f t="shared" si="15"/>
        <v>0</v>
      </c>
      <c r="X26" s="11">
        <f t="shared" si="15"/>
        <v>9110.84</v>
      </c>
      <c r="Y26" s="11">
        <f t="shared" si="15"/>
        <v>4733.93</v>
      </c>
      <c r="Z26" s="11">
        <f t="shared" si="15"/>
        <v>0</v>
      </c>
      <c r="AA26" s="11">
        <f t="shared" si="15"/>
        <v>0</v>
      </c>
      <c r="AB26" s="11">
        <f t="shared" si="15"/>
        <v>10173.780000000001</v>
      </c>
      <c r="AC26" s="11">
        <f t="shared" si="15"/>
        <v>0</v>
      </c>
      <c r="AD26" s="11">
        <f t="shared" si="15"/>
        <v>158.25</v>
      </c>
      <c r="AE26" s="11">
        <f t="shared" si="15"/>
        <v>4.24</v>
      </c>
      <c r="AF26" s="11">
        <f t="shared" si="15"/>
        <v>10015.530000000001</v>
      </c>
      <c r="AG26" s="11">
        <f t="shared" si="15"/>
        <v>0</v>
      </c>
      <c r="AH26" s="11">
        <f t="shared" si="15"/>
        <v>836.40380915999981</v>
      </c>
      <c r="AI26" s="11">
        <f t="shared" si="15"/>
        <v>0</v>
      </c>
      <c r="AJ26" s="11">
        <f t="shared" si="15"/>
        <v>0</v>
      </c>
      <c r="AK26" s="11">
        <f t="shared" si="15"/>
        <v>9110.84</v>
      </c>
      <c r="AL26" s="11">
        <f t="shared" si="15"/>
        <v>4733.93</v>
      </c>
      <c r="AM26" s="11">
        <f t="shared" si="15"/>
        <v>0</v>
      </c>
      <c r="AN26" s="11">
        <f t="shared" si="15"/>
        <v>0</v>
      </c>
      <c r="AO26" s="11">
        <f t="shared" si="15"/>
        <v>0</v>
      </c>
      <c r="AP26" s="11">
        <f t="shared" si="15"/>
        <v>0</v>
      </c>
      <c r="AQ26" s="11">
        <f t="shared" si="15"/>
        <v>0</v>
      </c>
      <c r="AR26" s="11">
        <f t="shared" si="15"/>
        <v>24018.55</v>
      </c>
      <c r="AS26" s="11">
        <f t="shared" si="15"/>
        <v>92.44</v>
      </c>
      <c r="AT26" s="11">
        <f t="shared" si="15"/>
        <v>23926.11</v>
      </c>
      <c r="AU26" s="11">
        <f t="shared" ref="AU26:BZ26" si="16">AU53</f>
        <v>0</v>
      </c>
      <c r="AV26" s="11">
        <f t="shared" si="16"/>
        <v>0</v>
      </c>
      <c r="AW26" s="11">
        <f t="shared" si="16"/>
        <v>0</v>
      </c>
      <c r="AX26" s="11">
        <f t="shared" si="16"/>
        <v>0</v>
      </c>
      <c r="AY26" s="11">
        <f t="shared" si="16"/>
        <v>0</v>
      </c>
      <c r="AZ26" s="11">
        <f t="shared" si="16"/>
        <v>0</v>
      </c>
      <c r="BA26" s="11">
        <f t="shared" si="16"/>
        <v>0</v>
      </c>
      <c r="BB26" s="11">
        <f t="shared" si="16"/>
        <v>0</v>
      </c>
      <c r="BC26" s="11">
        <f t="shared" si="16"/>
        <v>0</v>
      </c>
      <c r="BD26" s="11">
        <f t="shared" si="16"/>
        <v>0</v>
      </c>
      <c r="BE26" s="11">
        <f t="shared" si="16"/>
        <v>0</v>
      </c>
      <c r="BF26" s="11">
        <f t="shared" si="16"/>
        <v>0</v>
      </c>
      <c r="BG26" s="11">
        <f t="shared" si="16"/>
        <v>0</v>
      </c>
      <c r="BH26" s="11">
        <f t="shared" si="16"/>
        <v>0</v>
      </c>
      <c r="BI26" s="11">
        <f t="shared" si="16"/>
        <v>0</v>
      </c>
      <c r="BJ26" s="11">
        <f t="shared" si="16"/>
        <v>0</v>
      </c>
      <c r="BK26" s="11">
        <f t="shared" si="16"/>
        <v>0</v>
      </c>
      <c r="BL26" s="11">
        <f t="shared" si="16"/>
        <v>0</v>
      </c>
      <c r="BM26" s="11">
        <f t="shared" si="16"/>
        <v>0</v>
      </c>
      <c r="BN26" s="11">
        <f t="shared" si="16"/>
        <v>0</v>
      </c>
      <c r="BO26" s="11">
        <f t="shared" si="16"/>
        <v>0</v>
      </c>
      <c r="BP26" s="11">
        <f t="shared" si="16"/>
        <v>0</v>
      </c>
      <c r="BQ26" s="11">
        <f t="shared" si="16"/>
        <v>0</v>
      </c>
      <c r="BR26" s="11">
        <f t="shared" si="16"/>
        <v>0</v>
      </c>
      <c r="BS26" s="11">
        <f t="shared" si="16"/>
        <v>0</v>
      </c>
      <c r="BT26" s="11">
        <f t="shared" si="16"/>
        <v>0</v>
      </c>
      <c r="BU26" s="11">
        <f t="shared" si="16"/>
        <v>0</v>
      </c>
      <c r="BV26" s="11">
        <f t="shared" si="16"/>
        <v>0</v>
      </c>
      <c r="BW26" s="11">
        <f t="shared" si="16"/>
        <v>0</v>
      </c>
      <c r="BX26" s="11">
        <f t="shared" si="16"/>
        <v>0</v>
      </c>
      <c r="BY26" s="11">
        <f t="shared" si="16"/>
        <v>0</v>
      </c>
      <c r="BZ26" s="11">
        <f t="shared" si="16"/>
        <v>0</v>
      </c>
      <c r="CA26" s="11">
        <f t="shared" ref="CA26:DF26" si="17">CA53</f>
        <v>24018.55</v>
      </c>
      <c r="CB26" s="11">
        <f t="shared" si="17"/>
        <v>92.44</v>
      </c>
      <c r="CC26" s="11">
        <f t="shared" si="17"/>
        <v>23926.11</v>
      </c>
      <c r="CD26" s="11">
        <f t="shared" si="17"/>
        <v>0</v>
      </c>
      <c r="CE26" s="11">
        <f t="shared" si="17"/>
        <v>0</v>
      </c>
      <c r="CF26" s="11">
        <f t="shared" si="17"/>
        <v>0</v>
      </c>
      <c r="CG26" s="11">
        <f t="shared" si="17"/>
        <v>0</v>
      </c>
      <c r="CH26" s="11">
        <f t="shared" si="17"/>
        <v>0</v>
      </c>
      <c r="CI26" s="11">
        <f t="shared" si="17"/>
        <v>0</v>
      </c>
      <c r="CJ26" s="11">
        <f t="shared" si="17"/>
        <v>0</v>
      </c>
      <c r="CK26" s="11">
        <f t="shared" si="17"/>
        <v>0</v>
      </c>
      <c r="CL26" s="11">
        <f t="shared" si="17"/>
        <v>0</v>
      </c>
      <c r="CM26" s="11">
        <f t="shared" si="17"/>
        <v>0</v>
      </c>
      <c r="CN26" s="11">
        <f t="shared" si="17"/>
        <v>0</v>
      </c>
      <c r="CO26" s="11">
        <f t="shared" si="17"/>
        <v>0</v>
      </c>
      <c r="CP26" s="11">
        <f t="shared" si="17"/>
        <v>0</v>
      </c>
      <c r="CQ26" s="11">
        <f t="shared" si="17"/>
        <v>0</v>
      </c>
      <c r="CR26" s="11">
        <f t="shared" si="17"/>
        <v>0</v>
      </c>
      <c r="CS26" s="11">
        <f t="shared" si="17"/>
        <v>0</v>
      </c>
      <c r="CT26" s="11">
        <f t="shared" si="17"/>
        <v>0</v>
      </c>
      <c r="CU26" s="11">
        <f t="shared" si="17"/>
        <v>0</v>
      </c>
      <c r="CV26" s="11">
        <f t="shared" si="17"/>
        <v>0</v>
      </c>
      <c r="CW26" s="11">
        <f t="shared" si="17"/>
        <v>0</v>
      </c>
      <c r="CX26" s="11">
        <f t="shared" si="17"/>
        <v>0</v>
      </c>
      <c r="CY26" s="11">
        <f t="shared" si="17"/>
        <v>0</v>
      </c>
      <c r="CZ26" s="11">
        <f t="shared" si="17"/>
        <v>0</v>
      </c>
      <c r="DA26" s="11">
        <f t="shared" si="17"/>
        <v>0</v>
      </c>
      <c r="DB26" s="11">
        <f t="shared" si="17"/>
        <v>0</v>
      </c>
      <c r="DC26" s="11">
        <f t="shared" si="17"/>
        <v>0</v>
      </c>
      <c r="DD26" s="11">
        <f t="shared" si="17"/>
        <v>0</v>
      </c>
      <c r="DE26" s="11">
        <f t="shared" si="17"/>
        <v>0</v>
      </c>
      <c r="DF26" s="11">
        <f t="shared" si="17"/>
        <v>0</v>
      </c>
      <c r="DG26" s="12">
        <f t="shared" ref="DG26:EL26" si="18">DG53</f>
        <v>566144.05000000005</v>
      </c>
      <c r="DH26" s="12">
        <f t="shared" si="18"/>
        <v>0</v>
      </c>
      <c r="DI26" s="12">
        <f t="shared" si="18"/>
        <v>1768.95</v>
      </c>
      <c r="DJ26" s="12">
        <f t="shared" si="18"/>
        <v>238.92</v>
      </c>
      <c r="DK26" s="12">
        <f t="shared" si="18"/>
        <v>564375.1</v>
      </c>
      <c r="DL26" s="12">
        <f t="shared" si="18"/>
        <v>0</v>
      </c>
      <c r="DM26" s="12">
        <f t="shared" si="18"/>
        <v>836.40380915999981</v>
      </c>
      <c r="DN26" s="12">
        <f t="shared" si="18"/>
        <v>0</v>
      </c>
      <c r="DO26" s="12">
        <f t="shared" si="18"/>
        <v>0</v>
      </c>
      <c r="DP26" s="12">
        <f t="shared" si="18"/>
        <v>513395.89</v>
      </c>
      <c r="DQ26" s="12">
        <f t="shared" si="18"/>
        <v>266756.52</v>
      </c>
      <c r="DR26" s="12">
        <f t="shared" si="18"/>
        <v>0</v>
      </c>
      <c r="DS26" s="12">
        <f t="shared" si="18"/>
        <v>0</v>
      </c>
      <c r="DT26" s="12">
        <f t="shared" si="18"/>
        <v>566144.05000000005</v>
      </c>
      <c r="DU26" s="12">
        <f t="shared" si="18"/>
        <v>0</v>
      </c>
      <c r="DV26" s="12">
        <f t="shared" si="18"/>
        <v>1768.95</v>
      </c>
      <c r="DW26" s="12">
        <f t="shared" si="18"/>
        <v>238.92</v>
      </c>
      <c r="DX26" s="12">
        <f t="shared" si="18"/>
        <v>564375.1</v>
      </c>
      <c r="DY26" s="12">
        <f t="shared" si="18"/>
        <v>0</v>
      </c>
      <c r="DZ26" s="12">
        <f t="shared" si="18"/>
        <v>836.40380915999981</v>
      </c>
      <c r="EA26" s="12">
        <f t="shared" si="18"/>
        <v>0</v>
      </c>
      <c r="EB26" s="12">
        <f t="shared" si="18"/>
        <v>0</v>
      </c>
      <c r="EC26" s="12">
        <f t="shared" si="18"/>
        <v>513395.89</v>
      </c>
      <c r="ED26" s="12">
        <f t="shared" si="18"/>
        <v>266756.52</v>
      </c>
      <c r="EE26" s="12">
        <f t="shared" si="18"/>
        <v>0</v>
      </c>
      <c r="EF26" s="12">
        <f t="shared" si="18"/>
        <v>0</v>
      </c>
      <c r="EG26" s="12">
        <f t="shared" si="18"/>
        <v>0</v>
      </c>
      <c r="EH26" s="12">
        <f t="shared" si="18"/>
        <v>0</v>
      </c>
      <c r="EI26" s="12">
        <f t="shared" si="18"/>
        <v>0</v>
      </c>
      <c r="EJ26" s="12">
        <f t="shared" si="18"/>
        <v>1346296.46</v>
      </c>
      <c r="EK26" s="12">
        <f t="shared" si="18"/>
        <v>5169.33</v>
      </c>
      <c r="EL26" s="12">
        <f t="shared" si="18"/>
        <v>1341127.1299999999</v>
      </c>
      <c r="EM26" s="12">
        <f t="shared" ref="EM26:FR26" si="19">EM53</f>
        <v>0</v>
      </c>
      <c r="EN26" s="12">
        <f t="shared" si="19"/>
        <v>0</v>
      </c>
      <c r="EO26" s="12">
        <f t="shared" si="19"/>
        <v>0</v>
      </c>
      <c r="EP26" s="12">
        <f t="shared" si="19"/>
        <v>0</v>
      </c>
      <c r="EQ26" s="12">
        <f t="shared" si="19"/>
        <v>0</v>
      </c>
      <c r="ER26" s="12">
        <f t="shared" si="19"/>
        <v>0</v>
      </c>
      <c r="ES26" s="12">
        <f t="shared" si="19"/>
        <v>0</v>
      </c>
      <c r="ET26" s="12">
        <f t="shared" si="19"/>
        <v>0</v>
      </c>
      <c r="EU26" s="12">
        <f t="shared" si="19"/>
        <v>0</v>
      </c>
      <c r="EV26" s="12">
        <f t="shared" si="19"/>
        <v>0</v>
      </c>
      <c r="EW26" s="12">
        <f t="shared" si="19"/>
        <v>0</v>
      </c>
      <c r="EX26" s="12">
        <f t="shared" si="19"/>
        <v>0</v>
      </c>
      <c r="EY26" s="12">
        <f t="shared" si="19"/>
        <v>0</v>
      </c>
      <c r="EZ26" s="12">
        <f t="shared" si="19"/>
        <v>0</v>
      </c>
      <c r="FA26" s="12">
        <f t="shared" si="19"/>
        <v>0</v>
      </c>
      <c r="FB26" s="12">
        <f t="shared" si="19"/>
        <v>0</v>
      </c>
      <c r="FC26" s="12">
        <f t="shared" si="19"/>
        <v>0</v>
      </c>
      <c r="FD26" s="12">
        <f t="shared" si="19"/>
        <v>0</v>
      </c>
      <c r="FE26" s="12">
        <f t="shared" si="19"/>
        <v>0</v>
      </c>
      <c r="FF26" s="12">
        <f t="shared" si="19"/>
        <v>0</v>
      </c>
      <c r="FG26" s="12">
        <f t="shared" si="19"/>
        <v>0</v>
      </c>
      <c r="FH26" s="12">
        <f t="shared" si="19"/>
        <v>0</v>
      </c>
      <c r="FI26" s="12">
        <f t="shared" si="19"/>
        <v>0</v>
      </c>
      <c r="FJ26" s="12">
        <f t="shared" si="19"/>
        <v>0</v>
      </c>
      <c r="FK26" s="12">
        <f t="shared" si="19"/>
        <v>0</v>
      </c>
      <c r="FL26" s="12">
        <f t="shared" si="19"/>
        <v>0</v>
      </c>
      <c r="FM26" s="12">
        <f t="shared" si="19"/>
        <v>0</v>
      </c>
      <c r="FN26" s="12">
        <f t="shared" si="19"/>
        <v>0</v>
      </c>
      <c r="FO26" s="12">
        <f t="shared" si="19"/>
        <v>0</v>
      </c>
      <c r="FP26" s="12">
        <f t="shared" si="19"/>
        <v>0</v>
      </c>
      <c r="FQ26" s="12">
        <f t="shared" si="19"/>
        <v>0</v>
      </c>
      <c r="FR26" s="12">
        <f t="shared" si="19"/>
        <v>0</v>
      </c>
      <c r="FS26" s="12">
        <f t="shared" ref="FS26:GX26" si="20">FS53</f>
        <v>1346296.46</v>
      </c>
      <c r="FT26" s="12">
        <f t="shared" si="20"/>
        <v>5169.33</v>
      </c>
      <c r="FU26" s="12">
        <f t="shared" si="20"/>
        <v>1341127.1299999999</v>
      </c>
      <c r="FV26" s="12">
        <f t="shared" si="20"/>
        <v>0</v>
      </c>
      <c r="FW26" s="12">
        <f t="shared" si="20"/>
        <v>0</v>
      </c>
      <c r="FX26" s="12">
        <f t="shared" si="20"/>
        <v>0</v>
      </c>
      <c r="FY26" s="12">
        <f t="shared" si="20"/>
        <v>0</v>
      </c>
      <c r="FZ26" s="12">
        <f t="shared" si="20"/>
        <v>0</v>
      </c>
      <c r="GA26" s="12">
        <f t="shared" si="20"/>
        <v>0</v>
      </c>
      <c r="GB26" s="12">
        <f t="shared" si="20"/>
        <v>0</v>
      </c>
      <c r="GC26" s="12">
        <f t="shared" si="20"/>
        <v>0</v>
      </c>
      <c r="GD26" s="12">
        <f t="shared" si="20"/>
        <v>0</v>
      </c>
      <c r="GE26" s="12">
        <f t="shared" si="20"/>
        <v>0</v>
      </c>
      <c r="GF26" s="12">
        <f t="shared" si="20"/>
        <v>0</v>
      </c>
      <c r="GG26" s="12">
        <f t="shared" si="20"/>
        <v>0</v>
      </c>
      <c r="GH26" s="12">
        <f t="shared" si="20"/>
        <v>0</v>
      </c>
      <c r="GI26" s="12">
        <f t="shared" si="20"/>
        <v>0</v>
      </c>
      <c r="GJ26" s="12">
        <f t="shared" si="20"/>
        <v>0</v>
      </c>
      <c r="GK26" s="12">
        <f t="shared" si="20"/>
        <v>0</v>
      </c>
      <c r="GL26" s="12">
        <f t="shared" si="20"/>
        <v>0</v>
      </c>
      <c r="GM26" s="12">
        <f t="shared" si="20"/>
        <v>0</v>
      </c>
      <c r="GN26" s="12">
        <f t="shared" si="20"/>
        <v>0</v>
      </c>
      <c r="GO26" s="12">
        <f t="shared" si="20"/>
        <v>0</v>
      </c>
      <c r="GP26" s="12">
        <f t="shared" si="20"/>
        <v>0</v>
      </c>
      <c r="GQ26" s="12">
        <f t="shared" si="20"/>
        <v>0</v>
      </c>
      <c r="GR26" s="12">
        <f t="shared" si="20"/>
        <v>0</v>
      </c>
      <c r="GS26" s="12">
        <f t="shared" si="20"/>
        <v>0</v>
      </c>
      <c r="GT26" s="12">
        <f t="shared" si="20"/>
        <v>0</v>
      </c>
      <c r="GU26" s="12">
        <f t="shared" si="20"/>
        <v>0</v>
      </c>
      <c r="GV26" s="12">
        <f t="shared" si="20"/>
        <v>0</v>
      </c>
      <c r="GW26" s="12">
        <f t="shared" si="20"/>
        <v>0</v>
      </c>
      <c r="GX26" s="12">
        <f t="shared" si="20"/>
        <v>0</v>
      </c>
    </row>
    <row r="28" spans="1:255" x14ac:dyDescent="0.25">
      <c r="A28" s="2">
        <v>17</v>
      </c>
      <c r="B28" s="2">
        <v>1</v>
      </c>
      <c r="C28" s="2">
        <f>ROW(SmtRes!A5)</f>
        <v>5</v>
      </c>
      <c r="D28" s="2">
        <f>ROW(EtalonRes!A6)</f>
        <v>6</v>
      </c>
      <c r="E28" s="2" t="s">
        <v>24</v>
      </c>
      <c r="F28" s="2" t="s">
        <v>25</v>
      </c>
      <c r="G28" s="2" t="s">
        <v>26</v>
      </c>
      <c r="H28" s="2" t="s">
        <v>27</v>
      </c>
      <c r="I28" s="2">
        <v>1</v>
      </c>
      <c r="J28" s="2">
        <v>0</v>
      </c>
      <c r="K28" s="2">
        <v>1</v>
      </c>
      <c r="L28" s="2"/>
      <c r="M28" s="2"/>
      <c r="N28" s="2"/>
      <c r="O28" s="2">
        <f t="shared" ref="O28:O51" si="21">ROUND(CP28,2)</f>
        <v>80.31</v>
      </c>
      <c r="P28" s="2">
        <f t="shared" ref="P28:P51" si="22">ROUND((ROUND((AC28*AW28*I28),2)*BC28),2)</f>
        <v>0</v>
      </c>
      <c r="Q28" s="2">
        <f t="shared" ref="Q28:Q43" si="23">(ROUND((ROUND(((((ET28*1.2)*0.3))*AV28*I28),2)*BB28),2)+ROUND((ROUND(((AE28-(((EU28*1.2)*0.3)))*AV28*I28),2)*BS28),2))</f>
        <v>23.84</v>
      </c>
      <c r="R28" s="2">
        <f t="shared" ref="R28:R43" si="24">(ROUND((ROUND(((((EU28*1.2)*0.3))*AV28*I28),2)*BS28),2)+ROUND((ROUND(((AE28-(((EU28*1.2)*0.3)))*AV28*I28),2)*BS28),2))</f>
        <v>2.57</v>
      </c>
      <c r="S28" s="2">
        <f t="shared" ref="S28:S51" si="25">ROUND((ROUND((AF28*AV28*I28),2)*BA28),2)</f>
        <v>56.47</v>
      </c>
      <c r="T28" s="2">
        <f t="shared" ref="T28:T51" si="26">ROUND(CU28*I28,2)</f>
        <v>0</v>
      </c>
      <c r="U28" s="2">
        <f t="shared" ref="U28:U51" si="27">CV28*I28</f>
        <v>5.0507279999999986</v>
      </c>
      <c r="V28" s="2">
        <f t="shared" ref="V28:V51" si="28">CW28*I28</f>
        <v>0</v>
      </c>
      <c r="W28" s="2">
        <f t="shared" ref="W28:W51" si="29">ROUND(CX28*I28,2)</f>
        <v>0</v>
      </c>
      <c r="X28" s="2">
        <f t="shared" ref="X28:X43" si="30">(ROUND((((S28+ROUND((ROUND(((((EU28*1.2)*0.3))*AV28*I28),2)*BS28),2))*AT28)/100),2)+ROUND(((ROUND((ROUND(((AE28-(((EU28*1.2)*0.3)))*AV28*I28),2)*BS28),2)*AT28)/100),2))</f>
        <v>53.14</v>
      </c>
      <c r="Y28" s="2">
        <f t="shared" ref="Y28:Y43" si="31">(ROUND((((S28+ROUND((ROUND(((((EU28*1.2)*0.3))*AV28*I28),2)*BS28),2))*AU28)/100),2)+ROUND(((ROUND((ROUND(((AE28-(((EU28*1.2)*0.3)))*AV28*I28),2)*BS28),2)*AU28)/100),2))</f>
        <v>27.16</v>
      </c>
      <c r="Z28" s="2"/>
      <c r="AA28" s="2">
        <v>57014138</v>
      </c>
      <c r="AB28" s="2">
        <f t="shared" ref="AB28:AB51" si="32">ROUND((AC28+AD28+AF28),6)</f>
        <v>76.697999999999993</v>
      </c>
      <c r="AC28" s="2">
        <f t="shared" ref="AC28:AC43" si="33">ROUND((((ES28*1)*0)),6)</f>
        <v>0</v>
      </c>
      <c r="AD28" s="2">
        <f t="shared" ref="AD28:AD43" si="34">ROUND((((((ET28*1.2)*0.3))-(((EU28*1.2)*0.3)))+AE28),6)</f>
        <v>22.766400000000001</v>
      </c>
      <c r="AE28" s="2">
        <f t="shared" ref="AE28:AE43" si="35">ROUND((((EU28*1.2)*0.3)),6)</f>
        <v>2.4516</v>
      </c>
      <c r="AF28" s="2">
        <f t="shared" ref="AF28:AF43" si="36">ROUND((((EV28*1.2)*0.3)),6)</f>
        <v>53.931600000000003</v>
      </c>
      <c r="AG28" s="2">
        <f t="shared" ref="AG28:AG51" si="37">ROUND((AP28),6)</f>
        <v>0</v>
      </c>
      <c r="AH28" s="2">
        <f t="shared" ref="AH28:AH43" si="38">(((EW28*1.2)*0.3))</f>
        <v>4.823999999999999</v>
      </c>
      <c r="AI28" s="2">
        <f t="shared" ref="AI28:AI43" si="39">(((EX28*1.2)*0.3))</f>
        <v>0</v>
      </c>
      <c r="AJ28" s="2">
        <f t="shared" ref="AJ28:AJ51" si="40">(AS28)</f>
        <v>0</v>
      </c>
      <c r="AK28" s="2">
        <v>216.97</v>
      </c>
      <c r="AL28" s="2">
        <v>3.92</v>
      </c>
      <c r="AM28" s="2">
        <v>63.24</v>
      </c>
      <c r="AN28" s="2">
        <v>6.81</v>
      </c>
      <c r="AO28" s="2">
        <v>149.81</v>
      </c>
      <c r="AP28" s="2">
        <v>0</v>
      </c>
      <c r="AQ28" s="2">
        <v>13.4</v>
      </c>
      <c r="AR28" s="2">
        <v>0</v>
      </c>
      <c r="AS28" s="2">
        <v>0</v>
      </c>
      <c r="AT28" s="2">
        <v>90</v>
      </c>
      <c r="AU28" s="2">
        <v>46</v>
      </c>
      <c r="AV28" s="2">
        <v>1.0469999999999999</v>
      </c>
      <c r="AW28" s="2">
        <v>1</v>
      </c>
      <c r="AX28" s="2"/>
      <c r="AY28" s="2"/>
      <c r="AZ28" s="2">
        <v>1</v>
      </c>
      <c r="BA28" s="2">
        <v>1</v>
      </c>
      <c r="BB28" s="2">
        <v>1</v>
      </c>
      <c r="BC28" s="2">
        <v>1</v>
      </c>
      <c r="BD28" s="2" t="s">
        <v>3</v>
      </c>
      <c r="BE28" s="2" t="s">
        <v>3</v>
      </c>
      <c r="BF28" s="2" t="s">
        <v>3</v>
      </c>
      <c r="BG28" s="2" t="s">
        <v>3</v>
      </c>
      <c r="BH28" s="2">
        <v>0</v>
      </c>
      <c r="BI28" s="2">
        <v>2</v>
      </c>
      <c r="BJ28" s="2" t="s">
        <v>28</v>
      </c>
      <c r="BK28" s="2"/>
      <c r="BL28" s="2"/>
      <c r="BM28" s="2">
        <v>68</v>
      </c>
      <c r="BN28" s="2">
        <v>0</v>
      </c>
      <c r="BO28" s="2" t="s">
        <v>25</v>
      </c>
      <c r="BP28" s="2">
        <v>1</v>
      </c>
      <c r="BQ28" s="2">
        <v>40</v>
      </c>
      <c r="BR28" s="2">
        <v>0</v>
      </c>
      <c r="BS28" s="2">
        <v>1</v>
      </c>
      <c r="BT28" s="2">
        <v>1</v>
      </c>
      <c r="BU28" s="2">
        <v>1</v>
      </c>
      <c r="BV28" s="2">
        <v>1</v>
      </c>
      <c r="BW28" s="2">
        <v>1</v>
      </c>
      <c r="BX28" s="2">
        <v>1</v>
      </c>
      <c r="BY28" s="2" t="s">
        <v>3</v>
      </c>
      <c r="BZ28" s="2">
        <v>90</v>
      </c>
      <c r="CA28" s="2">
        <v>46</v>
      </c>
      <c r="CB28" s="2" t="s">
        <v>3</v>
      </c>
      <c r="CC28" s="2"/>
      <c r="CD28" s="2"/>
      <c r="CE28" s="2">
        <v>1566</v>
      </c>
      <c r="CF28" s="2">
        <v>0</v>
      </c>
      <c r="CG28" s="2">
        <v>0</v>
      </c>
      <c r="CH28" s="2"/>
      <c r="CI28" s="2"/>
      <c r="CJ28" s="2"/>
      <c r="CK28" s="2"/>
      <c r="CL28" s="2"/>
      <c r="CM28" s="2">
        <v>0</v>
      </c>
      <c r="CN28" s="2" t="s">
        <v>623</v>
      </c>
      <c r="CO28" s="2">
        <v>0</v>
      </c>
      <c r="CP28" s="2">
        <f t="shared" ref="CP28:CP51" si="41">(P28+Q28+S28)</f>
        <v>80.31</v>
      </c>
      <c r="CQ28" s="2">
        <f t="shared" ref="CQ28:CQ51" si="42">ROUND((ROUND((AC28*AW28*1),2)*BC28),2)</f>
        <v>0</v>
      </c>
      <c r="CR28" s="2">
        <f t="shared" ref="CR28:CR43" si="43">(ROUND((ROUND(((((ET28*1.2)*0.3))*AV28*1),2)*BB28),2)+ROUND((ROUND(((AE28-(((EU28*1.2)*0.3)))*AV28*1),2)*BS28),2))</f>
        <v>23.84</v>
      </c>
      <c r="CS28" s="2">
        <f t="shared" ref="CS28:CS43" si="44">(ROUND((ROUND(((((EU28*1.2)*0.3))*AV28*1),2)*BS28),2)+ROUND((ROUND(((AE28-(((EU28*1.2)*0.3)))*AV28*1),2)*BS28),2))</f>
        <v>2.57</v>
      </c>
      <c r="CT28" s="2">
        <f t="shared" ref="CT28:CT51" si="45">ROUND((ROUND((AF28*AV28*1),2)*BA28),2)</f>
        <v>56.47</v>
      </c>
      <c r="CU28" s="2">
        <f t="shared" ref="CU28:CU51" si="46">AG28</f>
        <v>0</v>
      </c>
      <c r="CV28" s="2">
        <f t="shared" ref="CV28:CV51" si="47">(AH28*AV28)</f>
        <v>5.0507279999999986</v>
      </c>
      <c r="CW28" s="2">
        <f t="shared" ref="CW28:CW51" si="48">AI28</f>
        <v>0</v>
      </c>
      <c r="CX28" s="2">
        <f t="shared" ref="CX28:CX51" si="49">AJ28</f>
        <v>0</v>
      </c>
      <c r="CY28" s="2">
        <f t="shared" ref="CY28:CY43" si="50">(ROUND((((S28+ROUND((ROUND(((((EU28*1.2)*0.3))*AV28*1),2)*BS28),2))*AT28)/100),2)+ROUND(((ROUND((ROUND(((AE28-(((EU28*1.2)*0.3)))*AV28*1),2)*BS28),2)*AT28)/100),2))</f>
        <v>53.14</v>
      </c>
      <c r="CZ28" s="2">
        <f t="shared" ref="CZ28:CZ43" si="51">(ROUND((((S28+ROUND((ROUND(((((EU28*1.2)*0.3))*AV28*1),2)*BS28),2))*AU28)/100),2)+ROUND(((ROUND((ROUND(((AE28-(((EU28*1.2)*0.3)))*AV28*1),2)*BS28),2)*AU28)/100),2))</f>
        <v>27.16</v>
      </c>
      <c r="DA28" s="2"/>
      <c r="DB28" s="2">
        <v>1</v>
      </c>
      <c r="DC28" s="2" t="s">
        <v>3</v>
      </c>
      <c r="DD28" s="2" t="s">
        <v>29</v>
      </c>
      <c r="DE28" s="2" t="s">
        <v>30</v>
      </c>
      <c r="DF28" s="2" t="s">
        <v>30</v>
      </c>
      <c r="DG28" s="2" t="s">
        <v>30</v>
      </c>
      <c r="DH28" s="2" t="s">
        <v>3</v>
      </c>
      <c r="DI28" s="2" t="s">
        <v>30</v>
      </c>
      <c r="DJ28" s="2" t="s">
        <v>30</v>
      </c>
      <c r="DK28" s="2" t="s">
        <v>3</v>
      </c>
      <c r="DL28" s="2" t="s">
        <v>3</v>
      </c>
      <c r="DM28" s="2" t="s">
        <v>3</v>
      </c>
      <c r="DN28" s="2">
        <v>0</v>
      </c>
      <c r="DO28" s="2">
        <v>0</v>
      </c>
      <c r="DP28" s="2">
        <v>1</v>
      </c>
      <c r="DQ28" s="2">
        <v>1</v>
      </c>
      <c r="DR28" s="2"/>
      <c r="DS28" s="2"/>
      <c r="DT28" s="2"/>
      <c r="DU28" s="2">
        <v>1013</v>
      </c>
      <c r="DV28" s="2" t="s">
        <v>27</v>
      </c>
      <c r="DW28" s="2" t="s">
        <v>27</v>
      </c>
      <c r="DX28" s="2">
        <v>1</v>
      </c>
      <c r="DY28" s="2"/>
      <c r="DZ28" s="2" t="s">
        <v>3</v>
      </c>
      <c r="EA28" s="2" t="s">
        <v>3</v>
      </c>
      <c r="EB28" s="2" t="s">
        <v>3</v>
      </c>
      <c r="EC28" s="2" t="s">
        <v>3</v>
      </c>
      <c r="ED28" s="2"/>
      <c r="EE28" s="2">
        <v>57042958</v>
      </c>
      <c r="EF28" s="2">
        <v>40</v>
      </c>
      <c r="EG28" s="2" t="s">
        <v>31</v>
      </c>
      <c r="EH28" s="2">
        <v>0</v>
      </c>
      <c r="EI28" s="2" t="s">
        <v>3</v>
      </c>
      <c r="EJ28" s="2">
        <v>2</v>
      </c>
      <c r="EK28" s="2">
        <v>68</v>
      </c>
      <c r="EL28" s="2" t="s">
        <v>32</v>
      </c>
      <c r="EM28" s="2" t="s">
        <v>33</v>
      </c>
      <c r="EN28" s="2"/>
      <c r="EO28" s="2" t="s">
        <v>34</v>
      </c>
      <c r="EP28" s="2"/>
      <c r="EQ28" s="2">
        <v>0</v>
      </c>
      <c r="ER28" s="2">
        <v>216.97</v>
      </c>
      <c r="ES28" s="2">
        <v>3.92</v>
      </c>
      <c r="ET28" s="2">
        <v>63.24</v>
      </c>
      <c r="EU28" s="2">
        <v>6.81</v>
      </c>
      <c r="EV28" s="2">
        <v>149.81</v>
      </c>
      <c r="EW28" s="2">
        <v>13.4</v>
      </c>
      <c r="EX28" s="2">
        <v>0</v>
      </c>
      <c r="EY28" s="2">
        <v>0</v>
      </c>
      <c r="EZ28" s="2"/>
      <c r="FA28" s="2"/>
      <c r="FB28" s="2"/>
      <c r="FC28" s="2"/>
      <c r="FD28" s="2"/>
      <c r="FE28" s="2"/>
      <c r="FF28" s="2"/>
      <c r="FG28" s="2"/>
      <c r="FH28" s="2"/>
      <c r="FI28" s="2"/>
      <c r="FJ28" s="2"/>
      <c r="FK28" s="2"/>
      <c r="FL28" s="2"/>
      <c r="FM28" s="2"/>
      <c r="FN28" s="2"/>
      <c r="FO28" s="2"/>
      <c r="FP28" s="2"/>
      <c r="FQ28" s="2">
        <v>0</v>
      </c>
      <c r="FR28" s="2">
        <v>0</v>
      </c>
      <c r="FS28" s="2">
        <v>0</v>
      </c>
      <c r="FT28" s="2"/>
      <c r="FU28" s="2"/>
      <c r="FV28" s="2"/>
      <c r="FW28" s="2"/>
      <c r="FX28" s="2">
        <v>90</v>
      </c>
      <c r="FY28" s="2">
        <v>46</v>
      </c>
      <c r="FZ28" s="2"/>
      <c r="GA28" s="2" t="s">
        <v>3</v>
      </c>
      <c r="GB28" s="2"/>
      <c r="GC28" s="2"/>
      <c r="GD28" s="2">
        <v>1</v>
      </c>
      <c r="GE28" s="2"/>
      <c r="GF28" s="2">
        <v>1360940533</v>
      </c>
      <c r="GG28" s="2">
        <v>2</v>
      </c>
      <c r="GH28" s="2">
        <v>1</v>
      </c>
      <c r="GI28" s="2">
        <v>2</v>
      </c>
      <c r="GJ28" s="2">
        <v>0</v>
      </c>
      <c r="GK28" s="2">
        <v>0</v>
      </c>
      <c r="GL28" s="2">
        <f t="shared" ref="GL28:GL51" si="52">ROUND(IF(AND(BH28=3,BI28=3,FS28&lt;&gt;0),P28,0),2)</f>
        <v>0</v>
      </c>
      <c r="GM28" s="2">
        <f t="shared" ref="GM28:GM51" si="53">ROUND(O28+X28+Y28,2)+GX28</f>
        <v>160.61000000000001</v>
      </c>
      <c r="GN28" s="2">
        <f t="shared" ref="GN28:GN51" si="54">IF(OR(BI28=0,BI28=1),GM28-GX28,0)</f>
        <v>0</v>
      </c>
      <c r="GO28" s="2">
        <f t="shared" ref="GO28:GO51" si="55">IF(BI28=2,GM28-GX28,0)</f>
        <v>160.61000000000001</v>
      </c>
      <c r="GP28" s="2">
        <f t="shared" ref="GP28:GP51" si="56">IF(BI28=4,GM28-GX28,0)</f>
        <v>0</v>
      </c>
      <c r="GQ28" s="2"/>
      <c r="GR28" s="2">
        <v>0</v>
      </c>
      <c r="GS28" s="2">
        <v>3</v>
      </c>
      <c r="GT28" s="2">
        <v>0</v>
      </c>
      <c r="GU28" s="2" t="s">
        <v>3</v>
      </c>
      <c r="GV28" s="2">
        <f t="shared" ref="GV28:GV51" si="57">ROUND((GT28),6)</f>
        <v>0</v>
      </c>
      <c r="GW28" s="2">
        <v>1</v>
      </c>
      <c r="GX28" s="2">
        <f t="shared" ref="GX28:GX51" si="58">ROUND(HC28*I28,2)</f>
        <v>0</v>
      </c>
      <c r="GY28" s="2"/>
      <c r="GZ28" s="2"/>
      <c r="HA28" s="2">
        <v>0</v>
      </c>
      <c r="HB28" s="2">
        <v>0</v>
      </c>
      <c r="HC28" s="2">
        <f t="shared" ref="HC28:HC51" si="59">GV28*GW28</f>
        <v>0</v>
      </c>
      <c r="HD28" s="2"/>
      <c r="HE28" s="2" t="s">
        <v>3</v>
      </c>
      <c r="HF28" s="2" t="s">
        <v>3</v>
      </c>
      <c r="HG28" s="2"/>
      <c r="HH28" s="2"/>
      <c r="HI28" s="2"/>
      <c r="HJ28" s="2"/>
      <c r="HK28" s="2"/>
      <c r="HL28" s="2"/>
      <c r="HM28" s="2" t="s">
        <v>3</v>
      </c>
      <c r="HN28" s="2" t="s">
        <v>3</v>
      </c>
      <c r="HO28" s="2" t="s">
        <v>3</v>
      </c>
      <c r="HP28" s="2" t="s">
        <v>3</v>
      </c>
      <c r="HQ28" s="2" t="s">
        <v>3</v>
      </c>
      <c r="HR28" s="2"/>
      <c r="HS28" s="2">
        <v>0</v>
      </c>
      <c r="HT28" s="2"/>
      <c r="HU28" s="2"/>
      <c r="HV28" s="2"/>
      <c r="HW28" s="2"/>
      <c r="HX28" s="2"/>
      <c r="HY28" s="2"/>
      <c r="HZ28" s="2"/>
      <c r="IA28" s="2"/>
      <c r="IB28" s="2"/>
      <c r="IC28" s="2"/>
      <c r="ID28" s="2"/>
      <c r="IE28" s="2"/>
      <c r="IF28" s="2"/>
      <c r="IG28" s="2"/>
      <c r="IH28" s="2"/>
      <c r="II28" s="2"/>
      <c r="IJ28" s="2"/>
      <c r="IK28" s="2">
        <v>0</v>
      </c>
      <c r="IL28" s="2"/>
      <c r="IM28" s="2"/>
      <c r="IN28" s="2"/>
      <c r="IO28" s="2"/>
      <c r="IP28" s="2"/>
      <c r="IQ28" s="2"/>
      <c r="IR28" s="2"/>
      <c r="IS28" s="2"/>
      <c r="IT28" s="2"/>
      <c r="IU28" s="2"/>
    </row>
    <row r="29" spans="1:255" x14ac:dyDescent="0.25">
      <c r="A29" s="3">
        <v>17</v>
      </c>
      <c r="B29" s="3">
        <v>1</v>
      </c>
      <c r="C29" s="3">
        <f>ROW(SmtRes!A10)</f>
        <v>10</v>
      </c>
      <c r="D29" s="3">
        <f>ROW(EtalonRes!A12)</f>
        <v>12</v>
      </c>
      <c r="E29" s="3" t="s">
        <v>24</v>
      </c>
      <c r="F29" s="3" t="s">
        <v>25</v>
      </c>
      <c r="G29" s="3" t="s">
        <v>26</v>
      </c>
      <c r="H29" s="3" t="s">
        <v>27</v>
      </c>
      <c r="I29" s="3">
        <v>1</v>
      </c>
      <c r="J29" s="3">
        <v>0</v>
      </c>
      <c r="K29" s="3">
        <v>1</v>
      </c>
      <c r="O29" s="3">
        <f t="shared" si="21"/>
        <v>3564.47</v>
      </c>
      <c r="P29" s="3">
        <f t="shared" si="22"/>
        <v>0</v>
      </c>
      <c r="Q29" s="3">
        <f t="shared" si="23"/>
        <v>382.39</v>
      </c>
      <c r="R29" s="3">
        <f t="shared" si="24"/>
        <v>144.82</v>
      </c>
      <c r="S29" s="3">
        <f t="shared" si="25"/>
        <v>3182.08</v>
      </c>
      <c r="T29" s="3">
        <f t="shared" si="26"/>
        <v>0</v>
      </c>
      <c r="U29" s="3">
        <f t="shared" si="27"/>
        <v>5.0507279999999986</v>
      </c>
      <c r="V29" s="3">
        <f t="shared" si="28"/>
        <v>0</v>
      </c>
      <c r="W29" s="3">
        <f t="shared" si="29"/>
        <v>0</v>
      </c>
      <c r="X29" s="3">
        <f t="shared" si="30"/>
        <v>2994.21</v>
      </c>
      <c r="Y29" s="3">
        <f t="shared" si="31"/>
        <v>1530.37</v>
      </c>
      <c r="AA29" s="3">
        <v>57014140</v>
      </c>
      <c r="AB29" s="3">
        <f t="shared" si="32"/>
        <v>76.697999999999993</v>
      </c>
      <c r="AC29" s="3">
        <f t="shared" si="33"/>
        <v>0</v>
      </c>
      <c r="AD29" s="3">
        <f t="shared" si="34"/>
        <v>22.766400000000001</v>
      </c>
      <c r="AE29" s="3">
        <f t="shared" si="35"/>
        <v>2.4516</v>
      </c>
      <c r="AF29" s="3">
        <f t="shared" si="36"/>
        <v>53.931600000000003</v>
      </c>
      <c r="AG29" s="3">
        <f t="shared" si="37"/>
        <v>0</v>
      </c>
      <c r="AH29" s="3">
        <f t="shared" si="38"/>
        <v>4.823999999999999</v>
      </c>
      <c r="AI29" s="3">
        <f t="shared" si="39"/>
        <v>0</v>
      </c>
      <c r="AJ29" s="3">
        <f t="shared" si="40"/>
        <v>0</v>
      </c>
      <c r="AK29" s="3">
        <v>216.97</v>
      </c>
      <c r="AL29" s="3">
        <v>3.92</v>
      </c>
      <c r="AM29" s="3">
        <v>63.24</v>
      </c>
      <c r="AN29" s="3">
        <v>6.81</v>
      </c>
      <c r="AO29" s="3">
        <v>149.81</v>
      </c>
      <c r="AP29" s="3">
        <v>0</v>
      </c>
      <c r="AQ29" s="3">
        <v>13.4</v>
      </c>
      <c r="AR29" s="3">
        <v>0</v>
      </c>
      <c r="AS29" s="3">
        <v>0</v>
      </c>
      <c r="AT29" s="3">
        <v>90</v>
      </c>
      <c r="AU29" s="3">
        <v>46</v>
      </c>
      <c r="AV29" s="3">
        <v>1.0469999999999999</v>
      </c>
      <c r="AW29" s="3">
        <v>1</v>
      </c>
      <c r="AZ29" s="3">
        <v>1</v>
      </c>
      <c r="BA29" s="3">
        <v>56.35</v>
      </c>
      <c r="BB29" s="3">
        <v>16.04</v>
      </c>
      <c r="BC29" s="3">
        <v>7.12</v>
      </c>
      <c r="BD29" s="3" t="s">
        <v>3</v>
      </c>
      <c r="BE29" s="3" t="s">
        <v>3</v>
      </c>
      <c r="BF29" s="3" t="s">
        <v>3</v>
      </c>
      <c r="BG29" s="3" t="s">
        <v>3</v>
      </c>
      <c r="BH29" s="3">
        <v>0</v>
      </c>
      <c r="BI29" s="3">
        <v>2</v>
      </c>
      <c r="BJ29" s="3" t="s">
        <v>28</v>
      </c>
      <c r="BM29" s="3">
        <v>68</v>
      </c>
      <c r="BN29" s="3">
        <v>0</v>
      </c>
      <c r="BO29" s="3" t="s">
        <v>25</v>
      </c>
      <c r="BP29" s="3">
        <v>1</v>
      </c>
      <c r="BQ29" s="3">
        <v>40</v>
      </c>
      <c r="BR29" s="3">
        <v>0</v>
      </c>
      <c r="BS29" s="3">
        <v>56.35</v>
      </c>
      <c r="BT29" s="3">
        <v>1</v>
      </c>
      <c r="BU29" s="3">
        <v>1</v>
      </c>
      <c r="BV29" s="3">
        <v>1</v>
      </c>
      <c r="BW29" s="3">
        <v>1</v>
      </c>
      <c r="BX29" s="3">
        <v>1</v>
      </c>
      <c r="BY29" s="3" t="s">
        <v>3</v>
      </c>
      <c r="BZ29" s="3">
        <v>90</v>
      </c>
      <c r="CA29" s="3">
        <v>46</v>
      </c>
      <c r="CB29" s="3" t="s">
        <v>3</v>
      </c>
      <c r="CE29" s="3">
        <v>1566</v>
      </c>
      <c r="CF29" s="3">
        <v>0</v>
      </c>
      <c r="CG29" s="3">
        <v>0</v>
      </c>
      <c r="CM29" s="3">
        <v>0</v>
      </c>
      <c r="CN29" s="3" t="s">
        <v>623</v>
      </c>
      <c r="CO29" s="3">
        <v>0</v>
      </c>
      <c r="CP29" s="3">
        <f t="shared" si="41"/>
        <v>3564.47</v>
      </c>
      <c r="CQ29" s="3">
        <f t="shared" si="42"/>
        <v>0</v>
      </c>
      <c r="CR29" s="3">
        <f t="shared" si="43"/>
        <v>382.39</v>
      </c>
      <c r="CS29" s="3">
        <f t="shared" si="44"/>
        <v>144.82</v>
      </c>
      <c r="CT29" s="3">
        <f t="shared" si="45"/>
        <v>3182.08</v>
      </c>
      <c r="CU29" s="3">
        <f t="shared" si="46"/>
        <v>0</v>
      </c>
      <c r="CV29" s="3">
        <f t="shared" si="47"/>
        <v>5.0507279999999986</v>
      </c>
      <c r="CW29" s="3">
        <f t="shared" si="48"/>
        <v>0</v>
      </c>
      <c r="CX29" s="3">
        <f t="shared" si="49"/>
        <v>0</v>
      </c>
      <c r="CY29" s="3">
        <f t="shared" si="50"/>
        <v>2994.21</v>
      </c>
      <c r="CZ29" s="3">
        <f t="shared" si="51"/>
        <v>1530.37</v>
      </c>
      <c r="DB29" s="3">
        <v>3</v>
      </c>
      <c r="DC29" s="3" t="s">
        <v>3</v>
      </c>
      <c r="DD29" s="3" t="s">
        <v>29</v>
      </c>
      <c r="DE29" s="3" t="s">
        <v>30</v>
      </c>
      <c r="DF29" s="3" t="s">
        <v>30</v>
      </c>
      <c r="DG29" s="3" t="s">
        <v>30</v>
      </c>
      <c r="DH29" s="3" t="s">
        <v>3</v>
      </c>
      <c r="DI29" s="3" t="s">
        <v>30</v>
      </c>
      <c r="DJ29" s="3" t="s">
        <v>30</v>
      </c>
      <c r="DK29" s="3" t="s">
        <v>3</v>
      </c>
      <c r="DL29" s="3" t="s">
        <v>3</v>
      </c>
      <c r="DM29" s="3" t="s">
        <v>3</v>
      </c>
      <c r="DN29" s="3">
        <v>0</v>
      </c>
      <c r="DO29" s="3">
        <v>0</v>
      </c>
      <c r="DP29" s="3">
        <v>1</v>
      </c>
      <c r="DQ29" s="3">
        <v>1</v>
      </c>
      <c r="DU29" s="3">
        <v>1013</v>
      </c>
      <c r="DV29" s="3" t="s">
        <v>27</v>
      </c>
      <c r="DW29" s="3" t="s">
        <v>27</v>
      </c>
      <c r="DX29" s="3">
        <v>1</v>
      </c>
      <c r="DZ29" s="3" t="s">
        <v>3</v>
      </c>
      <c r="EA29" s="3" t="s">
        <v>3</v>
      </c>
      <c r="EB29" s="3" t="s">
        <v>3</v>
      </c>
      <c r="EC29" s="3" t="s">
        <v>3</v>
      </c>
      <c r="EE29" s="3">
        <v>57042958</v>
      </c>
      <c r="EF29" s="3">
        <v>40</v>
      </c>
      <c r="EG29" s="3" t="s">
        <v>31</v>
      </c>
      <c r="EH29" s="3">
        <v>0</v>
      </c>
      <c r="EI29" s="3" t="s">
        <v>3</v>
      </c>
      <c r="EJ29" s="3">
        <v>2</v>
      </c>
      <c r="EK29" s="3">
        <v>68</v>
      </c>
      <c r="EL29" s="3" t="s">
        <v>32</v>
      </c>
      <c r="EM29" s="3" t="s">
        <v>33</v>
      </c>
      <c r="EO29" s="3" t="s">
        <v>34</v>
      </c>
      <c r="EQ29" s="3">
        <v>0</v>
      </c>
      <c r="ER29" s="3">
        <v>216.97</v>
      </c>
      <c r="ES29" s="3">
        <v>3.92</v>
      </c>
      <c r="ET29" s="3">
        <v>63.24</v>
      </c>
      <c r="EU29" s="3">
        <v>6.81</v>
      </c>
      <c r="EV29" s="3">
        <v>149.81</v>
      </c>
      <c r="EW29" s="3">
        <v>13.4</v>
      </c>
      <c r="EX29" s="3">
        <v>0</v>
      </c>
      <c r="EY29" s="3">
        <v>0</v>
      </c>
      <c r="FQ29" s="3">
        <v>0</v>
      </c>
      <c r="FR29" s="3">
        <v>0</v>
      </c>
      <c r="FS29" s="3">
        <v>0</v>
      </c>
      <c r="FX29" s="3">
        <v>90</v>
      </c>
      <c r="FY29" s="3">
        <v>46</v>
      </c>
      <c r="GA29" s="3" t="s">
        <v>3</v>
      </c>
      <c r="GD29" s="3">
        <v>1</v>
      </c>
      <c r="GF29" s="3">
        <v>1360940533</v>
      </c>
      <c r="GG29" s="3">
        <v>2</v>
      </c>
      <c r="GH29" s="3">
        <v>1</v>
      </c>
      <c r="GI29" s="3">
        <v>2</v>
      </c>
      <c r="GJ29" s="3">
        <v>0</v>
      </c>
      <c r="GK29" s="3">
        <v>0</v>
      </c>
      <c r="GL29" s="3">
        <f t="shared" si="52"/>
        <v>0</v>
      </c>
      <c r="GM29" s="3">
        <f t="shared" si="53"/>
        <v>8089.05</v>
      </c>
      <c r="GN29" s="3">
        <f t="shared" si="54"/>
        <v>0</v>
      </c>
      <c r="GO29" s="3">
        <f t="shared" si="55"/>
        <v>8089.05</v>
      </c>
      <c r="GP29" s="3">
        <f t="shared" si="56"/>
        <v>0</v>
      </c>
      <c r="GR29" s="3">
        <v>0</v>
      </c>
      <c r="GS29" s="3">
        <v>3</v>
      </c>
      <c r="GT29" s="3">
        <v>0</v>
      </c>
      <c r="GU29" s="3" t="s">
        <v>3</v>
      </c>
      <c r="GV29" s="3">
        <f t="shared" si="57"/>
        <v>0</v>
      </c>
      <c r="GW29" s="3">
        <v>1</v>
      </c>
      <c r="GX29" s="3">
        <f t="shared" si="58"/>
        <v>0</v>
      </c>
      <c r="HA29" s="3">
        <v>0</v>
      </c>
      <c r="HB29" s="3">
        <v>0</v>
      </c>
      <c r="HC29" s="3">
        <f t="shared" si="59"/>
        <v>0</v>
      </c>
      <c r="HE29" s="3" t="s">
        <v>3</v>
      </c>
      <c r="HF29" s="3" t="s">
        <v>3</v>
      </c>
      <c r="HM29" s="3" t="s">
        <v>3</v>
      </c>
      <c r="HN29" s="3" t="s">
        <v>3</v>
      </c>
      <c r="HO29" s="3" t="s">
        <v>3</v>
      </c>
      <c r="HP29" s="3" t="s">
        <v>3</v>
      </c>
      <c r="HQ29" s="3" t="s">
        <v>3</v>
      </c>
      <c r="HS29" s="3">
        <v>0</v>
      </c>
      <c r="IK29" s="3">
        <v>0</v>
      </c>
    </row>
    <row r="30" spans="1:255" x14ac:dyDescent="0.25">
      <c r="A30" s="2">
        <v>17</v>
      </c>
      <c r="B30" s="2">
        <v>1</v>
      </c>
      <c r="C30" s="2">
        <f>ROW(SmtRes!A13)</f>
        <v>13</v>
      </c>
      <c r="D30" s="2">
        <f>ROW(EtalonRes!A16)</f>
        <v>16</v>
      </c>
      <c r="E30" s="2" t="s">
        <v>35</v>
      </c>
      <c r="F30" s="2" t="s">
        <v>36</v>
      </c>
      <c r="G30" s="2" t="s">
        <v>37</v>
      </c>
      <c r="H30" s="2" t="s">
        <v>27</v>
      </c>
      <c r="I30" s="2">
        <v>1</v>
      </c>
      <c r="J30" s="2">
        <v>0</v>
      </c>
      <c r="K30" s="2">
        <v>1</v>
      </c>
      <c r="L30" s="2"/>
      <c r="M30" s="2"/>
      <c r="N30" s="2"/>
      <c r="O30" s="2">
        <f t="shared" si="21"/>
        <v>39.450000000000003</v>
      </c>
      <c r="P30" s="2">
        <f t="shared" si="22"/>
        <v>0</v>
      </c>
      <c r="Q30" s="2">
        <f t="shared" si="23"/>
        <v>7.0000000000000007E-2</v>
      </c>
      <c r="R30" s="2">
        <f t="shared" si="24"/>
        <v>0</v>
      </c>
      <c r="S30" s="2">
        <f t="shared" si="25"/>
        <v>39.380000000000003</v>
      </c>
      <c r="T30" s="2">
        <f t="shared" si="26"/>
        <v>0</v>
      </c>
      <c r="U30" s="2">
        <f t="shared" si="27"/>
        <v>3.3922799999999995</v>
      </c>
      <c r="V30" s="2">
        <f t="shared" si="28"/>
        <v>0</v>
      </c>
      <c r="W30" s="2">
        <f t="shared" si="29"/>
        <v>0</v>
      </c>
      <c r="X30" s="2">
        <f t="shared" si="30"/>
        <v>35.44</v>
      </c>
      <c r="Y30" s="2">
        <f t="shared" si="31"/>
        <v>18.11</v>
      </c>
      <c r="Z30" s="2"/>
      <c r="AA30" s="2">
        <v>57014138</v>
      </c>
      <c r="AB30" s="2">
        <f t="shared" si="32"/>
        <v>37.681199999999997</v>
      </c>
      <c r="AC30" s="2">
        <f t="shared" si="33"/>
        <v>0</v>
      </c>
      <c r="AD30" s="2">
        <f t="shared" si="34"/>
        <v>6.4799999999999996E-2</v>
      </c>
      <c r="AE30" s="2">
        <f t="shared" si="35"/>
        <v>0</v>
      </c>
      <c r="AF30" s="2">
        <f t="shared" si="36"/>
        <v>37.616399999999999</v>
      </c>
      <c r="AG30" s="2">
        <f t="shared" si="37"/>
        <v>0</v>
      </c>
      <c r="AH30" s="2">
        <f t="shared" si="38"/>
        <v>3.2399999999999998</v>
      </c>
      <c r="AI30" s="2">
        <f t="shared" si="39"/>
        <v>0</v>
      </c>
      <c r="AJ30" s="2">
        <f t="shared" si="40"/>
        <v>0</v>
      </c>
      <c r="AK30" s="2">
        <v>109.12</v>
      </c>
      <c r="AL30" s="2">
        <v>4.45</v>
      </c>
      <c r="AM30" s="2">
        <v>0.18</v>
      </c>
      <c r="AN30" s="2">
        <v>0</v>
      </c>
      <c r="AO30" s="2">
        <v>104.49</v>
      </c>
      <c r="AP30" s="2">
        <v>0</v>
      </c>
      <c r="AQ30" s="2">
        <v>9</v>
      </c>
      <c r="AR30" s="2">
        <v>0</v>
      </c>
      <c r="AS30" s="2">
        <v>0</v>
      </c>
      <c r="AT30" s="2">
        <v>90</v>
      </c>
      <c r="AU30" s="2">
        <v>46</v>
      </c>
      <c r="AV30" s="2">
        <v>1.0469999999999999</v>
      </c>
      <c r="AW30" s="2">
        <v>1</v>
      </c>
      <c r="AX30" s="2"/>
      <c r="AY30" s="2"/>
      <c r="AZ30" s="2">
        <v>1</v>
      </c>
      <c r="BA30" s="2">
        <v>1</v>
      </c>
      <c r="BB30" s="2">
        <v>1</v>
      </c>
      <c r="BC30" s="2">
        <v>1</v>
      </c>
      <c r="BD30" s="2" t="s">
        <v>3</v>
      </c>
      <c r="BE30" s="2" t="s">
        <v>3</v>
      </c>
      <c r="BF30" s="2" t="s">
        <v>3</v>
      </c>
      <c r="BG30" s="2" t="s">
        <v>3</v>
      </c>
      <c r="BH30" s="2">
        <v>0</v>
      </c>
      <c r="BI30" s="2">
        <v>2</v>
      </c>
      <c r="BJ30" s="2" t="s">
        <v>38</v>
      </c>
      <c r="BK30" s="2"/>
      <c r="BL30" s="2"/>
      <c r="BM30" s="2">
        <v>68</v>
      </c>
      <c r="BN30" s="2">
        <v>0</v>
      </c>
      <c r="BO30" s="2" t="s">
        <v>36</v>
      </c>
      <c r="BP30" s="2">
        <v>1</v>
      </c>
      <c r="BQ30" s="2">
        <v>40</v>
      </c>
      <c r="BR30" s="2">
        <v>0</v>
      </c>
      <c r="BS30" s="2">
        <v>1</v>
      </c>
      <c r="BT30" s="2">
        <v>1</v>
      </c>
      <c r="BU30" s="2">
        <v>1</v>
      </c>
      <c r="BV30" s="2">
        <v>1</v>
      </c>
      <c r="BW30" s="2">
        <v>1</v>
      </c>
      <c r="BX30" s="2">
        <v>1</v>
      </c>
      <c r="BY30" s="2" t="s">
        <v>3</v>
      </c>
      <c r="BZ30" s="2">
        <v>90</v>
      </c>
      <c r="CA30" s="2">
        <v>46</v>
      </c>
      <c r="CB30" s="2" t="s">
        <v>3</v>
      </c>
      <c r="CC30" s="2"/>
      <c r="CD30" s="2"/>
      <c r="CE30" s="2">
        <v>1566</v>
      </c>
      <c r="CF30" s="2">
        <v>0</v>
      </c>
      <c r="CG30" s="2">
        <v>0</v>
      </c>
      <c r="CH30" s="2"/>
      <c r="CI30" s="2"/>
      <c r="CJ30" s="2"/>
      <c r="CK30" s="2"/>
      <c r="CL30" s="2"/>
      <c r="CM30" s="2">
        <v>0</v>
      </c>
      <c r="CN30" s="2" t="s">
        <v>623</v>
      </c>
      <c r="CO30" s="2">
        <v>0</v>
      </c>
      <c r="CP30" s="2">
        <f t="shared" si="41"/>
        <v>39.450000000000003</v>
      </c>
      <c r="CQ30" s="2">
        <f t="shared" si="42"/>
        <v>0</v>
      </c>
      <c r="CR30" s="2">
        <f t="shared" si="43"/>
        <v>7.0000000000000007E-2</v>
      </c>
      <c r="CS30" s="2">
        <f t="shared" si="44"/>
        <v>0</v>
      </c>
      <c r="CT30" s="2">
        <f t="shared" si="45"/>
        <v>39.380000000000003</v>
      </c>
      <c r="CU30" s="2">
        <f t="shared" si="46"/>
        <v>0</v>
      </c>
      <c r="CV30" s="2">
        <f t="shared" si="47"/>
        <v>3.3922799999999995</v>
      </c>
      <c r="CW30" s="2">
        <f t="shared" si="48"/>
        <v>0</v>
      </c>
      <c r="CX30" s="2">
        <f t="shared" si="49"/>
        <v>0</v>
      </c>
      <c r="CY30" s="2">
        <f t="shared" si="50"/>
        <v>35.44</v>
      </c>
      <c r="CZ30" s="2">
        <f t="shared" si="51"/>
        <v>18.11</v>
      </c>
      <c r="DA30" s="2"/>
      <c r="DB30" s="2">
        <v>5</v>
      </c>
      <c r="DC30" s="2" t="s">
        <v>3</v>
      </c>
      <c r="DD30" s="2" t="s">
        <v>29</v>
      </c>
      <c r="DE30" s="2" t="s">
        <v>30</v>
      </c>
      <c r="DF30" s="2" t="s">
        <v>30</v>
      </c>
      <c r="DG30" s="2" t="s">
        <v>30</v>
      </c>
      <c r="DH30" s="2" t="s">
        <v>3</v>
      </c>
      <c r="DI30" s="2" t="s">
        <v>30</v>
      </c>
      <c r="DJ30" s="2" t="s">
        <v>30</v>
      </c>
      <c r="DK30" s="2" t="s">
        <v>3</v>
      </c>
      <c r="DL30" s="2" t="s">
        <v>3</v>
      </c>
      <c r="DM30" s="2" t="s">
        <v>3</v>
      </c>
      <c r="DN30" s="2">
        <v>0</v>
      </c>
      <c r="DO30" s="2">
        <v>0</v>
      </c>
      <c r="DP30" s="2">
        <v>1</v>
      </c>
      <c r="DQ30" s="2">
        <v>1</v>
      </c>
      <c r="DR30" s="2"/>
      <c r="DS30" s="2"/>
      <c r="DT30" s="2"/>
      <c r="DU30" s="2">
        <v>1013</v>
      </c>
      <c r="DV30" s="2" t="s">
        <v>27</v>
      </c>
      <c r="DW30" s="2" t="s">
        <v>27</v>
      </c>
      <c r="DX30" s="2">
        <v>1</v>
      </c>
      <c r="DY30" s="2"/>
      <c r="DZ30" s="2" t="s">
        <v>3</v>
      </c>
      <c r="EA30" s="2" t="s">
        <v>3</v>
      </c>
      <c r="EB30" s="2" t="s">
        <v>3</v>
      </c>
      <c r="EC30" s="2" t="s">
        <v>3</v>
      </c>
      <c r="ED30" s="2"/>
      <c r="EE30" s="2">
        <v>57042958</v>
      </c>
      <c r="EF30" s="2">
        <v>40</v>
      </c>
      <c r="EG30" s="2" t="s">
        <v>31</v>
      </c>
      <c r="EH30" s="2">
        <v>0</v>
      </c>
      <c r="EI30" s="2" t="s">
        <v>3</v>
      </c>
      <c r="EJ30" s="2">
        <v>2</v>
      </c>
      <c r="EK30" s="2">
        <v>68</v>
      </c>
      <c r="EL30" s="2" t="s">
        <v>32</v>
      </c>
      <c r="EM30" s="2" t="s">
        <v>33</v>
      </c>
      <c r="EN30" s="2"/>
      <c r="EO30" s="2" t="s">
        <v>34</v>
      </c>
      <c r="EP30" s="2"/>
      <c r="EQ30" s="2">
        <v>0</v>
      </c>
      <c r="ER30" s="2">
        <v>109.12</v>
      </c>
      <c r="ES30" s="2">
        <v>4.45</v>
      </c>
      <c r="ET30" s="2">
        <v>0.18</v>
      </c>
      <c r="EU30" s="2">
        <v>0</v>
      </c>
      <c r="EV30" s="2">
        <v>104.49</v>
      </c>
      <c r="EW30" s="2">
        <v>9</v>
      </c>
      <c r="EX30" s="2">
        <v>0</v>
      </c>
      <c r="EY30" s="2">
        <v>0</v>
      </c>
      <c r="EZ30" s="2"/>
      <c r="FA30" s="2"/>
      <c r="FB30" s="2"/>
      <c r="FC30" s="2"/>
      <c r="FD30" s="2"/>
      <c r="FE30" s="2"/>
      <c r="FF30" s="2"/>
      <c r="FG30" s="2"/>
      <c r="FH30" s="2"/>
      <c r="FI30" s="2"/>
      <c r="FJ30" s="2"/>
      <c r="FK30" s="2"/>
      <c r="FL30" s="2"/>
      <c r="FM30" s="2"/>
      <c r="FN30" s="2"/>
      <c r="FO30" s="2"/>
      <c r="FP30" s="2"/>
      <c r="FQ30" s="2">
        <v>0</v>
      </c>
      <c r="FR30" s="2">
        <v>0</v>
      </c>
      <c r="FS30" s="2">
        <v>0</v>
      </c>
      <c r="FT30" s="2"/>
      <c r="FU30" s="2"/>
      <c r="FV30" s="2"/>
      <c r="FW30" s="2"/>
      <c r="FX30" s="2">
        <v>90</v>
      </c>
      <c r="FY30" s="2">
        <v>46</v>
      </c>
      <c r="FZ30" s="2"/>
      <c r="GA30" s="2" t="s">
        <v>3</v>
      </c>
      <c r="GB30" s="2"/>
      <c r="GC30" s="2"/>
      <c r="GD30" s="2">
        <v>1</v>
      </c>
      <c r="GE30" s="2"/>
      <c r="GF30" s="2">
        <v>717714156</v>
      </c>
      <c r="GG30" s="2">
        <v>2</v>
      </c>
      <c r="GH30" s="2">
        <v>1</v>
      </c>
      <c r="GI30" s="2">
        <v>2</v>
      </c>
      <c r="GJ30" s="2">
        <v>0</v>
      </c>
      <c r="GK30" s="2">
        <v>0</v>
      </c>
      <c r="GL30" s="2">
        <f t="shared" si="52"/>
        <v>0</v>
      </c>
      <c r="GM30" s="2">
        <f t="shared" si="53"/>
        <v>93</v>
      </c>
      <c r="GN30" s="2">
        <f t="shared" si="54"/>
        <v>0</v>
      </c>
      <c r="GO30" s="2">
        <f t="shared" si="55"/>
        <v>93</v>
      </c>
      <c r="GP30" s="2">
        <f t="shared" si="56"/>
        <v>0</v>
      </c>
      <c r="GQ30" s="2"/>
      <c r="GR30" s="2">
        <v>0</v>
      </c>
      <c r="GS30" s="2">
        <v>3</v>
      </c>
      <c r="GT30" s="2">
        <v>0</v>
      </c>
      <c r="GU30" s="2" t="s">
        <v>3</v>
      </c>
      <c r="GV30" s="2">
        <f t="shared" si="57"/>
        <v>0</v>
      </c>
      <c r="GW30" s="2">
        <v>1</v>
      </c>
      <c r="GX30" s="2">
        <f t="shared" si="58"/>
        <v>0</v>
      </c>
      <c r="GY30" s="2"/>
      <c r="GZ30" s="2"/>
      <c r="HA30" s="2">
        <v>0</v>
      </c>
      <c r="HB30" s="2">
        <v>0</v>
      </c>
      <c r="HC30" s="2">
        <f t="shared" si="59"/>
        <v>0</v>
      </c>
      <c r="HD30" s="2"/>
      <c r="HE30" s="2" t="s">
        <v>3</v>
      </c>
      <c r="HF30" s="2" t="s">
        <v>3</v>
      </c>
      <c r="HG30" s="2"/>
      <c r="HH30" s="2"/>
      <c r="HI30" s="2"/>
      <c r="HJ30" s="2"/>
      <c r="HK30" s="2"/>
      <c r="HL30" s="2"/>
      <c r="HM30" s="2" t="s">
        <v>3</v>
      </c>
      <c r="HN30" s="2" t="s">
        <v>3</v>
      </c>
      <c r="HO30" s="2" t="s">
        <v>3</v>
      </c>
      <c r="HP30" s="2" t="s">
        <v>3</v>
      </c>
      <c r="HQ30" s="2" t="s">
        <v>3</v>
      </c>
      <c r="HR30" s="2"/>
      <c r="HS30" s="2">
        <v>0</v>
      </c>
      <c r="HT30" s="2"/>
      <c r="HU30" s="2"/>
      <c r="HV30" s="2"/>
      <c r="HW30" s="2"/>
      <c r="HX30" s="2"/>
      <c r="HY30" s="2"/>
      <c r="HZ30" s="2"/>
      <c r="IA30" s="2"/>
      <c r="IB30" s="2"/>
      <c r="IC30" s="2"/>
      <c r="ID30" s="2"/>
      <c r="IE30" s="2"/>
      <c r="IF30" s="2"/>
      <c r="IG30" s="2"/>
      <c r="IH30" s="2"/>
      <c r="II30" s="2"/>
      <c r="IJ30" s="2"/>
      <c r="IK30" s="2">
        <v>0</v>
      </c>
      <c r="IL30" s="2"/>
      <c r="IM30" s="2"/>
      <c r="IN30" s="2"/>
      <c r="IO30" s="2"/>
      <c r="IP30" s="2"/>
      <c r="IQ30" s="2"/>
      <c r="IR30" s="2"/>
      <c r="IS30" s="2"/>
      <c r="IT30" s="2"/>
      <c r="IU30" s="2"/>
    </row>
    <row r="31" spans="1:255" x14ac:dyDescent="0.25">
      <c r="A31" s="3">
        <v>17</v>
      </c>
      <c r="B31" s="3">
        <v>1</v>
      </c>
      <c r="C31" s="3">
        <f>ROW(SmtRes!A16)</f>
        <v>16</v>
      </c>
      <c r="D31" s="3">
        <f>ROW(EtalonRes!A20)</f>
        <v>20</v>
      </c>
      <c r="E31" s="3" t="s">
        <v>35</v>
      </c>
      <c r="F31" s="3" t="s">
        <v>36</v>
      </c>
      <c r="G31" s="3" t="s">
        <v>37</v>
      </c>
      <c r="H31" s="3" t="s">
        <v>27</v>
      </c>
      <c r="I31" s="3">
        <v>1</v>
      </c>
      <c r="J31" s="3">
        <v>0</v>
      </c>
      <c r="K31" s="3">
        <v>1</v>
      </c>
      <c r="O31" s="3">
        <f t="shared" si="21"/>
        <v>2219.71</v>
      </c>
      <c r="P31" s="3">
        <f t="shared" si="22"/>
        <v>0</v>
      </c>
      <c r="Q31" s="3">
        <f t="shared" si="23"/>
        <v>0.65</v>
      </c>
      <c r="R31" s="3">
        <f t="shared" si="24"/>
        <v>0</v>
      </c>
      <c r="S31" s="3">
        <f t="shared" si="25"/>
        <v>2219.06</v>
      </c>
      <c r="T31" s="3">
        <f t="shared" si="26"/>
        <v>0</v>
      </c>
      <c r="U31" s="3">
        <f t="shared" si="27"/>
        <v>3.3922799999999995</v>
      </c>
      <c r="V31" s="3">
        <f t="shared" si="28"/>
        <v>0</v>
      </c>
      <c r="W31" s="3">
        <f t="shared" si="29"/>
        <v>0</v>
      </c>
      <c r="X31" s="3">
        <f t="shared" si="30"/>
        <v>1997.15</v>
      </c>
      <c r="Y31" s="3">
        <f t="shared" si="31"/>
        <v>1020.77</v>
      </c>
      <c r="AA31" s="3">
        <v>57014140</v>
      </c>
      <c r="AB31" s="3">
        <f t="shared" si="32"/>
        <v>37.681199999999997</v>
      </c>
      <c r="AC31" s="3">
        <f t="shared" si="33"/>
        <v>0</v>
      </c>
      <c r="AD31" s="3">
        <f t="shared" si="34"/>
        <v>6.4799999999999996E-2</v>
      </c>
      <c r="AE31" s="3">
        <f t="shared" si="35"/>
        <v>0</v>
      </c>
      <c r="AF31" s="3">
        <f t="shared" si="36"/>
        <v>37.616399999999999</v>
      </c>
      <c r="AG31" s="3">
        <f t="shared" si="37"/>
        <v>0</v>
      </c>
      <c r="AH31" s="3">
        <f t="shared" si="38"/>
        <v>3.2399999999999998</v>
      </c>
      <c r="AI31" s="3">
        <f t="shared" si="39"/>
        <v>0</v>
      </c>
      <c r="AJ31" s="3">
        <f t="shared" si="40"/>
        <v>0</v>
      </c>
      <c r="AK31" s="3">
        <v>109.12</v>
      </c>
      <c r="AL31" s="3">
        <v>4.45</v>
      </c>
      <c r="AM31" s="3">
        <v>0.18</v>
      </c>
      <c r="AN31" s="3">
        <v>0</v>
      </c>
      <c r="AO31" s="3">
        <v>104.49</v>
      </c>
      <c r="AP31" s="3">
        <v>0</v>
      </c>
      <c r="AQ31" s="3">
        <v>9</v>
      </c>
      <c r="AR31" s="3">
        <v>0</v>
      </c>
      <c r="AS31" s="3">
        <v>0</v>
      </c>
      <c r="AT31" s="3">
        <v>90</v>
      </c>
      <c r="AU31" s="3">
        <v>46</v>
      </c>
      <c r="AV31" s="3">
        <v>1.0469999999999999</v>
      </c>
      <c r="AW31" s="3">
        <v>1</v>
      </c>
      <c r="AZ31" s="3">
        <v>1</v>
      </c>
      <c r="BA31" s="3">
        <v>56.35</v>
      </c>
      <c r="BB31" s="3">
        <v>9.2799999999999994</v>
      </c>
      <c r="BC31" s="3">
        <v>0.93</v>
      </c>
      <c r="BD31" s="3" t="s">
        <v>3</v>
      </c>
      <c r="BE31" s="3" t="s">
        <v>3</v>
      </c>
      <c r="BF31" s="3" t="s">
        <v>3</v>
      </c>
      <c r="BG31" s="3" t="s">
        <v>3</v>
      </c>
      <c r="BH31" s="3">
        <v>0</v>
      </c>
      <c r="BI31" s="3">
        <v>2</v>
      </c>
      <c r="BJ31" s="3" t="s">
        <v>38</v>
      </c>
      <c r="BM31" s="3">
        <v>68</v>
      </c>
      <c r="BN31" s="3">
        <v>0</v>
      </c>
      <c r="BO31" s="3" t="s">
        <v>36</v>
      </c>
      <c r="BP31" s="3">
        <v>1</v>
      </c>
      <c r="BQ31" s="3">
        <v>40</v>
      </c>
      <c r="BR31" s="3">
        <v>0</v>
      </c>
      <c r="BS31" s="3">
        <v>56.35</v>
      </c>
      <c r="BT31" s="3">
        <v>1</v>
      </c>
      <c r="BU31" s="3">
        <v>1</v>
      </c>
      <c r="BV31" s="3">
        <v>1</v>
      </c>
      <c r="BW31" s="3">
        <v>1</v>
      </c>
      <c r="BX31" s="3">
        <v>1</v>
      </c>
      <c r="BY31" s="3" t="s">
        <v>3</v>
      </c>
      <c r="BZ31" s="3">
        <v>90</v>
      </c>
      <c r="CA31" s="3">
        <v>46</v>
      </c>
      <c r="CB31" s="3" t="s">
        <v>3</v>
      </c>
      <c r="CE31" s="3">
        <v>1566</v>
      </c>
      <c r="CF31" s="3">
        <v>0</v>
      </c>
      <c r="CG31" s="3">
        <v>0</v>
      </c>
      <c r="CM31" s="3">
        <v>0</v>
      </c>
      <c r="CN31" s="3" t="s">
        <v>623</v>
      </c>
      <c r="CO31" s="3">
        <v>0</v>
      </c>
      <c r="CP31" s="3">
        <f t="shared" si="41"/>
        <v>2219.71</v>
      </c>
      <c r="CQ31" s="3">
        <f t="shared" si="42"/>
        <v>0</v>
      </c>
      <c r="CR31" s="3">
        <f t="shared" si="43"/>
        <v>0.65</v>
      </c>
      <c r="CS31" s="3">
        <f t="shared" si="44"/>
        <v>0</v>
      </c>
      <c r="CT31" s="3">
        <f t="shared" si="45"/>
        <v>2219.06</v>
      </c>
      <c r="CU31" s="3">
        <f t="shared" si="46"/>
        <v>0</v>
      </c>
      <c r="CV31" s="3">
        <f t="shared" si="47"/>
        <v>3.3922799999999995</v>
      </c>
      <c r="CW31" s="3">
        <f t="shared" si="48"/>
        <v>0</v>
      </c>
      <c r="CX31" s="3">
        <f t="shared" si="49"/>
        <v>0</v>
      </c>
      <c r="CY31" s="3">
        <f t="shared" si="50"/>
        <v>1997.15</v>
      </c>
      <c r="CZ31" s="3">
        <f t="shared" si="51"/>
        <v>1020.77</v>
      </c>
      <c r="DB31" s="3">
        <v>7</v>
      </c>
      <c r="DC31" s="3" t="s">
        <v>3</v>
      </c>
      <c r="DD31" s="3" t="s">
        <v>29</v>
      </c>
      <c r="DE31" s="3" t="s">
        <v>30</v>
      </c>
      <c r="DF31" s="3" t="s">
        <v>30</v>
      </c>
      <c r="DG31" s="3" t="s">
        <v>30</v>
      </c>
      <c r="DH31" s="3" t="s">
        <v>3</v>
      </c>
      <c r="DI31" s="3" t="s">
        <v>30</v>
      </c>
      <c r="DJ31" s="3" t="s">
        <v>30</v>
      </c>
      <c r="DK31" s="3" t="s">
        <v>3</v>
      </c>
      <c r="DL31" s="3" t="s">
        <v>3</v>
      </c>
      <c r="DM31" s="3" t="s">
        <v>3</v>
      </c>
      <c r="DN31" s="3">
        <v>0</v>
      </c>
      <c r="DO31" s="3">
        <v>0</v>
      </c>
      <c r="DP31" s="3">
        <v>1</v>
      </c>
      <c r="DQ31" s="3">
        <v>1</v>
      </c>
      <c r="DU31" s="3">
        <v>1013</v>
      </c>
      <c r="DV31" s="3" t="s">
        <v>27</v>
      </c>
      <c r="DW31" s="3" t="s">
        <v>27</v>
      </c>
      <c r="DX31" s="3">
        <v>1</v>
      </c>
      <c r="DZ31" s="3" t="s">
        <v>3</v>
      </c>
      <c r="EA31" s="3" t="s">
        <v>3</v>
      </c>
      <c r="EB31" s="3" t="s">
        <v>3</v>
      </c>
      <c r="EC31" s="3" t="s">
        <v>3</v>
      </c>
      <c r="EE31" s="3">
        <v>57042958</v>
      </c>
      <c r="EF31" s="3">
        <v>40</v>
      </c>
      <c r="EG31" s="3" t="s">
        <v>31</v>
      </c>
      <c r="EH31" s="3">
        <v>0</v>
      </c>
      <c r="EI31" s="3" t="s">
        <v>3</v>
      </c>
      <c r="EJ31" s="3">
        <v>2</v>
      </c>
      <c r="EK31" s="3">
        <v>68</v>
      </c>
      <c r="EL31" s="3" t="s">
        <v>32</v>
      </c>
      <c r="EM31" s="3" t="s">
        <v>33</v>
      </c>
      <c r="EO31" s="3" t="s">
        <v>34</v>
      </c>
      <c r="EQ31" s="3">
        <v>0</v>
      </c>
      <c r="ER31" s="3">
        <v>109.12</v>
      </c>
      <c r="ES31" s="3">
        <v>4.45</v>
      </c>
      <c r="ET31" s="3">
        <v>0.18</v>
      </c>
      <c r="EU31" s="3">
        <v>0</v>
      </c>
      <c r="EV31" s="3">
        <v>104.49</v>
      </c>
      <c r="EW31" s="3">
        <v>9</v>
      </c>
      <c r="EX31" s="3">
        <v>0</v>
      </c>
      <c r="EY31" s="3">
        <v>0</v>
      </c>
      <c r="FQ31" s="3">
        <v>0</v>
      </c>
      <c r="FR31" s="3">
        <v>0</v>
      </c>
      <c r="FS31" s="3">
        <v>0</v>
      </c>
      <c r="FX31" s="3">
        <v>90</v>
      </c>
      <c r="FY31" s="3">
        <v>46</v>
      </c>
      <c r="GA31" s="3" t="s">
        <v>3</v>
      </c>
      <c r="GD31" s="3">
        <v>1</v>
      </c>
      <c r="GF31" s="3">
        <v>717714156</v>
      </c>
      <c r="GG31" s="3">
        <v>2</v>
      </c>
      <c r="GH31" s="3">
        <v>1</v>
      </c>
      <c r="GI31" s="3">
        <v>2</v>
      </c>
      <c r="GJ31" s="3">
        <v>0</v>
      </c>
      <c r="GK31" s="3">
        <v>0</v>
      </c>
      <c r="GL31" s="3">
        <f t="shared" si="52"/>
        <v>0</v>
      </c>
      <c r="GM31" s="3">
        <f t="shared" si="53"/>
        <v>5237.63</v>
      </c>
      <c r="GN31" s="3">
        <f t="shared" si="54"/>
        <v>0</v>
      </c>
      <c r="GO31" s="3">
        <f t="shared" si="55"/>
        <v>5237.63</v>
      </c>
      <c r="GP31" s="3">
        <f t="shared" si="56"/>
        <v>0</v>
      </c>
      <c r="GR31" s="3">
        <v>0</v>
      </c>
      <c r="GS31" s="3">
        <v>3</v>
      </c>
      <c r="GT31" s="3">
        <v>0</v>
      </c>
      <c r="GU31" s="3" t="s">
        <v>3</v>
      </c>
      <c r="GV31" s="3">
        <f t="shared" si="57"/>
        <v>0</v>
      </c>
      <c r="GW31" s="3">
        <v>1</v>
      </c>
      <c r="GX31" s="3">
        <f t="shared" si="58"/>
        <v>0</v>
      </c>
      <c r="HA31" s="3">
        <v>0</v>
      </c>
      <c r="HB31" s="3">
        <v>0</v>
      </c>
      <c r="HC31" s="3">
        <f t="shared" si="59"/>
        <v>0</v>
      </c>
      <c r="HE31" s="3" t="s">
        <v>3</v>
      </c>
      <c r="HF31" s="3" t="s">
        <v>3</v>
      </c>
      <c r="HM31" s="3" t="s">
        <v>3</v>
      </c>
      <c r="HN31" s="3" t="s">
        <v>3</v>
      </c>
      <c r="HO31" s="3" t="s">
        <v>3</v>
      </c>
      <c r="HP31" s="3" t="s">
        <v>3</v>
      </c>
      <c r="HQ31" s="3" t="s">
        <v>3</v>
      </c>
      <c r="HS31" s="3">
        <v>0</v>
      </c>
      <c r="IK31" s="3">
        <v>0</v>
      </c>
    </row>
    <row r="32" spans="1:255" x14ac:dyDescent="0.25">
      <c r="A32" s="2">
        <v>17</v>
      </c>
      <c r="B32" s="2">
        <v>1</v>
      </c>
      <c r="C32" s="2">
        <f>ROW(SmtRes!A17)</f>
        <v>17</v>
      </c>
      <c r="D32" s="2">
        <f>ROW(EtalonRes!A21)</f>
        <v>21</v>
      </c>
      <c r="E32" s="2" t="s">
        <v>39</v>
      </c>
      <c r="F32" s="2" t="s">
        <v>40</v>
      </c>
      <c r="G32" s="2" t="s">
        <v>41</v>
      </c>
      <c r="H32" s="2" t="s">
        <v>27</v>
      </c>
      <c r="I32" s="2">
        <v>2</v>
      </c>
      <c r="J32" s="2">
        <v>0</v>
      </c>
      <c r="K32" s="2">
        <v>2</v>
      </c>
      <c r="L32" s="2"/>
      <c r="M32" s="2"/>
      <c r="N32" s="2"/>
      <c r="O32" s="2">
        <f t="shared" si="21"/>
        <v>116.47</v>
      </c>
      <c r="P32" s="2">
        <f t="shared" si="22"/>
        <v>0</v>
      </c>
      <c r="Q32" s="2">
        <f t="shared" si="23"/>
        <v>0.05</v>
      </c>
      <c r="R32" s="2">
        <f t="shared" si="24"/>
        <v>0.01</v>
      </c>
      <c r="S32" s="2">
        <f t="shared" si="25"/>
        <v>116.42</v>
      </c>
      <c r="T32" s="2">
        <f t="shared" si="26"/>
        <v>0</v>
      </c>
      <c r="U32" s="2">
        <f t="shared" si="27"/>
        <v>8.8199279999999991</v>
      </c>
      <c r="V32" s="2">
        <f t="shared" si="28"/>
        <v>0</v>
      </c>
      <c r="W32" s="2">
        <f t="shared" si="29"/>
        <v>0</v>
      </c>
      <c r="X32" s="2">
        <f t="shared" si="30"/>
        <v>104.79</v>
      </c>
      <c r="Y32" s="2">
        <f t="shared" si="31"/>
        <v>53.56</v>
      </c>
      <c r="Z32" s="2"/>
      <c r="AA32" s="2">
        <v>57014138</v>
      </c>
      <c r="AB32" s="2">
        <f t="shared" si="32"/>
        <v>55.62</v>
      </c>
      <c r="AC32" s="2">
        <f t="shared" si="33"/>
        <v>0</v>
      </c>
      <c r="AD32" s="2">
        <f t="shared" si="34"/>
        <v>2.1600000000000001E-2</v>
      </c>
      <c r="AE32" s="2">
        <f t="shared" si="35"/>
        <v>3.5999999999999999E-3</v>
      </c>
      <c r="AF32" s="2">
        <f t="shared" si="36"/>
        <v>55.598399999999998</v>
      </c>
      <c r="AG32" s="2">
        <f t="shared" si="37"/>
        <v>0</v>
      </c>
      <c r="AH32" s="2">
        <f t="shared" si="38"/>
        <v>4.2119999999999997</v>
      </c>
      <c r="AI32" s="2">
        <f t="shared" si="39"/>
        <v>0</v>
      </c>
      <c r="AJ32" s="2">
        <f t="shared" si="40"/>
        <v>0</v>
      </c>
      <c r="AK32" s="2">
        <v>175.43</v>
      </c>
      <c r="AL32" s="2">
        <v>20.93</v>
      </c>
      <c r="AM32" s="2">
        <v>0.06</v>
      </c>
      <c r="AN32" s="2">
        <v>0.01</v>
      </c>
      <c r="AO32" s="2">
        <v>154.44</v>
      </c>
      <c r="AP32" s="2">
        <v>0</v>
      </c>
      <c r="AQ32" s="2">
        <v>11.7</v>
      </c>
      <c r="AR32" s="2">
        <v>0</v>
      </c>
      <c r="AS32" s="2">
        <v>0</v>
      </c>
      <c r="AT32" s="2">
        <v>90</v>
      </c>
      <c r="AU32" s="2">
        <v>46</v>
      </c>
      <c r="AV32" s="2">
        <v>1.0469999999999999</v>
      </c>
      <c r="AW32" s="2">
        <v>1</v>
      </c>
      <c r="AX32" s="2"/>
      <c r="AY32" s="2"/>
      <c r="AZ32" s="2">
        <v>1</v>
      </c>
      <c r="BA32" s="2">
        <v>1</v>
      </c>
      <c r="BB32" s="2">
        <v>1</v>
      </c>
      <c r="BC32" s="2">
        <v>1</v>
      </c>
      <c r="BD32" s="2" t="s">
        <v>3</v>
      </c>
      <c r="BE32" s="2" t="s">
        <v>3</v>
      </c>
      <c r="BF32" s="2" t="s">
        <v>3</v>
      </c>
      <c r="BG32" s="2" t="s">
        <v>3</v>
      </c>
      <c r="BH32" s="2">
        <v>0</v>
      </c>
      <c r="BI32" s="2">
        <v>2</v>
      </c>
      <c r="BJ32" s="2" t="s">
        <v>42</v>
      </c>
      <c r="BK32" s="2"/>
      <c r="BL32" s="2"/>
      <c r="BM32" s="2">
        <v>68</v>
      </c>
      <c r="BN32" s="2">
        <v>0</v>
      </c>
      <c r="BO32" s="2" t="s">
        <v>40</v>
      </c>
      <c r="BP32" s="2">
        <v>1</v>
      </c>
      <c r="BQ32" s="2">
        <v>40</v>
      </c>
      <c r="BR32" s="2">
        <v>0</v>
      </c>
      <c r="BS32" s="2">
        <v>1</v>
      </c>
      <c r="BT32" s="2">
        <v>1</v>
      </c>
      <c r="BU32" s="2">
        <v>1</v>
      </c>
      <c r="BV32" s="2">
        <v>1</v>
      </c>
      <c r="BW32" s="2">
        <v>1</v>
      </c>
      <c r="BX32" s="2">
        <v>1</v>
      </c>
      <c r="BY32" s="2" t="s">
        <v>3</v>
      </c>
      <c r="BZ32" s="2">
        <v>90</v>
      </c>
      <c r="CA32" s="2">
        <v>46</v>
      </c>
      <c r="CB32" s="2" t="s">
        <v>3</v>
      </c>
      <c r="CC32" s="2"/>
      <c r="CD32" s="2"/>
      <c r="CE32" s="2">
        <v>1566</v>
      </c>
      <c r="CF32" s="2">
        <v>0</v>
      </c>
      <c r="CG32" s="2">
        <v>0</v>
      </c>
      <c r="CH32" s="2"/>
      <c r="CI32" s="2"/>
      <c r="CJ32" s="2"/>
      <c r="CK32" s="2"/>
      <c r="CL32" s="2"/>
      <c r="CM32" s="2">
        <v>0</v>
      </c>
      <c r="CN32" s="2" t="s">
        <v>623</v>
      </c>
      <c r="CO32" s="2">
        <v>0</v>
      </c>
      <c r="CP32" s="2">
        <f t="shared" si="41"/>
        <v>116.47</v>
      </c>
      <c r="CQ32" s="2">
        <f t="shared" si="42"/>
        <v>0</v>
      </c>
      <c r="CR32" s="2">
        <f t="shared" si="43"/>
        <v>0.02</v>
      </c>
      <c r="CS32" s="2">
        <f t="shared" si="44"/>
        <v>0</v>
      </c>
      <c r="CT32" s="2">
        <f t="shared" si="45"/>
        <v>58.21</v>
      </c>
      <c r="CU32" s="2">
        <f t="shared" si="46"/>
        <v>0</v>
      </c>
      <c r="CV32" s="2">
        <f t="shared" si="47"/>
        <v>4.4099639999999996</v>
      </c>
      <c r="CW32" s="2">
        <f t="shared" si="48"/>
        <v>0</v>
      </c>
      <c r="CX32" s="2">
        <f t="shared" si="49"/>
        <v>0</v>
      </c>
      <c r="CY32" s="2">
        <f t="shared" si="50"/>
        <v>104.78</v>
      </c>
      <c r="CZ32" s="2">
        <f t="shared" si="51"/>
        <v>53.55</v>
      </c>
      <c r="DA32" s="2"/>
      <c r="DB32" s="2">
        <v>9</v>
      </c>
      <c r="DC32" s="2" t="s">
        <v>3</v>
      </c>
      <c r="DD32" s="2" t="s">
        <v>29</v>
      </c>
      <c r="DE32" s="2" t="s">
        <v>30</v>
      </c>
      <c r="DF32" s="2" t="s">
        <v>30</v>
      </c>
      <c r="DG32" s="2" t="s">
        <v>30</v>
      </c>
      <c r="DH32" s="2" t="s">
        <v>3</v>
      </c>
      <c r="DI32" s="2" t="s">
        <v>30</v>
      </c>
      <c r="DJ32" s="2" t="s">
        <v>30</v>
      </c>
      <c r="DK32" s="2" t="s">
        <v>3</v>
      </c>
      <c r="DL32" s="2" t="s">
        <v>3</v>
      </c>
      <c r="DM32" s="2" t="s">
        <v>3</v>
      </c>
      <c r="DN32" s="2">
        <v>0</v>
      </c>
      <c r="DO32" s="2">
        <v>0</v>
      </c>
      <c r="DP32" s="2">
        <v>1</v>
      </c>
      <c r="DQ32" s="2">
        <v>1</v>
      </c>
      <c r="DR32" s="2"/>
      <c r="DS32" s="2"/>
      <c r="DT32" s="2"/>
      <c r="DU32" s="2">
        <v>1013</v>
      </c>
      <c r="DV32" s="2" t="s">
        <v>27</v>
      </c>
      <c r="DW32" s="2" t="s">
        <v>27</v>
      </c>
      <c r="DX32" s="2">
        <v>1</v>
      </c>
      <c r="DY32" s="2"/>
      <c r="DZ32" s="2" t="s">
        <v>3</v>
      </c>
      <c r="EA32" s="2" t="s">
        <v>3</v>
      </c>
      <c r="EB32" s="2" t="s">
        <v>3</v>
      </c>
      <c r="EC32" s="2" t="s">
        <v>3</v>
      </c>
      <c r="ED32" s="2"/>
      <c r="EE32" s="2">
        <v>57042958</v>
      </c>
      <c r="EF32" s="2">
        <v>40</v>
      </c>
      <c r="EG32" s="2" t="s">
        <v>31</v>
      </c>
      <c r="EH32" s="2">
        <v>0</v>
      </c>
      <c r="EI32" s="2" t="s">
        <v>3</v>
      </c>
      <c r="EJ32" s="2">
        <v>2</v>
      </c>
      <c r="EK32" s="2">
        <v>68</v>
      </c>
      <c r="EL32" s="2" t="s">
        <v>32</v>
      </c>
      <c r="EM32" s="2" t="s">
        <v>33</v>
      </c>
      <c r="EN32" s="2"/>
      <c r="EO32" s="2" t="s">
        <v>34</v>
      </c>
      <c r="EP32" s="2"/>
      <c r="EQ32" s="2">
        <v>0</v>
      </c>
      <c r="ER32" s="2">
        <v>175.43</v>
      </c>
      <c r="ES32" s="2">
        <v>20.93</v>
      </c>
      <c r="ET32" s="2">
        <v>0.06</v>
      </c>
      <c r="EU32" s="2">
        <v>0.01</v>
      </c>
      <c r="EV32" s="2">
        <v>154.44</v>
      </c>
      <c r="EW32" s="2">
        <v>11.7</v>
      </c>
      <c r="EX32" s="2">
        <v>0</v>
      </c>
      <c r="EY32" s="2">
        <v>0</v>
      </c>
      <c r="EZ32" s="2"/>
      <c r="FA32" s="2"/>
      <c r="FB32" s="2"/>
      <c r="FC32" s="2"/>
      <c r="FD32" s="2"/>
      <c r="FE32" s="2"/>
      <c r="FF32" s="2"/>
      <c r="FG32" s="2"/>
      <c r="FH32" s="2"/>
      <c r="FI32" s="2"/>
      <c r="FJ32" s="2"/>
      <c r="FK32" s="2"/>
      <c r="FL32" s="2"/>
      <c r="FM32" s="2"/>
      <c r="FN32" s="2"/>
      <c r="FO32" s="2"/>
      <c r="FP32" s="2"/>
      <c r="FQ32" s="2">
        <v>0</v>
      </c>
      <c r="FR32" s="2">
        <v>0</v>
      </c>
      <c r="FS32" s="2">
        <v>0</v>
      </c>
      <c r="FT32" s="2"/>
      <c r="FU32" s="2"/>
      <c r="FV32" s="2"/>
      <c r="FW32" s="2"/>
      <c r="FX32" s="2">
        <v>90</v>
      </c>
      <c r="FY32" s="2">
        <v>46</v>
      </c>
      <c r="FZ32" s="2"/>
      <c r="GA32" s="2" t="s">
        <v>3</v>
      </c>
      <c r="GB32" s="2"/>
      <c r="GC32" s="2"/>
      <c r="GD32" s="2">
        <v>1</v>
      </c>
      <c r="GE32" s="2"/>
      <c r="GF32" s="2">
        <v>-616531060</v>
      </c>
      <c r="GG32" s="2">
        <v>2</v>
      </c>
      <c r="GH32" s="2">
        <v>1</v>
      </c>
      <c r="GI32" s="2">
        <v>2</v>
      </c>
      <c r="GJ32" s="2">
        <v>0</v>
      </c>
      <c r="GK32" s="2">
        <v>0</v>
      </c>
      <c r="GL32" s="2">
        <f t="shared" si="52"/>
        <v>0</v>
      </c>
      <c r="GM32" s="2">
        <f t="shared" si="53"/>
        <v>274.82</v>
      </c>
      <c r="GN32" s="2">
        <f t="shared" si="54"/>
        <v>0</v>
      </c>
      <c r="GO32" s="2">
        <f t="shared" si="55"/>
        <v>274.82</v>
      </c>
      <c r="GP32" s="2">
        <f t="shared" si="56"/>
        <v>0</v>
      </c>
      <c r="GQ32" s="2"/>
      <c r="GR32" s="2">
        <v>0</v>
      </c>
      <c r="GS32" s="2">
        <v>3</v>
      </c>
      <c r="GT32" s="2">
        <v>0</v>
      </c>
      <c r="GU32" s="2" t="s">
        <v>3</v>
      </c>
      <c r="GV32" s="2">
        <f t="shared" si="57"/>
        <v>0</v>
      </c>
      <c r="GW32" s="2">
        <v>1</v>
      </c>
      <c r="GX32" s="2">
        <f t="shared" si="58"/>
        <v>0</v>
      </c>
      <c r="GY32" s="2"/>
      <c r="GZ32" s="2"/>
      <c r="HA32" s="2">
        <v>0</v>
      </c>
      <c r="HB32" s="2">
        <v>0</v>
      </c>
      <c r="HC32" s="2">
        <f t="shared" si="59"/>
        <v>0</v>
      </c>
      <c r="HD32" s="2"/>
      <c r="HE32" s="2" t="s">
        <v>3</v>
      </c>
      <c r="HF32" s="2" t="s">
        <v>3</v>
      </c>
      <c r="HG32" s="2"/>
      <c r="HH32" s="2"/>
      <c r="HI32" s="2"/>
      <c r="HJ32" s="2"/>
      <c r="HK32" s="2"/>
      <c r="HL32" s="2"/>
      <c r="HM32" s="2" t="s">
        <v>3</v>
      </c>
      <c r="HN32" s="2" t="s">
        <v>3</v>
      </c>
      <c r="HO32" s="2" t="s">
        <v>3</v>
      </c>
      <c r="HP32" s="2" t="s">
        <v>3</v>
      </c>
      <c r="HQ32" s="2" t="s">
        <v>3</v>
      </c>
      <c r="HR32" s="2"/>
      <c r="HS32" s="2">
        <v>0</v>
      </c>
      <c r="HT32" s="2"/>
      <c r="HU32" s="2"/>
      <c r="HV32" s="2"/>
      <c r="HW32" s="2"/>
      <c r="HX32" s="2"/>
      <c r="HY32" s="2"/>
      <c r="HZ32" s="2"/>
      <c r="IA32" s="2"/>
      <c r="IB32" s="2"/>
      <c r="IC32" s="2"/>
      <c r="ID32" s="2"/>
      <c r="IE32" s="2"/>
      <c r="IF32" s="2"/>
      <c r="IG32" s="2"/>
      <c r="IH32" s="2"/>
      <c r="II32" s="2"/>
      <c r="IJ32" s="2"/>
      <c r="IK32" s="2">
        <v>0</v>
      </c>
      <c r="IL32" s="2"/>
      <c r="IM32" s="2"/>
      <c r="IN32" s="2"/>
      <c r="IO32" s="2"/>
      <c r="IP32" s="2"/>
      <c r="IQ32" s="2"/>
      <c r="IR32" s="2"/>
      <c r="IS32" s="2"/>
      <c r="IT32" s="2"/>
      <c r="IU32" s="2"/>
    </row>
    <row r="33" spans="1:255" x14ac:dyDescent="0.25">
      <c r="A33" s="3">
        <v>17</v>
      </c>
      <c r="B33" s="3">
        <v>1</v>
      </c>
      <c r="C33" s="3">
        <f>ROW(SmtRes!A18)</f>
        <v>18</v>
      </c>
      <c r="D33" s="3">
        <f>ROW(EtalonRes!A22)</f>
        <v>22</v>
      </c>
      <c r="E33" s="3" t="s">
        <v>39</v>
      </c>
      <c r="F33" s="3" t="s">
        <v>40</v>
      </c>
      <c r="G33" s="3" t="s">
        <v>41</v>
      </c>
      <c r="H33" s="3" t="s">
        <v>27</v>
      </c>
      <c r="I33" s="3">
        <v>2</v>
      </c>
      <c r="J33" s="3">
        <v>0</v>
      </c>
      <c r="K33" s="3">
        <v>2</v>
      </c>
      <c r="O33" s="3">
        <f t="shared" si="21"/>
        <v>6561.2</v>
      </c>
      <c r="P33" s="3">
        <f t="shared" si="22"/>
        <v>0</v>
      </c>
      <c r="Q33" s="3">
        <f t="shared" si="23"/>
        <v>0.93</v>
      </c>
      <c r="R33" s="3">
        <f t="shared" si="24"/>
        <v>0.56000000000000005</v>
      </c>
      <c r="S33" s="3">
        <f t="shared" si="25"/>
        <v>6560.27</v>
      </c>
      <c r="T33" s="3">
        <f t="shared" si="26"/>
        <v>0</v>
      </c>
      <c r="U33" s="3">
        <f t="shared" si="27"/>
        <v>8.8199279999999991</v>
      </c>
      <c r="V33" s="3">
        <f t="shared" si="28"/>
        <v>0</v>
      </c>
      <c r="W33" s="3">
        <f t="shared" si="29"/>
        <v>0</v>
      </c>
      <c r="X33" s="3">
        <f t="shared" si="30"/>
        <v>5904.75</v>
      </c>
      <c r="Y33" s="3">
        <f t="shared" si="31"/>
        <v>3017.98</v>
      </c>
      <c r="AA33" s="3">
        <v>57014140</v>
      </c>
      <c r="AB33" s="3">
        <f t="shared" si="32"/>
        <v>55.62</v>
      </c>
      <c r="AC33" s="3">
        <f t="shared" si="33"/>
        <v>0</v>
      </c>
      <c r="AD33" s="3">
        <f t="shared" si="34"/>
        <v>2.1600000000000001E-2</v>
      </c>
      <c r="AE33" s="3">
        <f t="shared" si="35"/>
        <v>3.5999999999999999E-3</v>
      </c>
      <c r="AF33" s="3">
        <f t="shared" si="36"/>
        <v>55.598399999999998</v>
      </c>
      <c r="AG33" s="3">
        <f t="shared" si="37"/>
        <v>0</v>
      </c>
      <c r="AH33" s="3">
        <f t="shared" si="38"/>
        <v>4.2119999999999997</v>
      </c>
      <c r="AI33" s="3">
        <f t="shared" si="39"/>
        <v>0</v>
      </c>
      <c r="AJ33" s="3">
        <f t="shared" si="40"/>
        <v>0</v>
      </c>
      <c r="AK33" s="3">
        <v>175.43</v>
      </c>
      <c r="AL33" s="3">
        <v>20.93</v>
      </c>
      <c r="AM33" s="3">
        <v>0.06</v>
      </c>
      <c r="AN33" s="3">
        <v>0.01</v>
      </c>
      <c r="AO33" s="3">
        <v>154.44</v>
      </c>
      <c r="AP33" s="3">
        <v>0</v>
      </c>
      <c r="AQ33" s="3">
        <v>11.7</v>
      </c>
      <c r="AR33" s="3">
        <v>0</v>
      </c>
      <c r="AS33" s="3">
        <v>0</v>
      </c>
      <c r="AT33" s="3">
        <v>90</v>
      </c>
      <c r="AU33" s="3">
        <v>46</v>
      </c>
      <c r="AV33" s="3">
        <v>1.0469999999999999</v>
      </c>
      <c r="AW33" s="3">
        <v>1</v>
      </c>
      <c r="AZ33" s="3">
        <v>1</v>
      </c>
      <c r="BA33" s="3">
        <v>56.35</v>
      </c>
      <c r="BB33" s="3">
        <v>18.5</v>
      </c>
      <c r="BC33" s="3">
        <v>9.84</v>
      </c>
      <c r="BD33" s="3" t="s">
        <v>3</v>
      </c>
      <c r="BE33" s="3" t="s">
        <v>3</v>
      </c>
      <c r="BF33" s="3" t="s">
        <v>3</v>
      </c>
      <c r="BG33" s="3" t="s">
        <v>3</v>
      </c>
      <c r="BH33" s="3">
        <v>0</v>
      </c>
      <c r="BI33" s="3">
        <v>2</v>
      </c>
      <c r="BJ33" s="3" t="s">
        <v>42</v>
      </c>
      <c r="BM33" s="3">
        <v>68</v>
      </c>
      <c r="BN33" s="3">
        <v>0</v>
      </c>
      <c r="BO33" s="3" t="s">
        <v>40</v>
      </c>
      <c r="BP33" s="3">
        <v>1</v>
      </c>
      <c r="BQ33" s="3">
        <v>40</v>
      </c>
      <c r="BR33" s="3">
        <v>0</v>
      </c>
      <c r="BS33" s="3">
        <v>56.35</v>
      </c>
      <c r="BT33" s="3">
        <v>1</v>
      </c>
      <c r="BU33" s="3">
        <v>1</v>
      </c>
      <c r="BV33" s="3">
        <v>1</v>
      </c>
      <c r="BW33" s="3">
        <v>1</v>
      </c>
      <c r="BX33" s="3">
        <v>1</v>
      </c>
      <c r="BY33" s="3" t="s">
        <v>3</v>
      </c>
      <c r="BZ33" s="3">
        <v>90</v>
      </c>
      <c r="CA33" s="3">
        <v>46</v>
      </c>
      <c r="CB33" s="3" t="s">
        <v>3</v>
      </c>
      <c r="CE33" s="3">
        <v>1566</v>
      </c>
      <c r="CF33" s="3">
        <v>0</v>
      </c>
      <c r="CG33" s="3">
        <v>0</v>
      </c>
      <c r="CM33" s="3">
        <v>0</v>
      </c>
      <c r="CN33" s="3" t="s">
        <v>623</v>
      </c>
      <c r="CO33" s="3">
        <v>0</v>
      </c>
      <c r="CP33" s="3">
        <f t="shared" si="41"/>
        <v>6561.2000000000007</v>
      </c>
      <c r="CQ33" s="3">
        <f t="shared" si="42"/>
        <v>0</v>
      </c>
      <c r="CR33" s="3">
        <f t="shared" si="43"/>
        <v>0.37</v>
      </c>
      <c r="CS33" s="3">
        <f t="shared" si="44"/>
        <v>0</v>
      </c>
      <c r="CT33" s="3">
        <f t="shared" si="45"/>
        <v>3280.13</v>
      </c>
      <c r="CU33" s="3">
        <f t="shared" si="46"/>
        <v>0</v>
      </c>
      <c r="CV33" s="3">
        <f t="shared" si="47"/>
        <v>4.4099639999999996</v>
      </c>
      <c r="CW33" s="3">
        <f t="shared" si="48"/>
        <v>0</v>
      </c>
      <c r="CX33" s="3">
        <f t="shared" si="49"/>
        <v>0</v>
      </c>
      <c r="CY33" s="3">
        <f t="shared" si="50"/>
        <v>5904.24</v>
      </c>
      <c r="CZ33" s="3">
        <f t="shared" si="51"/>
        <v>3017.72</v>
      </c>
      <c r="DB33" s="3">
        <v>11</v>
      </c>
      <c r="DC33" s="3" t="s">
        <v>3</v>
      </c>
      <c r="DD33" s="3" t="s">
        <v>29</v>
      </c>
      <c r="DE33" s="3" t="s">
        <v>30</v>
      </c>
      <c r="DF33" s="3" t="s">
        <v>30</v>
      </c>
      <c r="DG33" s="3" t="s">
        <v>30</v>
      </c>
      <c r="DH33" s="3" t="s">
        <v>3</v>
      </c>
      <c r="DI33" s="3" t="s">
        <v>30</v>
      </c>
      <c r="DJ33" s="3" t="s">
        <v>30</v>
      </c>
      <c r="DK33" s="3" t="s">
        <v>3</v>
      </c>
      <c r="DL33" s="3" t="s">
        <v>3</v>
      </c>
      <c r="DM33" s="3" t="s">
        <v>3</v>
      </c>
      <c r="DN33" s="3">
        <v>0</v>
      </c>
      <c r="DO33" s="3">
        <v>0</v>
      </c>
      <c r="DP33" s="3">
        <v>1</v>
      </c>
      <c r="DQ33" s="3">
        <v>1</v>
      </c>
      <c r="DU33" s="3">
        <v>1013</v>
      </c>
      <c r="DV33" s="3" t="s">
        <v>27</v>
      </c>
      <c r="DW33" s="3" t="s">
        <v>27</v>
      </c>
      <c r="DX33" s="3">
        <v>1</v>
      </c>
      <c r="DZ33" s="3" t="s">
        <v>3</v>
      </c>
      <c r="EA33" s="3" t="s">
        <v>3</v>
      </c>
      <c r="EB33" s="3" t="s">
        <v>3</v>
      </c>
      <c r="EC33" s="3" t="s">
        <v>3</v>
      </c>
      <c r="EE33" s="3">
        <v>57042958</v>
      </c>
      <c r="EF33" s="3">
        <v>40</v>
      </c>
      <c r="EG33" s="3" t="s">
        <v>31</v>
      </c>
      <c r="EH33" s="3">
        <v>0</v>
      </c>
      <c r="EI33" s="3" t="s">
        <v>3</v>
      </c>
      <c r="EJ33" s="3">
        <v>2</v>
      </c>
      <c r="EK33" s="3">
        <v>68</v>
      </c>
      <c r="EL33" s="3" t="s">
        <v>32</v>
      </c>
      <c r="EM33" s="3" t="s">
        <v>33</v>
      </c>
      <c r="EO33" s="3" t="s">
        <v>34</v>
      </c>
      <c r="EQ33" s="3">
        <v>0</v>
      </c>
      <c r="ER33" s="3">
        <v>175.43</v>
      </c>
      <c r="ES33" s="3">
        <v>20.93</v>
      </c>
      <c r="ET33" s="3">
        <v>0.06</v>
      </c>
      <c r="EU33" s="3">
        <v>0.01</v>
      </c>
      <c r="EV33" s="3">
        <v>154.44</v>
      </c>
      <c r="EW33" s="3">
        <v>11.7</v>
      </c>
      <c r="EX33" s="3">
        <v>0</v>
      </c>
      <c r="EY33" s="3">
        <v>0</v>
      </c>
      <c r="FQ33" s="3">
        <v>0</v>
      </c>
      <c r="FR33" s="3">
        <v>0</v>
      </c>
      <c r="FS33" s="3">
        <v>0</v>
      </c>
      <c r="FX33" s="3">
        <v>90</v>
      </c>
      <c r="FY33" s="3">
        <v>46</v>
      </c>
      <c r="GA33" s="3" t="s">
        <v>3</v>
      </c>
      <c r="GD33" s="3">
        <v>1</v>
      </c>
      <c r="GF33" s="3">
        <v>-616531060</v>
      </c>
      <c r="GG33" s="3">
        <v>2</v>
      </c>
      <c r="GH33" s="3">
        <v>1</v>
      </c>
      <c r="GI33" s="3">
        <v>2</v>
      </c>
      <c r="GJ33" s="3">
        <v>0</v>
      </c>
      <c r="GK33" s="3">
        <v>0</v>
      </c>
      <c r="GL33" s="3">
        <f t="shared" si="52"/>
        <v>0</v>
      </c>
      <c r="GM33" s="3">
        <f t="shared" si="53"/>
        <v>15483.93</v>
      </c>
      <c r="GN33" s="3">
        <f t="shared" si="54"/>
        <v>0</v>
      </c>
      <c r="GO33" s="3">
        <f t="shared" si="55"/>
        <v>15483.93</v>
      </c>
      <c r="GP33" s="3">
        <f t="shared" si="56"/>
        <v>0</v>
      </c>
      <c r="GR33" s="3">
        <v>0</v>
      </c>
      <c r="GS33" s="3">
        <v>3</v>
      </c>
      <c r="GT33" s="3">
        <v>0</v>
      </c>
      <c r="GU33" s="3" t="s">
        <v>3</v>
      </c>
      <c r="GV33" s="3">
        <f t="shared" si="57"/>
        <v>0</v>
      </c>
      <c r="GW33" s="3">
        <v>1</v>
      </c>
      <c r="GX33" s="3">
        <f t="shared" si="58"/>
        <v>0</v>
      </c>
      <c r="HA33" s="3">
        <v>0</v>
      </c>
      <c r="HB33" s="3">
        <v>0</v>
      </c>
      <c r="HC33" s="3">
        <f t="shared" si="59"/>
        <v>0</v>
      </c>
      <c r="HE33" s="3" t="s">
        <v>3</v>
      </c>
      <c r="HF33" s="3" t="s">
        <v>3</v>
      </c>
      <c r="HM33" s="3" t="s">
        <v>3</v>
      </c>
      <c r="HN33" s="3" t="s">
        <v>3</v>
      </c>
      <c r="HO33" s="3" t="s">
        <v>3</v>
      </c>
      <c r="HP33" s="3" t="s">
        <v>3</v>
      </c>
      <c r="HQ33" s="3" t="s">
        <v>3</v>
      </c>
      <c r="HS33" s="3">
        <v>0</v>
      </c>
      <c r="IK33" s="3">
        <v>0</v>
      </c>
    </row>
    <row r="34" spans="1:255" x14ac:dyDescent="0.25">
      <c r="A34" s="2">
        <v>17</v>
      </c>
      <c r="B34" s="2">
        <v>1</v>
      </c>
      <c r="C34" s="2">
        <f>ROW(SmtRes!A22)</f>
        <v>22</v>
      </c>
      <c r="D34" s="2">
        <f>ROW(EtalonRes!A27)</f>
        <v>27</v>
      </c>
      <c r="E34" s="2" t="s">
        <v>43</v>
      </c>
      <c r="F34" s="2" t="s">
        <v>44</v>
      </c>
      <c r="G34" s="2" t="s">
        <v>45</v>
      </c>
      <c r="H34" s="2" t="s">
        <v>27</v>
      </c>
      <c r="I34" s="2">
        <v>1</v>
      </c>
      <c r="J34" s="2">
        <v>0</v>
      </c>
      <c r="K34" s="2">
        <v>1</v>
      </c>
      <c r="L34" s="2"/>
      <c r="M34" s="2"/>
      <c r="N34" s="2"/>
      <c r="O34" s="2">
        <f t="shared" si="21"/>
        <v>40.31</v>
      </c>
      <c r="P34" s="2">
        <f t="shared" si="22"/>
        <v>0</v>
      </c>
      <c r="Q34" s="2">
        <f t="shared" si="23"/>
        <v>10.82</v>
      </c>
      <c r="R34" s="2">
        <f t="shared" si="24"/>
        <v>1.19</v>
      </c>
      <c r="S34" s="2">
        <f t="shared" si="25"/>
        <v>29.49</v>
      </c>
      <c r="T34" s="2">
        <f t="shared" si="26"/>
        <v>0</v>
      </c>
      <c r="U34" s="2">
        <f t="shared" si="27"/>
        <v>2.3369039999999996</v>
      </c>
      <c r="V34" s="2">
        <f t="shared" si="28"/>
        <v>0</v>
      </c>
      <c r="W34" s="2">
        <f t="shared" si="29"/>
        <v>0</v>
      </c>
      <c r="X34" s="2">
        <f t="shared" si="30"/>
        <v>27.61</v>
      </c>
      <c r="Y34" s="2">
        <f t="shared" si="31"/>
        <v>14.11</v>
      </c>
      <c r="Z34" s="2"/>
      <c r="AA34" s="2">
        <v>57014138</v>
      </c>
      <c r="AB34" s="2">
        <f t="shared" si="32"/>
        <v>38.502000000000002</v>
      </c>
      <c r="AC34" s="2">
        <f t="shared" si="33"/>
        <v>0</v>
      </c>
      <c r="AD34" s="2">
        <f t="shared" si="34"/>
        <v>10.335599999999999</v>
      </c>
      <c r="AE34" s="2">
        <f t="shared" si="35"/>
        <v>1.1375999999999999</v>
      </c>
      <c r="AF34" s="2">
        <f t="shared" si="36"/>
        <v>28.166399999999999</v>
      </c>
      <c r="AG34" s="2">
        <f t="shared" si="37"/>
        <v>0</v>
      </c>
      <c r="AH34" s="2">
        <f t="shared" si="38"/>
        <v>2.2319999999999998</v>
      </c>
      <c r="AI34" s="2">
        <f t="shared" si="39"/>
        <v>0</v>
      </c>
      <c r="AJ34" s="2">
        <f t="shared" si="40"/>
        <v>0</v>
      </c>
      <c r="AK34" s="2">
        <v>119.3</v>
      </c>
      <c r="AL34" s="2">
        <v>12.35</v>
      </c>
      <c r="AM34" s="2">
        <v>28.71</v>
      </c>
      <c r="AN34" s="2">
        <v>3.16</v>
      </c>
      <c r="AO34" s="2">
        <v>78.239999999999995</v>
      </c>
      <c r="AP34" s="2">
        <v>0</v>
      </c>
      <c r="AQ34" s="2">
        <v>6.2</v>
      </c>
      <c r="AR34" s="2">
        <v>0</v>
      </c>
      <c r="AS34" s="2">
        <v>0</v>
      </c>
      <c r="AT34" s="2">
        <v>90</v>
      </c>
      <c r="AU34" s="2">
        <v>46</v>
      </c>
      <c r="AV34" s="2">
        <v>1.0469999999999999</v>
      </c>
      <c r="AW34" s="2">
        <v>1</v>
      </c>
      <c r="AX34" s="2"/>
      <c r="AY34" s="2"/>
      <c r="AZ34" s="2">
        <v>1</v>
      </c>
      <c r="BA34" s="2">
        <v>1</v>
      </c>
      <c r="BB34" s="2">
        <v>1</v>
      </c>
      <c r="BC34" s="2">
        <v>1</v>
      </c>
      <c r="BD34" s="2" t="s">
        <v>3</v>
      </c>
      <c r="BE34" s="2" t="s">
        <v>3</v>
      </c>
      <c r="BF34" s="2" t="s">
        <v>3</v>
      </c>
      <c r="BG34" s="2" t="s">
        <v>3</v>
      </c>
      <c r="BH34" s="2">
        <v>0</v>
      </c>
      <c r="BI34" s="2">
        <v>2</v>
      </c>
      <c r="BJ34" s="2" t="s">
        <v>46</v>
      </c>
      <c r="BK34" s="2"/>
      <c r="BL34" s="2"/>
      <c r="BM34" s="2">
        <v>68</v>
      </c>
      <c r="BN34" s="2">
        <v>0</v>
      </c>
      <c r="BO34" s="2" t="s">
        <v>44</v>
      </c>
      <c r="BP34" s="2">
        <v>1</v>
      </c>
      <c r="BQ34" s="2">
        <v>40</v>
      </c>
      <c r="BR34" s="2">
        <v>0</v>
      </c>
      <c r="BS34" s="2">
        <v>1</v>
      </c>
      <c r="BT34" s="2">
        <v>1</v>
      </c>
      <c r="BU34" s="2">
        <v>1</v>
      </c>
      <c r="BV34" s="2">
        <v>1</v>
      </c>
      <c r="BW34" s="2">
        <v>1</v>
      </c>
      <c r="BX34" s="2">
        <v>1</v>
      </c>
      <c r="BY34" s="2" t="s">
        <v>3</v>
      </c>
      <c r="BZ34" s="2">
        <v>90</v>
      </c>
      <c r="CA34" s="2">
        <v>46</v>
      </c>
      <c r="CB34" s="2" t="s">
        <v>3</v>
      </c>
      <c r="CC34" s="2"/>
      <c r="CD34" s="2"/>
      <c r="CE34" s="2">
        <v>1566</v>
      </c>
      <c r="CF34" s="2">
        <v>0</v>
      </c>
      <c r="CG34" s="2">
        <v>0</v>
      </c>
      <c r="CH34" s="2"/>
      <c r="CI34" s="2"/>
      <c r="CJ34" s="2"/>
      <c r="CK34" s="2"/>
      <c r="CL34" s="2"/>
      <c r="CM34" s="2">
        <v>0</v>
      </c>
      <c r="CN34" s="2" t="s">
        <v>623</v>
      </c>
      <c r="CO34" s="2">
        <v>0</v>
      </c>
      <c r="CP34" s="2">
        <f t="shared" si="41"/>
        <v>40.31</v>
      </c>
      <c r="CQ34" s="2">
        <f t="shared" si="42"/>
        <v>0</v>
      </c>
      <c r="CR34" s="2">
        <f t="shared" si="43"/>
        <v>10.82</v>
      </c>
      <c r="CS34" s="2">
        <f t="shared" si="44"/>
        <v>1.19</v>
      </c>
      <c r="CT34" s="2">
        <f t="shared" si="45"/>
        <v>29.49</v>
      </c>
      <c r="CU34" s="2">
        <f t="shared" si="46"/>
        <v>0</v>
      </c>
      <c r="CV34" s="2">
        <f t="shared" si="47"/>
        <v>2.3369039999999996</v>
      </c>
      <c r="CW34" s="2">
        <f t="shared" si="48"/>
        <v>0</v>
      </c>
      <c r="CX34" s="2">
        <f t="shared" si="49"/>
        <v>0</v>
      </c>
      <c r="CY34" s="2">
        <f t="shared" si="50"/>
        <v>27.61</v>
      </c>
      <c r="CZ34" s="2">
        <f t="shared" si="51"/>
        <v>14.11</v>
      </c>
      <c r="DA34" s="2"/>
      <c r="DB34" s="2">
        <v>13</v>
      </c>
      <c r="DC34" s="2" t="s">
        <v>3</v>
      </c>
      <c r="DD34" s="2" t="s">
        <v>29</v>
      </c>
      <c r="DE34" s="2" t="s">
        <v>30</v>
      </c>
      <c r="DF34" s="2" t="s">
        <v>30</v>
      </c>
      <c r="DG34" s="2" t="s">
        <v>30</v>
      </c>
      <c r="DH34" s="2" t="s">
        <v>3</v>
      </c>
      <c r="DI34" s="2" t="s">
        <v>30</v>
      </c>
      <c r="DJ34" s="2" t="s">
        <v>30</v>
      </c>
      <c r="DK34" s="2" t="s">
        <v>3</v>
      </c>
      <c r="DL34" s="2" t="s">
        <v>3</v>
      </c>
      <c r="DM34" s="2" t="s">
        <v>3</v>
      </c>
      <c r="DN34" s="2">
        <v>0</v>
      </c>
      <c r="DO34" s="2">
        <v>0</v>
      </c>
      <c r="DP34" s="2">
        <v>1</v>
      </c>
      <c r="DQ34" s="2">
        <v>1</v>
      </c>
      <c r="DR34" s="2"/>
      <c r="DS34" s="2"/>
      <c r="DT34" s="2"/>
      <c r="DU34" s="2">
        <v>1013</v>
      </c>
      <c r="DV34" s="2" t="s">
        <v>27</v>
      </c>
      <c r="DW34" s="2" t="s">
        <v>27</v>
      </c>
      <c r="DX34" s="2">
        <v>1</v>
      </c>
      <c r="DY34" s="2"/>
      <c r="DZ34" s="2" t="s">
        <v>3</v>
      </c>
      <c r="EA34" s="2" t="s">
        <v>3</v>
      </c>
      <c r="EB34" s="2" t="s">
        <v>3</v>
      </c>
      <c r="EC34" s="2" t="s">
        <v>3</v>
      </c>
      <c r="ED34" s="2"/>
      <c r="EE34" s="2">
        <v>57042958</v>
      </c>
      <c r="EF34" s="2">
        <v>40</v>
      </c>
      <c r="EG34" s="2" t="s">
        <v>31</v>
      </c>
      <c r="EH34" s="2">
        <v>0</v>
      </c>
      <c r="EI34" s="2" t="s">
        <v>3</v>
      </c>
      <c r="EJ34" s="2">
        <v>2</v>
      </c>
      <c r="EK34" s="2">
        <v>68</v>
      </c>
      <c r="EL34" s="2" t="s">
        <v>32</v>
      </c>
      <c r="EM34" s="2" t="s">
        <v>33</v>
      </c>
      <c r="EN34" s="2"/>
      <c r="EO34" s="2" t="s">
        <v>34</v>
      </c>
      <c r="EP34" s="2"/>
      <c r="EQ34" s="2">
        <v>0</v>
      </c>
      <c r="ER34" s="2">
        <v>119.3</v>
      </c>
      <c r="ES34" s="2">
        <v>12.35</v>
      </c>
      <c r="ET34" s="2">
        <v>28.71</v>
      </c>
      <c r="EU34" s="2">
        <v>3.16</v>
      </c>
      <c r="EV34" s="2">
        <v>78.239999999999995</v>
      </c>
      <c r="EW34" s="2">
        <v>6.2</v>
      </c>
      <c r="EX34" s="2">
        <v>0</v>
      </c>
      <c r="EY34" s="2">
        <v>0</v>
      </c>
      <c r="EZ34" s="2"/>
      <c r="FA34" s="2"/>
      <c r="FB34" s="2"/>
      <c r="FC34" s="2"/>
      <c r="FD34" s="2"/>
      <c r="FE34" s="2"/>
      <c r="FF34" s="2"/>
      <c r="FG34" s="2"/>
      <c r="FH34" s="2"/>
      <c r="FI34" s="2"/>
      <c r="FJ34" s="2"/>
      <c r="FK34" s="2"/>
      <c r="FL34" s="2"/>
      <c r="FM34" s="2"/>
      <c r="FN34" s="2"/>
      <c r="FO34" s="2"/>
      <c r="FP34" s="2"/>
      <c r="FQ34" s="2">
        <v>0</v>
      </c>
      <c r="FR34" s="2">
        <v>0</v>
      </c>
      <c r="FS34" s="2">
        <v>0</v>
      </c>
      <c r="FT34" s="2"/>
      <c r="FU34" s="2"/>
      <c r="FV34" s="2"/>
      <c r="FW34" s="2"/>
      <c r="FX34" s="2">
        <v>90</v>
      </c>
      <c r="FY34" s="2">
        <v>46</v>
      </c>
      <c r="FZ34" s="2"/>
      <c r="GA34" s="2" t="s">
        <v>3</v>
      </c>
      <c r="GB34" s="2"/>
      <c r="GC34" s="2"/>
      <c r="GD34" s="2">
        <v>1</v>
      </c>
      <c r="GE34" s="2"/>
      <c r="GF34" s="2">
        <v>-1352779689</v>
      </c>
      <c r="GG34" s="2">
        <v>2</v>
      </c>
      <c r="GH34" s="2">
        <v>1</v>
      </c>
      <c r="GI34" s="2">
        <v>2</v>
      </c>
      <c r="GJ34" s="2">
        <v>0</v>
      </c>
      <c r="GK34" s="2">
        <v>0</v>
      </c>
      <c r="GL34" s="2">
        <f t="shared" si="52"/>
        <v>0</v>
      </c>
      <c r="GM34" s="2">
        <f t="shared" si="53"/>
        <v>82.03</v>
      </c>
      <c r="GN34" s="2">
        <f t="shared" si="54"/>
        <v>0</v>
      </c>
      <c r="GO34" s="2">
        <f t="shared" si="55"/>
        <v>82.03</v>
      </c>
      <c r="GP34" s="2">
        <f t="shared" si="56"/>
        <v>0</v>
      </c>
      <c r="GQ34" s="2"/>
      <c r="GR34" s="2">
        <v>0</v>
      </c>
      <c r="GS34" s="2">
        <v>3</v>
      </c>
      <c r="GT34" s="2">
        <v>0</v>
      </c>
      <c r="GU34" s="2" t="s">
        <v>3</v>
      </c>
      <c r="GV34" s="2">
        <f t="shared" si="57"/>
        <v>0</v>
      </c>
      <c r="GW34" s="2">
        <v>1</v>
      </c>
      <c r="GX34" s="2">
        <f t="shared" si="58"/>
        <v>0</v>
      </c>
      <c r="GY34" s="2"/>
      <c r="GZ34" s="2"/>
      <c r="HA34" s="2">
        <v>0</v>
      </c>
      <c r="HB34" s="2">
        <v>0</v>
      </c>
      <c r="HC34" s="2">
        <f t="shared" si="59"/>
        <v>0</v>
      </c>
      <c r="HD34" s="2"/>
      <c r="HE34" s="2" t="s">
        <v>3</v>
      </c>
      <c r="HF34" s="2" t="s">
        <v>3</v>
      </c>
      <c r="HG34" s="2"/>
      <c r="HH34" s="2"/>
      <c r="HI34" s="2"/>
      <c r="HJ34" s="2"/>
      <c r="HK34" s="2"/>
      <c r="HL34" s="2"/>
      <c r="HM34" s="2" t="s">
        <v>3</v>
      </c>
      <c r="HN34" s="2" t="s">
        <v>3</v>
      </c>
      <c r="HO34" s="2" t="s">
        <v>3</v>
      </c>
      <c r="HP34" s="2" t="s">
        <v>3</v>
      </c>
      <c r="HQ34" s="2" t="s">
        <v>3</v>
      </c>
      <c r="HR34" s="2"/>
      <c r="HS34" s="2">
        <v>0</v>
      </c>
      <c r="HT34" s="2"/>
      <c r="HU34" s="2"/>
      <c r="HV34" s="2"/>
      <c r="HW34" s="2"/>
      <c r="HX34" s="2"/>
      <c r="HY34" s="2"/>
      <c r="HZ34" s="2"/>
      <c r="IA34" s="2"/>
      <c r="IB34" s="2"/>
      <c r="IC34" s="2"/>
      <c r="ID34" s="2"/>
      <c r="IE34" s="2"/>
      <c r="IF34" s="2"/>
      <c r="IG34" s="2"/>
      <c r="IH34" s="2"/>
      <c r="II34" s="2"/>
      <c r="IJ34" s="2"/>
      <c r="IK34" s="2">
        <v>0</v>
      </c>
      <c r="IL34" s="2"/>
      <c r="IM34" s="2"/>
      <c r="IN34" s="2"/>
      <c r="IO34" s="2"/>
      <c r="IP34" s="2"/>
      <c r="IQ34" s="2"/>
      <c r="IR34" s="2"/>
      <c r="IS34" s="2"/>
      <c r="IT34" s="2"/>
      <c r="IU34" s="2"/>
    </row>
    <row r="35" spans="1:255" x14ac:dyDescent="0.25">
      <c r="A35" s="3">
        <v>17</v>
      </c>
      <c r="B35" s="3">
        <v>1</v>
      </c>
      <c r="C35" s="3">
        <f>ROW(SmtRes!A26)</f>
        <v>26</v>
      </c>
      <c r="D35" s="3">
        <f>ROW(EtalonRes!A32)</f>
        <v>32</v>
      </c>
      <c r="E35" s="3" t="s">
        <v>43</v>
      </c>
      <c r="F35" s="3" t="s">
        <v>44</v>
      </c>
      <c r="G35" s="3" t="s">
        <v>45</v>
      </c>
      <c r="H35" s="3" t="s">
        <v>27</v>
      </c>
      <c r="I35" s="3">
        <v>1</v>
      </c>
      <c r="J35" s="3">
        <v>0</v>
      </c>
      <c r="K35" s="3">
        <v>1</v>
      </c>
      <c r="O35" s="3">
        <f t="shared" si="21"/>
        <v>1836.61</v>
      </c>
      <c r="P35" s="3">
        <f t="shared" si="22"/>
        <v>0</v>
      </c>
      <c r="Q35" s="3">
        <f t="shared" si="23"/>
        <v>174.85</v>
      </c>
      <c r="R35" s="3">
        <f t="shared" si="24"/>
        <v>67.06</v>
      </c>
      <c r="S35" s="3">
        <f t="shared" si="25"/>
        <v>1661.76</v>
      </c>
      <c r="T35" s="3">
        <f t="shared" si="26"/>
        <v>0</v>
      </c>
      <c r="U35" s="3">
        <f t="shared" si="27"/>
        <v>2.3369039999999996</v>
      </c>
      <c r="V35" s="3">
        <f t="shared" si="28"/>
        <v>0</v>
      </c>
      <c r="W35" s="3">
        <f t="shared" si="29"/>
        <v>0</v>
      </c>
      <c r="X35" s="3">
        <f t="shared" si="30"/>
        <v>1555.94</v>
      </c>
      <c r="Y35" s="3">
        <f t="shared" si="31"/>
        <v>795.26</v>
      </c>
      <c r="AA35" s="3">
        <v>57014140</v>
      </c>
      <c r="AB35" s="3">
        <f t="shared" si="32"/>
        <v>38.502000000000002</v>
      </c>
      <c r="AC35" s="3">
        <f t="shared" si="33"/>
        <v>0</v>
      </c>
      <c r="AD35" s="3">
        <f t="shared" si="34"/>
        <v>10.335599999999999</v>
      </c>
      <c r="AE35" s="3">
        <f t="shared" si="35"/>
        <v>1.1375999999999999</v>
      </c>
      <c r="AF35" s="3">
        <f t="shared" si="36"/>
        <v>28.166399999999999</v>
      </c>
      <c r="AG35" s="3">
        <f t="shared" si="37"/>
        <v>0</v>
      </c>
      <c r="AH35" s="3">
        <f t="shared" si="38"/>
        <v>2.2319999999999998</v>
      </c>
      <c r="AI35" s="3">
        <f t="shared" si="39"/>
        <v>0</v>
      </c>
      <c r="AJ35" s="3">
        <f t="shared" si="40"/>
        <v>0</v>
      </c>
      <c r="AK35" s="3">
        <v>119.3</v>
      </c>
      <c r="AL35" s="3">
        <v>12.35</v>
      </c>
      <c r="AM35" s="3">
        <v>28.71</v>
      </c>
      <c r="AN35" s="3">
        <v>3.16</v>
      </c>
      <c r="AO35" s="3">
        <v>78.239999999999995</v>
      </c>
      <c r="AP35" s="3">
        <v>0</v>
      </c>
      <c r="AQ35" s="3">
        <v>6.2</v>
      </c>
      <c r="AR35" s="3">
        <v>0</v>
      </c>
      <c r="AS35" s="3">
        <v>0</v>
      </c>
      <c r="AT35" s="3">
        <v>90</v>
      </c>
      <c r="AU35" s="3">
        <v>46</v>
      </c>
      <c r="AV35" s="3">
        <v>1.0469999999999999</v>
      </c>
      <c r="AW35" s="3">
        <v>1</v>
      </c>
      <c r="AZ35" s="3">
        <v>1</v>
      </c>
      <c r="BA35" s="3">
        <v>56.35</v>
      </c>
      <c r="BB35" s="3">
        <v>16.16</v>
      </c>
      <c r="BC35" s="3">
        <v>14.7</v>
      </c>
      <c r="BD35" s="3" t="s">
        <v>3</v>
      </c>
      <c r="BE35" s="3" t="s">
        <v>3</v>
      </c>
      <c r="BF35" s="3" t="s">
        <v>3</v>
      </c>
      <c r="BG35" s="3" t="s">
        <v>3</v>
      </c>
      <c r="BH35" s="3">
        <v>0</v>
      </c>
      <c r="BI35" s="3">
        <v>2</v>
      </c>
      <c r="BJ35" s="3" t="s">
        <v>46</v>
      </c>
      <c r="BM35" s="3">
        <v>68</v>
      </c>
      <c r="BN35" s="3">
        <v>0</v>
      </c>
      <c r="BO35" s="3" t="s">
        <v>44</v>
      </c>
      <c r="BP35" s="3">
        <v>1</v>
      </c>
      <c r="BQ35" s="3">
        <v>40</v>
      </c>
      <c r="BR35" s="3">
        <v>0</v>
      </c>
      <c r="BS35" s="3">
        <v>56.35</v>
      </c>
      <c r="BT35" s="3">
        <v>1</v>
      </c>
      <c r="BU35" s="3">
        <v>1</v>
      </c>
      <c r="BV35" s="3">
        <v>1</v>
      </c>
      <c r="BW35" s="3">
        <v>1</v>
      </c>
      <c r="BX35" s="3">
        <v>1</v>
      </c>
      <c r="BY35" s="3" t="s">
        <v>3</v>
      </c>
      <c r="BZ35" s="3">
        <v>90</v>
      </c>
      <c r="CA35" s="3">
        <v>46</v>
      </c>
      <c r="CB35" s="3" t="s">
        <v>3</v>
      </c>
      <c r="CE35" s="3">
        <v>1566</v>
      </c>
      <c r="CF35" s="3">
        <v>0</v>
      </c>
      <c r="CG35" s="3">
        <v>0</v>
      </c>
      <c r="CM35" s="3">
        <v>0</v>
      </c>
      <c r="CN35" s="3" t="s">
        <v>623</v>
      </c>
      <c r="CO35" s="3">
        <v>0</v>
      </c>
      <c r="CP35" s="3">
        <f t="shared" si="41"/>
        <v>1836.61</v>
      </c>
      <c r="CQ35" s="3">
        <f t="shared" si="42"/>
        <v>0</v>
      </c>
      <c r="CR35" s="3">
        <f t="shared" si="43"/>
        <v>174.85</v>
      </c>
      <c r="CS35" s="3">
        <f t="shared" si="44"/>
        <v>67.06</v>
      </c>
      <c r="CT35" s="3">
        <f t="shared" si="45"/>
        <v>1661.76</v>
      </c>
      <c r="CU35" s="3">
        <f t="shared" si="46"/>
        <v>0</v>
      </c>
      <c r="CV35" s="3">
        <f t="shared" si="47"/>
        <v>2.3369039999999996</v>
      </c>
      <c r="CW35" s="3">
        <f t="shared" si="48"/>
        <v>0</v>
      </c>
      <c r="CX35" s="3">
        <f t="shared" si="49"/>
        <v>0</v>
      </c>
      <c r="CY35" s="3">
        <f t="shared" si="50"/>
        <v>1555.94</v>
      </c>
      <c r="CZ35" s="3">
        <f t="shared" si="51"/>
        <v>795.26</v>
      </c>
      <c r="DB35" s="3">
        <v>15</v>
      </c>
      <c r="DC35" s="3" t="s">
        <v>3</v>
      </c>
      <c r="DD35" s="3" t="s">
        <v>29</v>
      </c>
      <c r="DE35" s="3" t="s">
        <v>30</v>
      </c>
      <c r="DF35" s="3" t="s">
        <v>30</v>
      </c>
      <c r="DG35" s="3" t="s">
        <v>30</v>
      </c>
      <c r="DH35" s="3" t="s">
        <v>3</v>
      </c>
      <c r="DI35" s="3" t="s">
        <v>30</v>
      </c>
      <c r="DJ35" s="3" t="s">
        <v>30</v>
      </c>
      <c r="DK35" s="3" t="s">
        <v>3</v>
      </c>
      <c r="DL35" s="3" t="s">
        <v>3</v>
      </c>
      <c r="DM35" s="3" t="s">
        <v>3</v>
      </c>
      <c r="DN35" s="3">
        <v>0</v>
      </c>
      <c r="DO35" s="3">
        <v>0</v>
      </c>
      <c r="DP35" s="3">
        <v>1</v>
      </c>
      <c r="DQ35" s="3">
        <v>1</v>
      </c>
      <c r="DU35" s="3">
        <v>1013</v>
      </c>
      <c r="DV35" s="3" t="s">
        <v>27</v>
      </c>
      <c r="DW35" s="3" t="s">
        <v>27</v>
      </c>
      <c r="DX35" s="3">
        <v>1</v>
      </c>
      <c r="DZ35" s="3" t="s">
        <v>3</v>
      </c>
      <c r="EA35" s="3" t="s">
        <v>3</v>
      </c>
      <c r="EB35" s="3" t="s">
        <v>3</v>
      </c>
      <c r="EC35" s="3" t="s">
        <v>3</v>
      </c>
      <c r="EE35" s="3">
        <v>57042958</v>
      </c>
      <c r="EF35" s="3">
        <v>40</v>
      </c>
      <c r="EG35" s="3" t="s">
        <v>31</v>
      </c>
      <c r="EH35" s="3">
        <v>0</v>
      </c>
      <c r="EI35" s="3" t="s">
        <v>3</v>
      </c>
      <c r="EJ35" s="3">
        <v>2</v>
      </c>
      <c r="EK35" s="3">
        <v>68</v>
      </c>
      <c r="EL35" s="3" t="s">
        <v>32</v>
      </c>
      <c r="EM35" s="3" t="s">
        <v>33</v>
      </c>
      <c r="EO35" s="3" t="s">
        <v>34</v>
      </c>
      <c r="EQ35" s="3">
        <v>0</v>
      </c>
      <c r="ER35" s="3">
        <v>119.3</v>
      </c>
      <c r="ES35" s="3">
        <v>12.35</v>
      </c>
      <c r="ET35" s="3">
        <v>28.71</v>
      </c>
      <c r="EU35" s="3">
        <v>3.16</v>
      </c>
      <c r="EV35" s="3">
        <v>78.239999999999995</v>
      </c>
      <c r="EW35" s="3">
        <v>6.2</v>
      </c>
      <c r="EX35" s="3">
        <v>0</v>
      </c>
      <c r="EY35" s="3">
        <v>0</v>
      </c>
      <c r="FQ35" s="3">
        <v>0</v>
      </c>
      <c r="FR35" s="3">
        <v>0</v>
      </c>
      <c r="FS35" s="3">
        <v>0</v>
      </c>
      <c r="FX35" s="3">
        <v>90</v>
      </c>
      <c r="FY35" s="3">
        <v>46</v>
      </c>
      <c r="GA35" s="3" t="s">
        <v>3</v>
      </c>
      <c r="GD35" s="3">
        <v>1</v>
      </c>
      <c r="GF35" s="3">
        <v>-1352779689</v>
      </c>
      <c r="GG35" s="3">
        <v>2</v>
      </c>
      <c r="GH35" s="3">
        <v>1</v>
      </c>
      <c r="GI35" s="3">
        <v>2</v>
      </c>
      <c r="GJ35" s="3">
        <v>0</v>
      </c>
      <c r="GK35" s="3">
        <v>0</v>
      </c>
      <c r="GL35" s="3">
        <f t="shared" si="52"/>
        <v>0</v>
      </c>
      <c r="GM35" s="3">
        <f t="shared" si="53"/>
        <v>4187.8100000000004</v>
      </c>
      <c r="GN35" s="3">
        <f t="shared" si="54"/>
        <v>0</v>
      </c>
      <c r="GO35" s="3">
        <f t="shared" si="55"/>
        <v>4187.8100000000004</v>
      </c>
      <c r="GP35" s="3">
        <f t="shared" si="56"/>
        <v>0</v>
      </c>
      <c r="GR35" s="3">
        <v>0</v>
      </c>
      <c r="GS35" s="3">
        <v>3</v>
      </c>
      <c r="GT35" s="3">
        <v>0</v>
      </c>
      <c r="GU35" s="3" t="s">
        <v>3</v>
      </c>
      <c r="GV35" s="3">
        <f t="shared" si="57"/>
        <v>0</v>
      </c>
      <c r="GW35" s="3">
        <v>1</v>
      </c>
      <c r="GX35" s="3">
        <f t="shared" si="58"/>
        <v>0</v>
      </c>
      <c r="HA35" s="3">
        <v>0</v>
      </c>
      <c r="HB35" s="3">
        <v>0</v>
      </c>
      <c r="HC35" s="3">
        <f t="shared" si="59"/>
        <v>0</v>
      </c>
      <c r="HE35" s="3" t="s">
        <v>3</v>
      </c>
      <c r="HF35" s="3" t="s">
        <v>3</v>
      </c>
      <c r="HM35" s="3" t="s">
        <v>3</v>
      </c>
      <c r="HN35" s="3" t="s">
        <v>3</v>
      </c>
      <c r="HO35" s="3" t="s">
        <v>3</v>
      </c>
      <c r="HP35" s="3" t="s">
        <v>3</v>
      </c>
      <c r="HQ35" s="3" t="s">
        <v>3</v>
      </c>
      <c r="HS35" s="3">
        <v>0</v>
      </c>
      <c r="IK35" s="3">
        <v>0</v>
      </c>
    </row>
    <row r="36" spans="1:255" x14ac:dyDescent="0.25">
      <c r="A36" s="2">
        <v>17</v>
      </c>
      <c r="B36" s="2">
        <v>1</v>
      </c>
      <c r="C36" s="2">
        <f>ROW(SmtRes!A32)</f>
        <v>32</v>
      </c>
      <c r="D36" s="2">
        <f>ROW(EtalonRes!A39)</f>
        <v>39</v>
      </c>
      <c r="E36" s="2" t="s">
        <v>47</v>
      </c>
      <c r="F36" s="2" t="s">
        <v>48</v>
      </c>
      <c r="G36" s="2" t="s">
        <v>49</v>
      </c>
      <c r="H36" s="2" t="s">
        <v>27</v>
      </c>
      <c r="I36" s="2">
        <f>ROUND(2+2+4+4,9)</f>
        <v>12</v>
      </c>
      <c r="J36" s="2">
        <v>0</v>
      </c>
      <c r="K36" s="2">
        <f>ROUND(2+2+4+4,9)</f>
        <v>12</v>
      </c>
      <c r="L36" s="2"/>
      <c r="M36" s="2"/>
      <c r="N36" s="2"/>
      <c r="O36" s="2">
        <f t="shared" si="21"/>
        <v>85.76</v>
      </c>
      <c r="P36" s="2">
        <f t="shared" si="22"/>
        <v>0</v>
      </c>
      <c r="Q36" s="2">
        <f t="shared" si="23"/>
        <v>0.09</v>
      </c>
      <c r="R36" s="2">
        <f t="shared" si="24"/>
        <v>0</v>
      </c>
      <c r="S36" s="2">
        <f t="shared" si="25"/>
        <v>85.67</v>
      </c>
      <c r="T36" s="2">
        <f t="shared" si="26"/>
        <v>0</v>
      </c>
      <c r="U36" s="2">
        <f t="shared" si="27"/>
        <v>6.1513344000000005</v>
      </c>
      <c r="V36" s="2">
        <f t="shared" si="28"/>
        <v>0</v>
      </c>
      <c r="W36" s="2">
        <f t="shared" si="29"/>
        <v>0</v>
      </c>
      <c r="X36" s="2">
        <f t="shared" si="30"/>
        <v>77.099999999999994</v>
      </c>
      <c r="Y36" s="2">
        <f t="shared" si="31"/>
        <v>39.409999999999997</v>
      </c>
      <c r="Z36" s="2"/>
      <c r="AA36" s="2">
        <v>57014138</v>
      </c>
      <c r="AB36" s="2">
        <f t="shared" si="32"/>
        <v>6.8255999999999997</v>
      </c>
      <c r="AC36" s="2">
        <f t="shared" si="33"/>
        <v>0</v>
      </c>
      <c r="AD36" s="2">
        <f t="shared" si="34"/>
        <v>7.1999999999999998E-3</v>
      </c>
      <c r="AE36" s="2">
        <f t="shared" si="35"/>
        <v>0</v>
      </c>
      <c r="AF36" s="2">
        <f t="shared" si="36"/>
        <v>6.8183999999999996</v>
      </c>
      <c r="AG36" s="2">
        <f t="shared" si="37"/>
        <v>0</v>
      </c>
      <c r="AH36" s="2">
        <f t="shared" si="38"/>
        <v>0.48960000000000004</v>
      </c>
      <c r="AI36" s="2">
        <f t="shared" si="39"/>
        <v>0</v>
      </c>
      <c r="AJ36" s="2">
        <f t="shared" si="40"/>
        <v>0</v>
      </c>
      <c r="AK36" s="2">
        <v>21.3</v>
      </c>
      <c r="AL36" s="2">
        <v>2.34</v>
      </c>
      <c r="AM36" s="2">
        <v>0.02</v>
      </c>
      <c r="AN36" s="2">
        <v>0</v>
      </c>
      <c r="AO36" s="2">
        <v>18.940000000000001</v>
      </c>
      <c r="AP36" s="2">
        <v>0</v>
      </c>
      <c r="AQ36" s="2">
        <v>1.36</v>
      </c>
      <c r="AR36" s="2">
        <v>0</v>
      </c>
      <c r="AS36" s="2">
        <v>0</v>
      </c>
      <c r="AT36" s="2">
        <v>90</v>
      </c>
      <c r="AU36" s="2">
        <v>46</v>
      </c>
      <c r="AV36" s="2">
        <v>1.0469999999999999</v>
      </c>
      <c r="AW36" s="2">
        <v>1</v>
      </c>
      <c r="AX36" s="2"/>
      <c r="AY36" s="2"/>
      <c r="AZ36" s="2">
        <v>1</v>
      </c>
      <c r="BA36" s="2">
        <v>1</v>
      </c>
      <c r="BB36" s="2">
        <v>1</v>
      </c>
      <c r="BC36" s="2">
        <v>1</v>
      </c>
      <c r="BD36" s="2" t="s">
        <v>3</v>
      </c>
      <c r="BE36" s="2" t="s">
        <v>3</v>
      </c>
      <c r="BF36" s="2" t="s">
        <v>3</v>
      </c>
      <c r="BG36" s="2" t="s">
        <v>3</v>
      </c>
      <c r="BH36" s="2">
        <v>0</v>
      </c>
      <c r="BI36" s="2">
        <v>2</v>
      </c>
      <c r="BJ36" s="2" t="s">
        <v>50</v>
      </c>
      <c r="BK36" s="2"/>
      <c r="BL36" s="2"/>
      <c r="BM36" s="2">
        <v>68</v>
      </c>
      <c r="BN36" s="2">
        <v>0</v>
      </c>
      <c r="BO36" s="2" t="s">
        <v>48</v>
      </c>
      <c r="BP36" s="2">
        <v>1</v>
      </c>
      <c r="BQ36" s="2">
        <v>40</v>
      </c>
      <c r="BR36" s="2">
        <v>0</v>
      </c>
      <c r="BS36" s="2">
        <v>1</v>
      </c>
      <c r="BT36" s="2">
        <v>1</v>
      </c>
      <c r="BU36" s="2">
        <v>1</v>
      </c>
      <c r="BV36" s="2">
        <v>1</v>
      </c>
      <c r="BW36" s="2">
        <v>1</v>
      </c>
      <c r="BX36" s="2">
        <v>1</v>
      </c>
      <c r="BY36" s="2" t="s">
        <v>3</v>
      </c>
      <c r="BZ36" s="2">
        <v>90</v>
      </c>
      <c r="CA36" s="2">
        <v>46</v>
      </c>
      <c r="CB36" s="2" t="s">
        <v>3</v>
      </c>
      <c r="CC36" s="2"/>
      <c r="CD36" s="2"/>
      <c r="CE36" s="2">
        <v>1566</v>
      </c>
      <c r="CF36" s="2">
        <v>0</v>
      </c>
      <c r="CG36" s="2">
        <v>0</v>
      </c>
      <c r="CH36" s="2"/>
      <c r="CI36" s="2"/>
      <c r="CJ36" s="2"/>
      <c r="CK36" s="2"/>
      <c r="CL36" s="2"/>
      <c r="CM36" s="2">
        <v>0</v>
      </c>
      <c r="CN36" s="2" t="s">
        <v>623</v>
      </c>
      <c r="CO36" s="2">
        <v>0</v>
      </c>
      <c r="CP36" s="2">
        <f t="shared" si="41"/>
        <v>85.76</v>
      </c>
      <c r="CQ36" s="2">
        <f t="shared" si="42"/>
        <v>0</v>
      </c>
      <c r="CR36" s="2">
        <f t="shared" si="43"/>
        <v>0.01</v>
      </c>
      <c r="CS36" s="2">
        <f t="shared" si="44"/>
        <v>0</v>
      </c>
      <c r="CT36" s="2">
        <f t="shared" si="45"/>
        <v>7.14</v>
      </c>
      <c r="CU36" s="2">
        <f t="shared" si="46"/>
        <v>0</v>
      </c>
      <c r="CV36" s="2">
        <f t="shared" si="47"/>
        <v>0.51261120000000004</v>
      </c>
      <c r="CW36" s="2">
        <f t="shared" si="48"/>
        <v>0</v>
      </c>
      <c r="CX36" s="2">
        <f t="shared" si="49"/>
        <v>0</v>
      </c>
      <c r="CY36" s="2">
        <f t="shared" si="50"/>
        <v>77.099999999999994</v>
      </c>
      <c r="CZ36" s="2">
        <f t="shared" si="51"/>
        <v>39.409999999999997</v>
      </c>
      <c r="DA36" s="2"/>
      <c r="DB36" s="2">
        <v>17</v>
      </c>
      <c r="DC36" s="2" t="s">
        <v>3</v>
      </c>
      <c r="DD36" s="2" t="s">
        <v>29</v>
      </c>
      <c r="DE36" s="2" t="s">
        <v>30</v>
      </c>
      <c r="DF36" s="2" t="s">
        <v>30</v>
      </c>
      <c r="DG36" s="2" t="s">
        <v>30</v>
      </c>
      <c r="DH36" s="2" t="s">
        <v>3</v>
      </c>
      <c r="DI36" s="2" t="s">
        <v>30</v>
      </c>
      <c r="DJ36" s="2" t="s">
        <v>30</v>
      </c>
      <c r="DK36" s="2" t="s">
        <v>3</v>
      </c>
      <c r="DL36" s="2" t="s">
        <v>3</v>
      </c>
      <c r="DM36" s="2" t="s">
        <v>3</v>
      </c>
      <c r="DN36" s="2">
        <v>0</v>
      </c>
      <c r="DO36" s="2">
        <v>0</v>
      </c>
      <c r="DP36" s="2">
        <v>1</v>
      </c>
      <c r="DQ36" s="2">
        <v>1</v>
      </c>
      <c r="DR36" s="2"/>
      <c r="DS36" s="2"/>
      <c r="DT36" s="2"/>
      <c r="DU36" s="2">
        <v>1013</v>
      </c>
      <c r="DV36" s="2" t="s">
        <v>27</v>
      </c>
      <c r="DW36" s="2" t="s">
        <v>27</v>
      </c>
      <c r="DX36" s="2">
        <v>1</v>
      </c>
      <c r="DY36" s="2"/>
      <c r="DZ36" s="2" t="s">
        <v>3</v>
      </c>
      <c r="EA36" s="2" t="s">
        <v>3</v>
      </c>
      <c r="EB36" s="2" t="s">
        <v>3</v>
      </c>
      <c r="EC36" s="2" t="s">
        <v>3</v>
      </c>
      <c r="ED36" s="2"/>
      <c r="EE36" s="2">
        <v>57042958</v>
      </c>
      <c r="EF36" s="2">
        <v>40</v>
      </c>
      <c r="EG36" s="2" t="s">
        <v>31</v>
      </c>
      <c r="EH36" s="2">
        <v>0</v>
      </c>
      <c r="EI36" s="2" t="s">
        <v>3</v>
      </c>
      <c r="EJ36" s="2">
        <v>2</v>
      </c>
      <c r="EK36" s="2">
        <v>68</v>
      </c>
      <c r="EL36" s="2" t="s">
        <v>32</v>
      </c>
      <c r="EM36" s="2" t="s">
        <v>33</v>
      </c>
      <c r="EN36" s="2"/>
      <c r="EO36" s="2" t="s">
        <v>34</v>
      </c>
      <c r="EP36" s="2"/>
      <c r="EQ36" s="2">
        <v>0</v>
      </c>
      <c r="ER36" s="2">
        <v>21.3</v>
      </c>
      <c r="ES36" s="2">
        <v>2.34</v>
      </c>
      <c r="ET36" s="2">
        <v>0.02</v>
      </c>
      <c r="EU36" s="2">
        <v>0</v>
      </c>
      <c r="EV36" s="2">
        <v>18.940000000000001</v>
      </c>
      <c r="EW36" s="2">
        <v>1.36</v>
      </c>
      <c r="EX36" s="2">
        <v>0</v>
      </c>
      <c r="EY36" s="2">
        <v>0</v>
      </c>
      <c r="EZ36" s="2"/>
      <c r="FA36" s="2"/>
      <c r="FB36" s="2"/>
      <c r="FC36" s="2"/>
      <c r="FD36" s="2"/>
      <c r="FE36" s="2"/>
      <c r="FF36" s="2"/>
      <c r="FG36" s="2"/>
      <c r="FH36" s="2"/>
      <c r="FI36" s="2"/>
      <c r="FJ36" s="2"/>
      <c r="FK36" s="2"/>
      <c r="FL36" s="2"/>
      <c r="FM36" s="2"/>
      <c r="FN36" s="2"/>
      <c r="FO36" s="2"/>
      <c r="FP36" s="2"/>
      <c r="FQ36" s="2">
        <v>0</v>
      </c>
      <c r="FR36" s="2">
        <v>0</v>
      </c>
      <c r="FS36" s="2">
        <v>0</v>
      </c>
      <c r="FT36" s="2"/>
      <c r="FU36" s="2"/>
      <c r="FV36" s="2"/>
      <c r="FW36" s="2"/>
      <c r="FX36" s="2">
        <v>90</v>
      </c>
      <c r="FY36" s="2">
        <v>46</v>
      </c>
      <c r="FZ36" s="2"/>
      <c r="GA36" s="2" t="s">
        <v>3</v>
      </c>
      <c r="GB36" s="2"/>
      <c r="GC36" s="2"/>
      <c r="GD36" s="2">
        <v>1</v>
      </c>
      <c r="GE36" s="2"/>
      <c r="GF36" s="2">
        <v>-1291988825</v>
      </c>
      <c r="GG36" s="2">
        <v>2</v>
      </c>
      <c r="GH36" s="2">
        <v>1</v>
      </c>
      <c r="GI36" s="2">
        <v>2</v>
      </c>
      <c r="GJ36" s="2">
        <v>0</v>
      </c>
      <c r="GK36" s="2">
        <v>0</v>
      </c>
      <c r="GL36" s="2">
        <f t="shared" si="52"/>
        <v>0</v>
      </c>
      <c r="GM36" s="2">
        <f t="shared" si="53"/>
        <v>202.27</v>
      </c>
      <c r="GN36" s="2">
        <f t="shared" si="54"/>
        <v>0</v>
      </c>
      <c r="GO36" s="2">
        <f t="shared" si="55"/>
        <v>202.27</v>
      </c>
      <c r="GP36" s="2">
        <f t="shared" si="56"/>
        <v>0</v>
      </c>
      <c r="GQ36" s="2"/>
      <c r="GR36" s="2">
        <v>0</v>
      </c>
      <c r="GS36" s="2">
        <v>3</v>
      </c>
      <c r="GT36" s="2">
        <v>0</v>
      </c>
      <c r="GU36" s="2" t="s">
        <v>3</v>
      </c>
      <c r="GV36" s="2">
        <f t="shared" si="57"/>
        <v>0</v>
      </c>
      <c r="GW36" s="2">
        <v>1</v>
      </c>
      <c r="GX36" s="2">
        <f t="shared" si="58"/>
        <v>0</v>
      </c>
      <c r="GY36" s="2"/>
      <c r="GZ36" s="2"/>
      <c r="HA36" s="2">
        <v>0</v>
      </c>
      <c r="HB36" s="2">
        <v>0</v>
      </c>
      <c r="HC36" s="2">
        <f t="shared" si="59"/>
        <v>0</v>
      </c>
      <c r="HD36" s="2"/>
      <c r="HE36" s="2" t="s">
        <v>3</v>
      </c>
      <c r="HF36" s="2" t="s">
        <v>3</v>
      </c>
      <c r="HG36" s="2"/>
      <c r="HH36" s="2"/>
      <c r="HI36" s="2"/>
      <c r="HJ36" s="2"/>
      <c r="HK36" s="2"/>
      <c r="HL36" s="2"/>
      <c r="HM36" s="2" t="s">
        <v>3</v>
      </c>
      <c r="HN36" s="2" t="s">
        <v>3</v>
      </c>
      <c r="HO36" s="2" t="s">
        <v>3</v>
      </c>
      <c r="HP36" s="2" t="s">
        <v>3</v>
      </c>
      <c r="HQ36" s="2" t="s">
        <v>3</v>
      </c>
      <c r="HR36" s="2"/>
      <c r="HS36" s="2">
        <v>0</v>
      </c>
      <c r="HT36" s="2"/>
      <c r="HU36" s="2"/>
      <c r="HV36" s="2"/>
      <c r="HW36" s="2"/>
      <c r="HX36" s="2"/>
      <c r="HY36" s="2"/>
      <c r="HZ36" s="2"/>
      <c r="IA36" s="2"/>
      <c r="IB36" s="2"/>
      <c r="IC36" s="2"/>
      <c r="ID36" s="2"/>
      <c r="IE36" s="2"/>
      <c r="IF36" s="2"/>
      <c r="IG36" s="2"/>
      <c r="IH36" s="2"/>
      <c r="II36" s="2"/>
      <c r="IJ36" s="2"/>
      <c r="IK36" s="2">
        <v>0</v>
      </c>
      <c r="IL36" s="2"/>
      <c r="IM36" s="2"/>
      <c r="IN36" s="2"/>
      <c r="IO36" s="2"/>
      <c r="IP36" s="2"/>
      <c r="IQ36" s="2"/>
      <c r="IR36" s="2"/>
      <c r="IS36" s="2"/>
      <c r="IT36" s="2"/>
      <c r="IU36" s="2"/>
    </row>
    <row r="37" spans="1:255" x14ac:dyDescent="0.25">
      <c r="A37" s="3">
        <v>17</v>
      </c>
      <c r="B37" s="3">
        <v>1</v>
      </c>
      <c r="C37" s="3">
        <f>ROW(SmtRes!A38)</f>
        <v>38</v>
      </c>
      <c r="D37" s="3">
        <f>ROW(EtalonRes!A46)</f>
        <v>46</v>
      </c>
      <c r="E37" s="3" t="s">
        <v>47</v>
      </c>
      <c r="F37" s="3" t="s">
        <v>48</v>
      </c>
      <c r="G37" s="3" t="s">
        <v>49</v>
      </c>
      <c r="H37" s="3" t="s">
        <v>27</v>
      </c>
      <c r="I37" s="3">
        <f>ROUND(2+2+4+4,9)</f>
        <v>12</v>
      </c>
      <c r="J37" s="3">
        <v>0</v>
      </c>
      <c r="K37" s="3">
        <f>ROUND(2+2+4+4,9)</f>
        <v>12</v>
      </c>
      <c r="O37" s="3">
        <f t="shared" si="21"/>
        <v>4828.49</v>
      </c>
      <c r="P37" s="3">
        <f t="shared" si="22"/>
        <v>0</v>
      </c>
      <c r="Q37" s="3">
        <f t="shared" si="23"/>
        <v>0.99</v>
      </c>
      <c r="R37" s="3">
        <f t="shared" si="24"/>
        <v>0</v>
      </c>
      <c r="S37" s="3">
        <f t="shared" si="25"/>
        <v>4827.5</v>
      </c>
      <c r="T37" s="3">
        <f t="shared" si="26"/>
        <v>0</v>
      </c>
      <c r="U37" s="3">
        <f t="shared" si="27"/>
        <v>6.1513344000000005</v>
      </c>
      <c r="V37" s="3">
        <f t="shared" si="28"/>
        <v>0</v>
      </c>
      <c r="W37" s="3">
        <f t="shared" si="29"/>
        <v>0</v>
      </c>
      <c r="X37" s="3">
        <f t="shared" si="30"/>
        <v>4344.75</v>
      </c>
      <c r="Y37" s="3">
        <f t="shared" si="31"/>
        <v>2220.65</v>
      </c>
      <c r="AA37" s="3">
        <v>57014140</v>
      </c>
      <c r="AB37" s="3">
        <f t="shared" si="32"/>
        <v>6.8255999999999997</v>
      </c>
      <c r="AC37" s="3">
        <f t="shared" si="33"/>
        <v>0</v>
      </c>
      <c r="AD37" s="3">
        <f t="shared" si="34"/>
        <v>7.1999999999999998E-3</v>
      </c>
      <c r="AE37" s="3">
        <f t="shared" si="35"/>
        <v>0</v>
      </c>
      <c r="AF37" s="3">
        <f t="shared" si="36"/>
        <v>6.8183999999999996</v>
      </c>
      <c r="AG37" s="3">
        <f t="shared" si="37"/>
        <v>0</v>
      </c>
      <c r="AH37" s="3">
        <f t="shared" si="38"/>
        <v>0.48960000000000004</v>
      </c>
      <c r="AI37" s="3">
        <f t="shared" si="39"/>
        <v>0</v>
      </c>
      <c r="AJ37" s="3">
        <f t="shared" si="40"/>
        <v>0</v>
      </c>
      <c r="AK37" s="3">
        <v>21.3</v>
      </c>
      <c r="AL37" s="3">
        <v>2.34</v>
      </c>
      <c r="AM37" s="3">
        <v>0.02</v>
      </c>
      <c r="AN37" s="3">
        <v>0</v>
      </c>
      <c r="AO37" s="3">
        <v>18.940000000000001</v>
      </c>
      <c r="AP37" s="3">
        <v>0</v>
      </c>
      <c r="AQ37" s="3">
        <v>1.36</v>
      </c>
      <c r="AR37" s="3">
        <v>0</v>
      </c>
      <c r="AS37" s="3">
        <v>0</v>
      </c>
      <c r="AT37" s="3">
        <v>90</v>
      </c>
      <c r="AU37" s="3">
        <v>46</v>
      </c>
      <c r="AV37" s="3">
        <v>1.0469999999999999</v>
      </c>
      <c r="AW37" s="3">
        <v>1</v>
      </c>
      <c r="AZ37" s="3">
        <v>1</v>
      </c>
      <c r="BA37" s="3">
        <v>56.35</v>
      </c>
      <c r="BB37" s="3">
        <v>11</v>
      </c>
      <c r="BC37" s="3">
        <v>10.24</v>
      </c>
      <c r="BD37" s="3" t="s">
        <v>3</v>
      </c>
      <c r="BE37" s="3" t="s">
        <v>3</v>
      </c>
      <c r="BF37" s="3" t="s">
        <v>3</v>
      </c>
      <c r="BG37" s="3" t="s">
        <v>3</v>
      </c>
      <c r="BH37" s="3">
        <v>0</v>
      </c>
      <c r="BI37" s="3">
        <v>2</v>
      </c>
      <c r="BJ37" s="3" t="s">
        <v>50</v>
      </c>
      <c r="BM37" s="3">
        <v>68</v>
      </c>
      <c r="BN37" s="3">
        <v>0</v>
      </c>
      <c r="BO37" s="3" t="s">
        <v>48</v>
      </c>
      <c r="BP37" s="3">
        <v>1</v>
      </c>
      <c r="BQ37" s="3">
        <v>40</v>
      </c>
      <c r="BR37" s="3">
        <v>0</v>
      </c>
      <c r="BS37" s="3">
        <v>56.35</v>
      </c>
      <c r="BT37" s="3">
        <v>1</v>
      </c>
      <c r="BU37" s="3">
        <v>1</v>
      </c>
      <c r="BV37" s="3">
        <v>1</v>
      </c>
      <c r="BW37" s="3">
        <v>1</v>
      </c>
      <c r="BX37" s="3">
        <v>1</v>
      </c>
      <c r="BY37" s="3" t="s">
        <v>3</v>
      </c>
      <c r="BZ37" s="3">
        <v>90</v>
      </c>
      <c r="CA37" s="3">
        <v>46</v>
      </c>
      <c r="CB37" s="3" t="s">
        <v>3</v>
      </c>
      <c r="CE37" s="3">
        <v>1566</v>
      </c>
      <c r="CF37" s="3">
        <v>0</v>
      </c>
      <c r="CG37" s="3">
        <v>0</v>
      </c>
      <c r="CM37" s="3">
        <v>0</v>
      </c>
      <c r="CN37" s="3" t="s">
        <v>623</v>
      </c>
      <c r="CO37" s="3">
        <v>0</v>
      </c>
      <c r="CP37" s="3">
        <f t="shared" si="41"/>
        <v>4828.49</v>
      </c>
      <c r="CQ37" s="3">
        <f t="shared" si="42"/>
        <v>0</v>
      </c>
      <c r="CR37" s="3">
        <f t="shared" si="43"/>
        <v>0.11</v>
      </c>
      <c r="CS37" s="3">
        <f t="shared" si="44"/>
        <v>0</v>
      </c>
      <c r="CT37" s="3">
        <f t="shared" si="45"/>
        <v>402.34</v>
      </c>
      <c r="CU37" s="3">
        <f t="shared" si="46"/>
        <v>0</v>
      </c>
      <c r="CV37" s="3">
        <f t="shared" si="47"/>
        <v>0.51261120000000004</v>
      </c>
      <c r="CW37" s="3">
        <f t="shared" si="48"/>
        <v>0</v>
      </c>
      <c r="CX37" s="3">
        <f t="shared" si="49"/>
        <v>0</v>
      </c>
      <c r="CY37" s="3">
        <f t="shared" si="50"/>
        <v>4344.75</v>
      </c>
      <c r="CZ37" s="3">
        <f t="shared" si="51"/>
        <v>2220.65</v>
      </c>
      <c r="DB37" s="3">
        <v>19</v>
      </c>
      <c r="DC37" s="3" t="s">
        <v>3</v>
      </c>
      <c r="DD37" s="3" t="s">
        <v>29</v>
      </c>
      <c r="DE37" s="3" t="s">
        <v>30</v>
      </c>
      <c r="DF37" s="3" t="s">
        <v>30</v>
      </c>
      <c r="DG37" s="3" t="s">
        <v>30</v>
      </c>
      <c r="DH37" s="3" t="s">
        <v>3</v>
      </c>
      <c r="DI37" s="3" t="s">
        <v>30</v>
      </c>
      <c r="DJ37" s="3" t="s">
        <v>30</v>
      </c>
      <c r="DK37" s="3" t="s">
        <v>3</v>
      </c>
      <c r="DL37" s="3" t="s">
        <v>3</v>
      </c>
      <c r="DM37" s="3" t="s">
        <v>3</v>
      </c>
      <c r="DN37" s="3">
        <v>0</v>
      </c>
      <c r="DO37" s="3">
        <v>0</v>
      </c>
      <c r="DP37" s="3">
        <v>1</v>
      </c>
      <c r="DQ37" s="3">
        <v>1</v>
      </c>
      <c r="DU37" s="3">
        <v>1013</v>
      </c>
      <c r="DV37" s="3" t="s">
        <v>27</v>
      </c>
      <c r="DW37" s="3" t="s">
        <v>27</v>
      </c>
      <c r="DX37" s="3">
        <v>1</v>
      </c>
      <c r="DZ37" s="3" t="s">
        <v>3</v>
      </c>
      <c r="EA37" s="3" t="s">
        <v>3</v>
      </c>
      <c r="EB37" s="3" t="s">
        <v>3</v>
      </c>
      <c r="EC37" s="3" t="s">
        <v>3</v>
      </c>
      <c r="EE37" s="3">
        <v>57042958</v>
      </c>
      <c r="EF37" s="3">
        <v>40</v>
      </c>
      <c r="EG37" s="3" t="s">
        <v>31</v>
      </c>
      <c r="EH37" s="3">
        <v>0</v>
      </c>
      <c r="EI37" s="3" t="s">
        <v>3</v>
      </c>
      <c r="EJ37" s="3">
        <v>2</v>
      </c>
      <c r="EK37" s="3">
        <v>68</v>
      </c>
      <c r="EL37" s="3" t="s">
        <v>32</v>
      </c>
      <c r="EM37" s="3" t="s">
        <v>33</v>
      </c>
      <c r="EO37" s="3" t="s">
        <v>34</v>
      </c>
      <c r="EQ37" s="3">
        <v>0</v>
      </c>
      <c r="ER37" s="3">
        <v>21.3</v>
      </c>
      <c r="ES37" s="3">
        <v>2.34</v>
      </c>
      <c r="ET37" s="3">
        <v>0.02</v>
      </c>
      <c r="EU37" s="3">
        <v>0</v>
      </c>
      <c r="EV37" s="3">
        <v>18.940000000000001</v>
      </c>
      <c r="EW37" s="3">
        <v>1.36</v>
      </c>
      <c r="EX37" s="3">
        <v>0</v>
      </c>
      <c r="EY37" s="3">
        <v>0</v>
      </c>
      <c r="FQ37" s="3">
        <v>0</v>
      </c>
      <c r="FR37" s="3">
        <v>0</v>
      </c>
      <c r="FS37" s="3">
        <v>0</v>
      </c>
      <c r="FX37" s="3">
        <v>90</v>
      </c>
      <c r="FY37" s="3">
        <v>46</v>
      </c>
      <c r="GA37" s="3" t="s">
        <v>3</v>
      </c>
      <c r="GD37" s="3">
        <v>1</v>
      </c>
      <c r="GF37" s="3">
        <v>-1291988825</v>
      </c>
      <c r="GG37" s="3">
        <v>2</v>
      </c>
      <c r="GH37" s="3">
        <v>1</v>
      </c>
      <c r="GI37" s="3">
        <v>2</v>
      </c>
      <c r="GJ37" s="3">
        <v>0</v>
      </c>
      <c r="GK37" s="3">
        <v>0</v>
      </c>
      <c r="GL37" s="3">
        <f t="shared" si="52"/>
        <v>0</v>
      </c>
      <c r="GM37" s="3">
        <f t="shared" si="53"/>
        <v>11393.89</v>
      </c>
      <c r="GN37" s="3">
        <f t="shared" si="54"/>
        <v>0</v>
      </c>
      <c r="GO37" s="3">
        <f t="shared" si="55"/>
        <v>11393.89</v>
      </c>
      <c r="GP37" s="3">
        <f t="shared" si="56"/>
        <v>0</v>
      </c>
      <c r="GR37" s="3">
        <v>0</v>
      </c>
      <c r="GS37" s="3">
        <v>3</v>
      </c>
      <c r="GT37" s="3">
        <v>0</v>
      </c>
      <c r="GU37" s="3" t="s">
        <v>3</v>
      </c>
      <c r="GV37" s="3">
        <f t="shared" si="57"/>
        <v>0</v>
      </c>
      <c r="GW37" s="3">
        <v>1</v>
      </c>
      <c r="GX37" s="3">
        <f t="shared" si="58"/>
        <v>0</v>
      </c>
      <c r="HA37" s="3">
        <v>0</v>
      </c>
      <c r="HB37" s="3">
        <v>0</v>
      </c>
      <c r="HC37" s="3">
        <f t="shared" si="59"/>
        <v>0</v>
      </c>
      <c r="HE37" s="3" t="s">
        <v>3</v>
      </c>
      <c r="HF37" s="3" t="s">
        <v>3</v>
      </c>
      <c r="HM37" s="3" t="s">
        <v>3</v>
      </c>
      <c r="HN37" s="3" t="s">
        <v>3</v>
      </c>
      <c r="HO37" s="3" t="s">
        <v>3</v>
      </c>
      <c r="HP37" s="3" t="s">
        <v>3</v>
      </c>
      <c r="HQ37" s="3" t="s">
        <v>3</v>
      </c>
      <c r="HS37" s="3">
        <v>0</v>
      </c>
      <c r="IK37" s="3">
        <v>0</v>
      </c>
    </row>
    <row r="38" spans="1:255" x14ac:dyDescent="0.25">
      <c r="A38" s="2">
        <v>17</v>
      </c>
      <c r="B38" s="2">
        <v>1</v>
      </c>
      <c r="C38" s="2">
        <f>ROW(SmtRes!A39)</f>
        <v>39</v>
      </c>
      <c r="D38" s="2">
        <f>ROW(EtalonRes!A47)</f>
        <v>47</v>
      </c>
      <c r="E38" s="2" t="s">
        <v>51</v>
      </c>
      <c r="F38" s="2" t="s">
        <v>52</v>
      </c>
      <c r="G38" s="2" t="s">
        <v>53</v>
      </c>
      <c r="H38" s="2" t="s">
        <v>27</v>
      </c>
      <c r="I38" s="2">
        <f>ROUND(12+18+2+4+1+1+1+63+1+10+2+1,9)</f>
        <v>116</v>
      </c>
      <c r="J38" s="2">
        <v>0</v>
      </c>
      <c r="K38" s="2">
        <f>ROUND(12+18+2+4+1+1+1+63+1+10+2+1,9)</f>
        <v>116</v>
      </c>
      <c r="L38" s="2"/>
      <c r="M38" s="2"/>
      <c r="N38" s="2"/>
      <c r="O38" s="2">
        <f t="shared" si="21"/>
        <v>929.54</v>
      </c>
      <c r="P38" s="2">
        <f t="shared" si="22"/>
        <v>0</v>
      </c>
      <c r="Q38" s="2">
        <f t="shared" si="23"/>
        <v>2.62</v>
      </c>
      <c r="R38" s="2">
        <f t="shared" si="24"/>
        <v>0.44</v>
      </c>
      <c r="S38" s="2">
        <f t="shared" si="25"/>
        <v>926.92</v>
      </c>
      <c r="T38" s="2">
        <f t="shared" si="26"/>
        <v>0</v>
      </c>
      <c r="U38" s="2">
        <f t="shared" si="27"/>
        <v>73.4541696</v>
      </c>
      <c r="V38" s="2">
        <f t="shared" si="28"/>
        <v>0</v>
      </c>
      <c r="W38" s="2">
        <f t="shared" si="29"/>
        <v>0</v>
      </c>
      <c r="X38" s="2">
        <f t="shared" si="30"/>
        <v>834.62</v>
      </c>
      <c r="Y38" s="2">
        <f t="shared" si="31"/>
        <v>426.59</v>
      </c>
      <c r="Z38" s="2"/>
      <c r="AA38" s="2">
        <v>57014138</v>
      </c>
      <c r="AB38" s="2">
        <f t="shared" si="32"/>
        <v>7.6536</v>
      </c>
      <c r="AC38" s="2">
        <f t="shared" si="33"/>
        <v>0</v>
      </c>
      <c r="AD38" s="2">
        <f t="shared" si="34"/>
        <v>2.1600000000000001E-2</v>
      </c>
      <c r="AE38" s="2">
        <f t="shared" si="35"/>
        <v>3.5999999999999999E-3</v>
      </c>
      <c r="AF38" s="2">
        <f t="shared" si="36"/>
        <v>7.6319999999999997</v>
      </c>
      <c r="AG38" s="2">
        <f t="shared" si="37"/>
        <v>0</v>
      </c>
      <c r="AH38" s="2">
        <f t="shared" si="38"/>
        <v>0.6048</v>
      </c>
      <c r="AI38" s="2">
        <f t="shared" si="39"/>
        <v>0</v>
      </c>
      <c r="AJ38" s="2">
        <f t="shared" si="40"/>
        <v>0</v>
      </c>
      <c r="AK38" s="2">
        <v>22.52</v>
      </c>
      <c r="AL38" s="2">
        <v>1.26</v>
      </c>
      <c r="AM38" s="2">
        <v>0.06</v>
      </c>
      <c r="AN38" s="2">
        <v>0.01</v>
      </c>
      <c r="AO38" s="2">
        <v>21.2</v>
      </c>
      <c r="AP38" s="2">
        <v>0</v>
      </c>
      <c r="AQ38" s="2">
        <v>1.68</v>
      </c>
      <c r="AR38" s="2">
        <v>0</v>
      </c>
      <c r="AS38" s="2">
        <v>0</v>
      </c>
      <c r="AT38" s="2">
        <v>90</v>
      </c>
      <c r="AU38" s="2">
        <v>46</v>
      </c>
      <c r="AV38" s="2">
        <v>1.0469999999999999</v>
      </c>
      <c r="AW38" s="2">
        <v>1</v>
      </c>
      <c r="AX38" s="2"/>
      <c r="AY38" s="2"/>
      <c r="AZ38" s="2">
        <v>1</v>
      </c>
      <c r="BA38" s="2">
        <v>1</v>
      </c>
      <c r="BB38" s="2">
        <v>1</v>
      </c>
      <c r="BC38" s="2">
        <v>1</v>
      </c>
      <c r="BD38" s="2" t="s">
        <v>3</v>
      </c>
      <c r="BE38" s="2" t="s">
        <v>3</v>
      </c>
      <c r="BF38" s="2" t="s">
        <v>3</v>
      </c>
      <c r="BG38" s="2" t="s">
        <v>3</v>
      </c>
      <c r="BH38" s="2">
        <v>0</v>
      </c>
      <c r="BI38" s="2">
        <v>2</v>
      </c>
      <c r="BJ38" s="2" t="s">
        <v>54</v>
      </c>
      <c r="BK38" s="2"/>
      <c r="BL38" s="2"/>
      <c r="BM38" s="2">
        <v>68</v>
      </c>
      <c r="BN38" s="2">
        <v>0</v>
      </c>
      <c r="BO38" s="2" t="s">
        <v>52</v>
      </c>
      <c r="BP38" s="2">
        <v>1</v>
      </c>
      <c r="BQ38" s="2">
        <v>40</v>
      </c>
      <c r="BR38" s="2">
        <v>0</v>
      </c>
      <c r="BS38" s="2">
        <v>1</v>
      </c>
      <c r="BT38" s="2">
        <v>1</v>
      </c>
      <c r="BU38" s="2">
        <v>1</v>
      </c>
      <c r="BV38" s="2">
        <v>1</v>
      </c>
      <c r="BW38" s="2">
        <v>1</v>
      </c>
      <c r="BX38" s="2">
        <v>1</v>
      </c>
      <c r="BY38" s="2" t="s">
        <v>3</v>
      </c>
      <c r="BZ38" s="2">
        <v>90</v>
      </c>
      <c r="CA38" s="2">
        <v>46</v>
      </c>
      <c r="CB38" s="2" t="s">
        <v>3</v>
      </c>
      <c r="CC38" s="2"/>
      <c r="CD38" s="2"/>
      <c r="CE38" s="2">
        <v>1566</v>
      </c>
      <c r="CF38" s="2">
        <v>0</v>
      </c>
      <c r="CG38" s="2">
        <v>0</v>
      </c>
      <c r="CH38" s="2"/>
      <c r="CI38" s="2"/>
      <c r="CJ38" s="2"/>
      <c r="CK38" s="2"/>
      <c r="CL38" s="2"/>
      <c r="CM38" s="2">
        <v>0</v>
      </c>
      <c r="CN38" s="2" t="s">
        <v>623</v>
      </c>
      <c r="CO38" s="2">
        <v>0</v>
      </c>
      <c r="CP38" s="2">
        <f t="shared" si="41"/>
        <v>929.54</v>
      </c>
      <c r="CQ38" s="2">
        <f t="shared" si="42"/>
        <v>0</v>
      </c>
      <c r="CR38" s="2">
        <f t="shared" si="43"/>
        <v>0.02</v>
      </c>
      <c r="CS38" s="2">
        <f t="shared" si="44"/>
        <v>0</v>
      </c>
      <c r="CT38" s="2">
        <f t="shared" si="45"/>
        <v>7.99</v>
      </c>
      <c r="CU38" s="2">
        <f t="shared" si="46"/>
        <v>0</v>
      </c>
      <c r="CV38" s="2">
        <f t="shared" si="47"/>
        <v>0.63322559999999994</v>
      </c>
      <c r="CW38" s="2">
        <f t="shared" si="48"/>
        <v>0</v>
      </c>
      <c r="CX38" s="2">
        <f t="shared" si="49"/>
        <v>0</v>
      </c>
      <c r="CY38" s="2">
        <f t="shared" si="50"/>
        <v>834.23</v>
      </c>
      <c r="CZ38" s="2">
        <f t="shared" si="51"/>
        <v>426.38</v>
      </c>
      <c r="DA38" s="2"/>
      <c r="DB38" s="2">
        <v>21</v>
      </c>
      <c r="DC38" s="2" t="s">
        <v>3</v>
      </c>
      <c r="DD38" s="2" t="s">
        <v>29</v>
      </c>
      <c r="DE38" s="2" t="s">
        <v>30</v>
      </c>
      <c r="DF38" s="2" t="s">
        <v>30</v>
      </c>
      <c r="DG38" s="2" t="s">
        <v>30</v>
      </c>
      <c r="DH38" s="2" t="s">
        <v>3</v>
      </c>
      <c r="DI38" s="2" t="s">
        <v>30</v>
      </c>
      <c r="DJ38" s="2" t="s">
        <v>30</v>
      </c>
      <c r="DK38" s="2" t="s">
        <v>3</v>
      </c>
      <c r="DL38" s="2" t="s">
        <v>3</v>
      </c>
      <c r="DM38" s="2" t="s">
        <v>3</v>
      </c>
      <c r="DN38" s="2">
        <v>0</v>
      </c>
      <c r="DO38" s="2">
        <v>0</v>
      </c>
      <c r="DP38" s="2">
        <v>1</v>
      </c>
      <c r="DQ38" s="2">
        <v>1</v>
      </c>
      <c r="DR38" s="2"/>
      <c r="DS38" s="2"/>
      <c r="DT38" s="2"/>
      <c r="DU38" s="2">
        <v>1013</v>
      </c>
      <c r="DV38" s="2" t="s">
        <v>27</v>
      </c>
      <c r="DW38" s="2" t="s">
        <v>27</v>
      </c>
      <c r="DX38" s="2">
        <v>1</v>
      </c>
      <c r="DY38" s="2"/>
      <c r="DZ38" s="2" t="s">
        <v>3</v>
      </c>
      <c r="EA38" s="2" t="s">
        <v>3</v>
      </c>
      <c r="EB38" s="2" t="s">
        <v>3</v>
      </c>
      <c r="EC38" s="2" t="s">
        <v>3</v>
      </c>
      <c r="ED38" s="2"/>
      <c r="EE38" s="2">
        <v>57042958</v>
      </c>
      <c r="EF38" s="2">
        <v>40</v>
      </c>
      <c r="EG38" s="2" t="s">
        <v>31</v>
      </c>
      <c r="EH38" s="2">
        <v>0</v>
      </c>
      <c r="EI38" s="2" t="s">
        <v>3</v>
      </c>
      <c r="EJ38" s="2">
        <v>2</v>
      </c>
      <c r="EK38" s="2">
        <v>68</v>
      </c>
      <c r="EL38" s="2" t="s">
        <v>32</v>
      </c>
      <c r="EM38" s="2" t="s">
        <v>33</v>
      </c>
      <c r="EN38" s="2"/>
      <c r="EO38" s="2" t="s">
        <v>34</v>
      </c>
      <c r="EP38" s="2"/>
      <c r="EQ38" s="2">
        <v>0</v>
      </c>
      <c r="ER38" s="2">
        <v>22.52</v>
      </c>
      <c r="ES38" s="2">
        <v>1.26</v>
      </c>
      <c r="ET38" s="2">
        <v>0.06</v>
      </c>
      <c r="EU38" s="2">
        <v>0.01</v>
      </c>
      <c r="EV38" s="2">
        <v>21.2</v>
      </c>
      <c r="EW38" s="2">
        <v>1.68</v>
      </c>
      <c r="EX38" s="2">
        <v>0</v>
      </c>
      <c r="EY38" s="2">
        <v>0</v>
      </c>
      <c r="EZ38" s="2"/>
      <c r="FA38" s="2"/>
      <c r="FB38" s="2"/>
      <c r="FC38" s="2"/>
      <c r="FD38" s="2"/>
      <c r="FE38" s="2"/>
      <c r="FF38" s="2"/>
      <c r="FG38" s="2"/>
      <c r="FH38" s="2"/>
      <c r="FI38" s="2"/>
      <c r="FJ38" s="2"/>
      <c r="FK38" s="2"/>
      <c r="FL38" s="2"/>
      <c r="FM38" s="2"/>
      <c r="FN38" s="2"/>
      <c r="FO38" s="2"/>
      <c r="FP38" s="2"/>
      <c r="FQ38" s="2">
        <v>0</v>
      </c>
      <c r="FR38" s="2">
        <v>0</v>
      </c>
      <c r="FS38" s="2">
        <v>0</v>
      </c>
      <c r="FT38" s="2"/>
      <c r="FU38" s="2"/>
      <c r="FV38" s="2"/>
      <c r="FW38" s="2"/>
      <c r="FX38" s="2">
        <v>90</v>
      </c>
      <c r="FY38" s="2">
        <v>46</v>
      </c>
      <c r="FZ38" s="2"/>
      <c r="GA38" s="2" t="s">
        <v>3</v>
      </c>
      <c r="GB38" s="2"/>
      <c r="GC38" s="2"/>
      <c r="GD38" s="2">
        <v>1</v>
      </c>
      <c r="GE38" s="2"/>
      <c r="GF38" s="2">
        <v>-324079866</v>
      </c>
      <c r="GG38" s="2">
        <v>2</v>
      </c>
      <c r="GH38" s="2">
        <v>1</v>
      </c>
      <c r="GI38" s="2">
        <v>2</v>
      </c>
      <c r="GJ38" s="2">
        <v>0</v>
      </c>
      <c r="GK38" s="2">
        <v>0</v>
      </c>
      <c r="GL38" s="2">
        <f t="shared" si="52"/>
        <v>0</v>
      </c>
      <c r="GM38" s="2">
        <f t="shared" si="53"/>
        <v>2190.75</v>
      </c>
      <c r="GN38" s="2">
        <f t="shared" si="54"/>
        <v>0</v>
      </c>
      <c r="GO38" s="2">
        <f t="shared" si="55"/>
        <v>2190.75</v>
      </c>
      <c r="GP38" s="2">
        <f t="shared" si="56"/>
        <v>0</v>
      </c>
      <c r="GQ38" s="2"/>
      <c r="GR38" s="2">
        <v>0</v>
      </c>
      <c r="GS38" s="2">
        <v>3</v>
      </c>
      <c r="GT38" s="2">
        <v>0</v>
      </c>
      <c r="GU38" s="2" t="s">
        <v>3</v>
      </c>
      <c r="GV38" s="2">
        <f t="shared" si="57"/>
        <v>0</v>
      </c>
      <c r="GW38" s="2">
        <v>1</v>
      </c>
      <c r="GX38" s="2">
        <f t="shared" si="58"/>
        <v>0</v>
      </c>
      <c r="GY38" s="2"/>
      <c r="GZ38" s="2"/>
      <c r="HA38" s="2">
        <v>0</v>
      </c>
      <c r="HB38" s="2">
        <v>0</v>
      </c>
      <c r="HC38" s="2">
        <f t="shared" si="59"/>
        <v>0</v>
      </c>
      <c r="HD38" s="2"/>
      <c r="HE38" s="2" t="s">
        <v>3</v>
      </c>
      <c r="HF38" s="2" t="s">
        <v>3</v>
      </c>
      <c r="HG38" s="2"/>
      <c r="HH38" s="2"/>
      <c r="HI38" s="2"/>
      <c r="HJ38" s="2"/>
      <c r="HK38" s="2"/>
      <c r="HL38" s="2"/>
      <c r="HM38" s="2" t="s">
        <v>3</v>
      </c>
      <c r="HN38" s="2" t="s">
        <v>3</v>
      </c>
      <c r="HO38" s="2" t="s">
        <v>3</v>
      </c>
      <c r="HP38" s="2" t="s">
        <v>3</v>
      </c>
      <c r="HQ38" s="2" t="s">
        <v>3</v>
      </c>
      <c r="HR38" s="2"/>
      <c r="HS38" s="2">
        <v>0</v>
      </c>
      <c r="HT38" s="2"/>
      <c r="HU38" s="2"/>
      <c r="HV38" s="2"/>
      <c r="HW38" s="2"/>
      <c r="HX38" s="2"/>
      <c r="HY38" s="2"/>
      <c r="HZ38" s="2"/>
      <c r="IA38" s="2"/>
      <c r="IB38" s="2"/>
      <c r="IC38" s="2"/>
      <c r="ID38" s="2"/>
      <c r="IE38" s="2"/>
      <c r="IF38" s="2"/>
      <c r="IG38" s="2"/>
      <c r="IH38" s="2"/>
      <c r="II38" s="2"/>
      <c r="IJ38" s="2"/>
      <c r="IK38" s="2">
        <v>0</v>
      </c>
      <c r="IL38" s="2"/>
      <c r="IM38" s="2"/>
      <c r="IN38" s="2"/>
      <c r="IO38" s="2"/>
      <c r="IP38" s="2"/>
      <c r="IQ38" s="2"/>
      <c r="IR38" s="2"/>
      <c r="IS38" s="2"/>
      <c r="IT38" s="2"/>
      <c r="IU38" s="2"/>
    </row>
    <row r="39" spans="1:255" x14ac:dyDescent="0.25">
      <c r="A39" s="3">
        <v>17</v>
      </c>
      <c r="B39" s="3">
        <v>1</v>
      </c>
      <c r="C39" s="3">
        <f>ROW(SmtRes!A40)</f>
        <v>40</v>
      </c>
      <c r="D39" s="3">
        <f>ROW(EtalonRes!A48)</f>
        <v>48</v>
      </c>
      <c r="E39" s="3" t="s">
        <v>51</v>
      </c>
      <c r="F39" s="3" t="s">
        <v>52</v>
      </c>
      <c r="G39" s="3" t="s">
        <v>53</v>
      </c>
      <c r="H39" s="3" t="s">
        <v>27</v>
      </c>
      <c r="I39" s="3">
        <f>ROUND(12+18+2+4+1+1+1+63+1+10+2+1,9)</f>
        <v>116</v>
      </c>
      <c r="J39" s="3">
        <v>0</v>
      </c>
      <c r="K39" s="3">
        <f>ROUND(12+18+2+4+1+1+1+63+1+10+2+1,9)</f>
        <v>116</v>
      </c>
      <c r="O39" s="3">
        <f t="shared" si="21"/>
        <v>52280.41</v>
      </c>
      <c r="P39" s="3">
        <f t="shared" si="22"/>
        <v>0</v>
      </c>
      <c r="Q39" s="3">
        <f t="shared" si="23"/>
        <v>48.47</v>
      </c>
      <c r="R39" s="3">
        <f t="shared" si="24"/>
        <v>24.79</v>
      </c>
      <c r="S39" s="3">
        <f t="shared" si="25"/>
        <v>52231.94</v>
      </c>
      <c r="T39" s="3">
        <f t="shared" si="26"/>
        <v>0</v>
      </c>
      <c r="U39" s="3">
        <f t="shared" si="27"/>
        <v>73.4541696</v>
      </c>
      <c r="V39" s="3">
        <f t="shared" si="28"/>
        <v>0</v>
      </c>
      <c r="W39" s="3">
        <f t="shared" si="29"/>
        <v>0</v>
      </c>
      <c r="X39" s="3">
        <f t="shared" si="30"/>
        <v>47031.06</v>
      </c>
      <c r="Y39" s="3">
        <f t="shared" si="31"/>
        <v>24038.1</v>
      </c>
      <c r="AA39" s="3">
        <v>57014140</v>
      </c>
      <c r="AB39" s="3">
        <f t="shared" si="32"/>
        <v>7.6536</v>
      </c>
      <c r="AC39" s="3">
        <f t="shared" si="33"/>
        <v>0</v>
      </c>
      <c r="AD39" s="3">
        <f t="shared" si="34"/>
        <v>2.1600000000000001E-2</v>
      </c>
      <c r="AE39" s="3">
        <f t="shared" si="35"/>
        <v>3.5999999999999999E-3</v>
      </c>
      <c r="AF39" s="3">
        <f t="shared" si="36"/>
        <v>7.6319999999999997</v>
      </c>
      <c r="AG39" s="3">
        <f t="shared" si="37"/>
        <v>0</v>
      </c>
      <c r="AH39" s="3">
        <f t="shared" si="38"/>
        <v>0.6048</v>
      </c>
      <c r="AI39" s="3">
        <f t="shared" si="39"/>
        <v>0</v>
      </c>
      <c r="AJ39" s="3">
        <f t="shared" si="40"/>
        <v>0</v>
      </c>
      <c r="AK39" s="3">
        <v>22.52</v>
      </c>
      <c r="AL39" s="3">
        <v>1.26</v>
      </c>
      <c r="AM39" s="3">
        <v>0.06</v>
      </c>
      <c r="AN39" s="3">
        <v>0.01</v>
      </c>
      <c r="AO39" s="3">
        <v>21.2</v>
      </c>
      <c r="AP39" s="3">
        <v>0</v>
      </c>
      <c r="AQ39" s="3">
        <v>1.68</v>
      </c>
      <c r="AR39" s="3">
        <v>0</v>
      </c>
      <c r="AS39" s="3">
        <v>0</v>
      </c>
      <c r="AT39" s="3">
        <v>90</v>
      </c>
      <c r="AU39" s="3">
        <v>46</v>
      </c>
      <c r="AV39" s="3">
        <v>1.0469999999999999</v>
      </c>
      <c r="AW39" s="3">
        <v>1</v>
      </c>
      <c r="AZ39" s="3">
        <v>1</v>
      </c>
      <c r="BA39" s="3">
        <v>56.35</v>
      </c>
      <c r="BB39" s="3">
        <v>18.5</v>
      </c>
      <c r="BC39" s="3">
        <v>9.84</v>
      </c>
      <c r="BD39" s="3" t="s">
        <v>3</v>
      </c>
      <c r="BE39" s="3" t="s">
        <v>3</v>
      </c>
      <c r="BF39" s="3" t="s">
        <v>3</v>
      </c>
      <c r="BG39" s="3" t="s">
        <v>3</v>
      </c>
      <c r="BH39" s="3">
        <v>0</v>
      </c>
      <c r="BI39" s="3">
        <v>2</v>
      </c>
      <c r="BJ39" s="3" t="s">
        <v>54</v>
      </c>
      <c r="BM39" s="3">
        <v>68</v>
      </c>
      <c r="BN39" s="3">
        <v>0</v>
      </c>
      <c r="BO39" s="3" t="s">
        <v>52</v>
      </c>
      <c r="BP39" s="3">
        <v>1</v>
      </c>
      <c r="BQ39" s="3">
        <v>40</v>
      </c>
      <c r="BR39" s="3">
        <v>0</v>
      </c>
      <c r="BS39" s="3">
        <v>56.35</v>
      </c>
      <c r="BT39" s="3">
        <v>1</v>
      </c>
      <c r="BU39" s="3">
        <v>1</v>
      </c>
      <c r="BV39" s="3">
        <v>1</v>
      </c>
      <c r="BW39" s="3">
        <v>1</v>
      </c>
      <c r="BX39" s="3">
        <v>1</v>
      </c>
      <c r="BY39" s="3" t="s">
        <v>3</v>
      </c>
      <c r="BZ39" s="3">
        <v>90</v>
      </c>
      <c r="CA39" s="3">
        <v>46</v>
      </c>
      <c r="CB39" s="3" t="s">
        <v>3</v>
      </c>
      <c r="CE39" s="3">
        <v>1566</v>
      </c>
      <c r="CF39" s="3">
        <v>0</v>
      </c>
      <c r="CG39" s="3">
        <v>0</v>
      </c>
      <c r="CM39" s="3">
        <v>0</v>
      </c>
      <c r="CN39" s="3" t="s">
        <v>623</v>
      </c>
      <c r="CO39" s="3">
        <v>0</v>
      </c>
      <c r="CP39" s="3">
        <f t="shared" si="41"/>
        <v>52280.41</v>
      </c>
      <c r="CQ39" s="3">
        <f t="shared" si="42"/>
        <v>0</v>
      </c>
      <c r="CR39" s="3">
        <f t="shared" si="43"/>
        <v>0.37</v>
      </c>
      <c r="CS39" s="3">
        <f t="shared" si="44"/>
        <v>0</v>
      </c>
      <c r="CT39" s="3">
        <f t="shared" si="45"/>
        <v>450.24</v>
      </c>
      <c r="CU39" s="3">
        <f t="shared" si="46"/>
        <v>0</v>
      </c>
      <c r="CV39" s="3">
        <f t="shared" si="47"/>
        <v>0.63322559999999994</v>
      </c>
      <c r="CW39" s="3">
        <f t="shared" si="48"/>
        <v>0</v>
      </c>
      <c r="CX39" s="3">
        <f t="shared" si="49"/>
        <v>0</v>
      </c>
      <c r="CY39" s="3">
        <f t="shared" si="50"/>
        <v>47008.75</v>
      </c>
      <c r="CZ39" s="3">
        <f t="shared" si="51"/>
        <v>24026.69</v>
      </c>
      <c r="DB39" s="3">
        <v>23</v>
      </c>
      <c r="DC39" s="3" t="s">
        <v>3</v>
      </c>
      <c r="DD39" s="3" t="s">
        <v>29</v>
      </c>
      <c r="DE39" s="3" t="s">
        <v>30</v>
      </c>
      <c r="DF39" s="3" t="s">
        <v>30</v>
      </c>
      <c r="DG39" s="3" t="s">
        <v>30</v>
      </c>
      <c r="DH39" s="3" t="s">
        <v>3</v>
      </c>
      <c r="DI39" s="3" t="s">
        <v>30</v>
      </c>
      <c r="DJ39" s="3" t="s">
        <v>30</v>
      </c>
      <c r="DK39" s="3" t="s">
        <v>3</v>
      </c>
      <c r="DL39" s="3" t="s">
        <v>3</v>
      </c>
      <c r="DM39" s="3" t="s">
        <v>3</v>
      </c>
      <c r="DN39" s="3">
        <v>0</v>
      </c>
      <c r="DO39" s="3">
        <v>0</v>
      </c>
      <c r="DP39" s="3">
        <v>1</v>
      </c>
      <c r="DQ39" s="3">
        <v>1</v>
      </c>
      <c r="DU39" s="3">
        <v>1013</v>
      </c>
      <c r="DV39" s="3" t="s">
        <v>27</v>
      </c>
      <c r="DW39" s="3" t="s">
        <v>27</v>
      </c>
      <c r="DX39" s="3">
        <v>1</v>
      </c>
      <c r="DZ39" s="3" t="s">
        <v>3</v>
      </c>
      <c r="EA39" s="3" t="s">
        <v>3</v>
      </c>
      <c r="EB39" s="3" t="s">
        <v>3</v>
      </c>
      <c r="EC39" s="3" t="s">
        <v>3</v>
      </c>
      <c r="EE39" s="3">
        <v>57042958</v>
      </c>
      <c r="EF39" s="3">
        <v>40</v>
      </c>
      <c r="EG39" s="3" t="s">
        <v>31</v>
      </c>
      <c r="EH39" s="3">
        <v>0</v>
      </c>
      <c r="EI39" s="3" t="s">
        <v>3</v>
      </c>
      <c r="EJ39" s="3">
        <v>2</v>
      </c>
      <c r="EK39" s="3">
        <v>68</v>
      </c>
      <c r="EL39" s="3" t="s">
        <v>32</v>
      </c>
      <c r="EM39" s="3" t="s">
        <v>33</v>
      </c>
      <c r="EO39" s="3" t="s">
        <v>34</v>
      </c>
      <c r="EQ39" s="3">
        <v>0</v>
      </c>
      <c r="ER39" s="3">
        <v>22.52</v>
      </c>
      <c r="ES39" s="3">
        <v>1.26</v>
      </c>
      <c r="ET39" s="3">
        <v>0.06</v>
      </c>
      <c r="EU39" s="3">
        <v>0.01</v>
      </c>
      <c r="EV39" s="3">
        <v>21.2</v>
      </c>
      <c r="EW39" s="3">
        <v>1.68</v>
      </c>
      <c r="EX39" s="3">
        <v>0</v>
      </c>
      <c r="EY39" s="3">
        <v>0</v>
      </c>
      <c r="FQ39" s="3">
        <v>0</v>
      </c>
      <c r="FR39" s="3">
        <v>0</v>
      </c>
      <c r="FS39" s="3">
        <v>0</v>
      </c>
      <c r="FX39" s="3">
        <v>90</v>
      </c>
      <c r="FY39" s="3">
        <v>46</v>
      </c>
      <c r="GA39" s="3" t="s">
        <v>3</v>
      </c>
      <c r="GD39" s="3">
        <v>1</v>
      </c>
      <c r="GF39" s="3">
        <v>-324079866</v>
      </c>
      <c r="GG39" s="3">
        <v>2</v>
      </c>
      <c r="GH39" s="3">
        <v>1</v>
      </c>
      <c r="GI39" s="3">
        <v>2</v>
      </c>
      <c r="GJ39" s="3">
        <v>0</v>
      </c>
      <c r="GK39" s="3">
        <v>0</v>
      </c>
      <c r="GL39" s="3">
        <f t="shared" si="52"/>
        <v>0</v>
      </c>
      <c r="GM39" s="3">
        <f t="shared" si="53"/>
        <v>123349.57</v>
      </c>
      <c r="GN39" s="3">
        <f t="shared" si="54"/>
        <v>0</v>
      </c>
      <c r="GO39" s="3">
        <f t="shared" si="55"/>
        <v>123349.57</v>
      </c>
      <c r="GP39" s="3">
        <f t="shared" si="56"/>
        <v>0</v>
      </c>
      <c r="GR39" s="3">
        <v>0</v>
      </c>
      <c r="GS39" s="3">
        <v>3</v>
      </c>
      <c r="GT39" s="3">
        <v>0</v>
      </c>
      <c r="GU39" s="3" t="s">
        <v>3</v>
      </c>
      <c r="GV39" s="3">
        <f t="shared" si="57"/>
        <v>0</v>
      </c>
      <c r="GW39" s="3">
        <v>1</v>
      </c>
      <c r="GX39" s="3">
        <f t="shared" si="58"/>
        <v>0</v>
      </c>
      <c r="HA39" s="3">
        <v>0</v>
      </c>
      <c r="HB39" s="3">
        <v>0</v>
      </c>
      <c r="HC39" s="3">
        <f t="shared" si="59"/>
        <v>0</v>
      </c>
      <c r="HE39" s="3" t="s">
        <v>3</v>
      </c>
      <c r="HF39" s="3" t="s">
        <v>3</v>
      </c>
      <c r="HM39" s="3" t="s">
        <v>3</v>
      </c>
      <c r="HN39" s="3" t="s">
        <v>3</v>
      </c>
      <c r="HO39" s="3" t="s">
        <v>3</v>
      </c>
      <c r="HP39" s="3" t="s">
        <v>3</v>
      </c>
      <c r="HQ39" s="3" t="s">
        <v>3</v>
      </c>
      <c r="HS39" s="3">
        <v>0</v>
      </c>
      <c r="IK39" s="3">
        <v>0</v>
      </c>
    </row>
    <row r="40" spans="1:255" x14ac:dyDescent="0.25">
      <c r="A40" s="2">
        <v>17</v>
      </c>
      <c r="B40" s="2">
        <v>1</v>
      </c>
      <c r="C40" s="2">
        <f>ROW(SmtRes!A44)</f>
        <v>44</v>
      </c>
      <c r="D40" s="2">
        <f>ROW(EtalonRes!A53)</f>
        <v>53</v>
      </c>
      <c r="E40" s="2" t="s">
        <v>55</v>
      </c>
      <c r="F40" s="2" t="s">
        <v>56</v>
      </c>
      <c r="G40" s="2" t="s">
        <v>57</v>
      </c>
      <c r="H40" s="2" t="s">
        <v>27</v>
      </c>
      <c r="I40" s="2">
        <f>ROUND(144+42,9)</f>
        <v>186</v>
      </c>
      <c r="J40" s="2">
        <v>0</v>
      </c>
      <c r="K40" s="2">
        <f>ROUND(144+42,9)</f>
        <v>186</v>
      </c>
      <c r="L40" s="2"/>
      <c r="M40" s="2"/>
      <c r="N40" s="2"/>
      <c r="O40" s="2">
        <f t="shared" si="21"/>
        <v>1667.15</v>
      </c>
      <c r="P40" s="2">
        <f t="shared" si="22"/>
        <v>0</v>
      </c>
      <c r="Q40" s="2">
        <f t="shared" si="23"/>
        <v>0</v>
      </c>
      <c r="R40" s="2">
        <f t="shared" si="24"/>
        <v>0</v>
      </c>
      <c r="S40" s="2">
        <f t="shared" si="25"/>
        <v>1667.15</v>
      </c>
      <c r="T40" s="2">
        <f t="shared" si="26"/>
        <v>0</v>
      </c>
      <c r="U40" s="2">
        <f t="shared" si="27"/>
        <v>140.21423999999999</v>
      </c>
      <c r="V40" s="2">
        <f t="shared" si="28"/>
        <v>0</v>
      </c>
      <c r="W40" s="2">
        <f t="shared" si="29"/>
        <v>0</v>
      </c>
      <c r="X40" s="2">
        <f t="shared" si="30"/>
        <v>1583.79</v>
      </c>
      <c r="Y40" s="2">
        <f t="shared" si="31"/>
        <v>883.59</v>
      </c>
      <c r="Z40" s="2"/>
      <c r="AA40" s="2">
        <v>57014138</v>
      </c>
      <c r="AB40" s="2">
        <f t="shared" si="32"/>
        <v>8.5608000000000004</v>
      </c>
      <c r="AC40" s="2">
        <f t="shared" si="33"/>
        <v>0</v>
      </c>
      <c r="AD40" s="2">
        <f t="shared" si="34"/>
        <v>0</v>
      </c>
      <c r="AE40" s="2">
        <f t="shared" si="35"/>
        <v>0</v>
      </c>
      <c r="AF40" s="2">
        <f t="shared" si="36"/>
        <v>8.5608000000000004</v>
      </c>
      <c r="AG40" s="2">
        <f t="shared" si="37"/>
        <v>0</v>
      </c>
      <c r="AH40" s="2">
        <f t="shared" si="38"/>
        <v>0.72</v>
      </c>
      <c r="AI40" s="2">
        <f t="shared" si="39"/>
        <v>0</v>
      </c>
      <c r="AJ40" s="2">
        <f t="shared" si="40"/>
        <v>0</v>
      </c>
      <c r="AK40" s="2">
        <v>48.24</v>
      </c>
      <c r="AL40" s="2">
        <v>24.46</v>
      </c>
      <c r="AM40" s="2">
        <v>0</v>
      </c>
      <c r="AN40" s="2">
        <v>0</v>
      </c>
      <c r="AO40" s="2">
        <v>23.78</v>
      </c>
      <c r="AP40" s="2">
        <v>0</v>
      </c>
      <c r="AQ40" s="2">
        <v>2</v>
      </c>
      <c r="AR40" s="2">
        <v>0</v>
      </c>
      <c r="AS40" s="2">
        <v>0</v>
      </c>
      <c r="AT40" s="2">
        <v>95</v>
      </c>
      <c r="AU40" s="2">
        <v>53</v>
      </c>
      <c r="AV40" s="2">
        <v>1.0469999999999999</v>
      </c>
      <c r="AW40" s="2">
        <v>1</v>
      </c>
      <c r="AX40" s="2"/>
      <c r="AY40" s="2"/>
      <c r="AZ40" s="2">
        <v>1</v>
      </c>
      <c r="BA40" s="2">
        <v>1</v>
      </c>
      <c r="BB40" s="2">
        <v>1</v>
      </c>
      <c r="BC40" s="2">
        <v>1</v>
      </c>
      <c r="BD40" s="2" t="s">
        <v>3</v>
      </c>
      <c r="BE40" s="2" t="s">
        <v>3</v>
      </c>
      <c r="BF40" s="2" t="s">
        <v>3</v>
      </c>
      <c r="BG40" s="2" t="s">
        <v>3</v>
      </c>
      <c r="BH40" s="2">
        <v>0</v>
      </c>
      <c r="BI40" s="2">
        <v>2</v>
      </c>
      <c r="BJ40" s="2" t="s">
        <v>58</v>
      </c>
      <c r="BK40" s="2"/>
      <c r="BL40" s="2"/>
      <c r="BM40" s="2">
        <v>69</v>
      </c>
      <c r="BN40" s="2">
        <v>0</v>
      </c>
      <c r="BO40" s="2" t="s">
        <v>56</v>
      </c>
      <c r="BP40" s="2">
        <v>1</v>
      </c>
      <c r="BQ40" s="2">
        <v>40</v>
      </c>
      <c r="BR40" s="2">
        <v>0</v>
      </c>
      <c r="BS40" s="2">
        <v>1</v>
      </c>
      <c r="BT40" s="2">
        <v>1</v>
      </c>
      <c r="BU40" s="2">
        <v>1</v>
      </c>
      <c r="BV40" s="2">
        <v>1</v>
      </c>
      <c r="BW40" s="2">
        <v>1</v>
      </c>
      <c r="BX40" s="2">
        <v>1</v>
      </c>
      <c r="BY40" s="2" t="s">
        <v>3</v>
      </c>
      <c r="BZ40" s="2">
        <v>95</v>
      </c>
      <c r="CA40" s="2">
        <v>53</v>
      </c>
      <c r="CB40" s="2" t="s">
        <v>3</v>
      </c>
      <c r="CC40" s="2"/>
      <c r="CD40" s="2"/>
      <c r="CE40" s="2">
        <v>1566</v>
      </c>
      <c r="CF40" s="2">
        <v>0</v>
      </c>
      <c r="CG40" s="2">
        <v>0</v>
      </c>
      <c r="CH40" s="2"/>
      <c r="CI40" s="2"/>
      <c r="CJ40" s="2"/>
      <c r="CK40" s="2"/>
      <c r="CL40" s="2"/>
      <c r="CM40" s="2">
        <v>0</v>
      </c>
      <c r="CN40" s="2" t="s">
        <v>623</v>
      </c>
      <c r="CO40" s="2">
        <v>0</v>
      </c>
      <c r="CP40" s="2">
        <f t="shared" si="41"/>
        <v>1667.15</v>
      </c>
      <c r="CQ40" s="2">
        <f t="shared" si="42"/>
        <v>0</v>
      </c>
      <c r="CR40" s="2">
        <f t="shared" si="43"/>
        <v>0</v>
      </c>
      <c r="CS40" s="2">
        <f t="shared" si="44"/>
        <v>0</v>
      </c>
      <c r="CT40" s="2">
        <f t="shared" si="45"/>
        <v>8.9600000000000009</v>
      </c>
      <c r="CU40" s="2">
        <f t="shared" si="46"/>
        <v>0</v>
      </c>
      <c r="CV40" s="2">
        <f t="shared" si="47"/>
        <v>0.75383999999999995</v>
      </c>
      <c r="CW40" s="2">
        <f t="shared" si="48"/>
        <v>0</v>
      </c>
      <c r="CX40" s="2">
        <f t="shared" si="49"/>
        <v>0</v>
      </c>
      <c r="CY40" s="2">
        <f t="shared" si="50"/>
        <v>1583.79</v>
      </c>
      <c r="CZ40" s="2">
        <f t="shared" si="51"/>
        <v>883.59</v>
      </c>
      <c r="DA40" s="2"/>
      <c r="DB40" s="2">
        <v>25</v>
      </c>
      <c r="DC40" s="2" t="s">
        <v>3</v>
      </c>
      <c r="DD40" s="2" t="s">
        <v>29</v>
      </c>
      <c r="DE40" s="2" t="s">
        <v>30</v>
      </c>
      <c r="DF40" s="2" t="s">
        <v>30</v>
      </c>
      <c r="DG40" s="2" t="s">
        <v>30</v>
      </c>
      <c r="DH40" s="2" t="s">
        <v>3</v>
      </c>
      <c r="DI40" s="2" t="s">
        <v>30</v>
      </c>
      <c r="DJ40" s="2" t="s">
        <v>30</v>
      </c>
      <c r="DK40" s="2" t="s">
        <v>3</v>
      </c>
      <c r="DL40" s="2" t="s">
        <v>3</v>
      </c>
      <c r="DM40" s="2" t="s">
        <v>3</v>
      </c>
      <c r="DN40" s="2">
        <v>0</v>
      </c>
      <c r="DO40" s="2">
        <v>0</v>
      </c>
      <c r="DP40" s="2">
        <v>1</v>
      </c>
      <c r="DQ40" s="2">
        <v>1</v>
      </c>
      <c r="DR40" s="2"/>
      <c r="DS40" s="2"/>
      <c r="DT40" s="2"/>
      <c r="DU40" s="2">
        <v>1013</v>
      </c>
      <c r="DV40" s="2" t="s">
        <v>27</v>
      </c>
      <c r="DW40" s="2" t="s">
        <v>27</v>
      </c>
      <c r="DX40" s="2">
        <v>1</v>
      </c>
      <c r="DY40" s="2"/>
      <c r="DZ40" s="2" t="s">
        <v>3</v>
      </c>
      <c r="EA40" s="2" t="s">
        <v>3</v>
      </c>
      <c r="EB40" s="2" t="s">
        <v>3</v>
      </c>
      <c r="EC40" s="2" t="s">
        <v>3</v>
      </c>
      <c r="ED40" s="2"/>
      <c r="EE40" s="2">
        <v>57042959</v>
      </c>
      <c r="EF40" s="2">
        <v>40</v>
      </c>
      <c r="EG40" s="2" t="s">
        <v>31</v>
      </c>
      <c r="EH40" s="2">
        <v>0</v>
      </c>
      <c r="EI40" s="2" t="s">
        <v>3</v>
      </c>
      <c r="EJ40" s="2">
        <v>2</v>
      </c>
      <c r="EK40" s="2">
        <v>69</v>
      </c>
      <c r="EL40" s="2" t="s">
        <v>59</v>
      </c>
      <c r="EM40" s="2" t="s">
        <v>60</v>
      </c>
      <c r="EN40" s="2"/>
      <c r="EO40" s="2" t="s">
        <v>34</v>
      </c>
      <c r="EP40" s="2"/>
      <c r="EQ40" s="2">
        <v>0</v>
      </c>
      <c r="ER40" s="2">
        <v>48.24</v>
      </c>
      <c r="ES40" s="2">
        <v>24.46</v>
      </c>
      <c r="ET40" s="2">
        <v>0</v>
      </c>
      <c r="EU40" s="2">
        <v>0</v>
      </c>
      <c r="EV40" s="2">
        <v>23.78</v>
      </c>
      <c r="EW40" s="2">
        <v>2</v>
      </c>
      <c r="EX40" s="2">
        <v>0</v>
      </c>
      <c r="EY40" s="2">
        <v>0</v>
      </c>
      <c r="EZ40" s="2"/>
      <c r="FA40" s="2"/>
      <c r="FB40" s="2"/>
      <c r="FC40" s="2"/>
      <c r="FD40" s="2"/>
      <c r="FE40" s="2"/>
      <c r="FF40" s="2"/>
      <c r="FG40" s="2"/>
      <c r="FH40" s="2"/>
      <c r="FI40" s="2"/>
      <c r="FJ40" s="2"/>
      <c r="FK40" s="2"/>
      <c r="FL40" s="2"/>
      <c r="FM40" s="2"/>
      <c r="FN40" s="2"/>
      <c r="FO40" s="2"/>
      <c r="FP40" s="2"/>
      <c r="FQ40" s="2">
        <v>0</v>
      </c>
      <c r="FR40" s="2">
        <v>0</v>
      </c>
      <c r="FS40" s="2">
        <v>0</v>
      </c>
      <c r="FT40" s="2"/>
      <c r="FU40" s="2"/>
      <c r="FV40" s="2"/>
      <c r="FW40" s="2"/>
      <c r="FX40" s="2">
        <v>95</v>
      </c>
      <c r="FY40" s="2">
        <v>53</v>
      </c>
      <c r="FZ40" s="2"/>
      <c r="GA40" s="2" t="s">
        <v>3</v>
      </c>
      <c r="GB40" s="2"/>
      <c r="GC40" s="2"/>
      <c r="GD40" s="2">
        <v>1</v>
      </c>
      <c r="GE40" s="2"/>
      <c r="GF40" s="2">
        <v>35820931</v>
      </c>
      <c r="GG40" s="2">
        <v>2</v>
      </c>
      <c r="GH40" s="2">
        <v>1</v>
      </c>
      <c r="GI40" s="2">
        <v>2</v>
      </c>
      <c r="GJ40" s="2">
        <v>0</v>
      </c>
      <c r="GK40" s="2">
        <v>0</v>
      </c>
      <c r="GL40" s="2">
        <f t="shared" si="52"/>
        <v>0</v>
      </c>
      <c r="GM40" s="2">
        <f t="shared" si="53"/>
        <v>4134.53</v>
      </c>
      <c r="GN40" s="2">
        <f t="shared" si="54"/>
        <v>0</v>
      </c>
      <c r="GO40" s="2">
        <f t="shared" si="55"/>
        <v>4134.53</v>
      </c>
      <c r="GP40" s="2">
        <f t="shared" si="56"/>
        <v>0</v>
      </c>
      <c r="GQ40" s="2"/>
      <c r="GR40" s="2">
        <v>0</v>
      </c>
      <c r="GS40" s="2">
        <v>3</v>
      </c>
      <c r="GT40" s="2">
        <v>0</v>
      </c>
      <c r="GU40" s="2" t="s">
        <v>3</v>
      </c>
      <c r="GV40" s="2">
        <f t="shared" si="57"/>
        <v>0</v>
      </c>
      <c r="GW40" s="2">
        <v>1</v>
      </c>
      <c r="GX40" s="2">
        <f t="shared" si="58"/>
        <v>0</v>
      </c>
      <c r="GY40" s="2"/>
      <c r="GZ40" s="2"/>
      <c r="HA40" s="2">
        <v>0</v>
      </c>
      <c r="HB40" s="2">
        <v>0</v>
      </c>
      <c r="HC40" s="2">
        <f t="shared" si="59"/>
        <v>0</v>
      </c>
      <c r="HD40" s="2"/>
      <c r="HE40" s="2" t="s">
        <v>3</v>
      </c>
      <c r="HF40" s="2" t="s">
        <v>3</v>
      </c>
      <c r="HG40" s="2"/>
      <c r="HH40" s="2"/>
      <c r="HI40" s="2"/>
      <c r="HJ40" s="2"/>
      <c r="HK40" s="2"/>
      <c r="HL40" s="2"/>
      <c r="HM40" s="2" t="s">
        <v>3</v>
      </c>
      <c r="HN40" s="2" t="s">
        <v>3</v>
      </c>
      <c r="HO40" s="2" t="s">
        <v>3</v>
      </c>
      <c r="HP40" s="2" t="s">
        <v>3</v>
      </c>
      <c r="HQ40" s="2" t="s">
        <v>3</v>
      </c>
      <c r="HR40" s="2"/>
      <c r="HS40" s="2">
        <v>0</v>
      </c>
      <c r="HT40" s="2"/>
      <c r="HU40" s="2"/>
      <c r="HV40" s="2"/>
      <c r="HW40" s="2"/>
      <c r="HX40" s="2"/>
      <c r="HY40" s="2"/>
      <c r="HZ40" s="2"/>
      <c r="IA40" s="2"/>
      <c r="IB40" s="2"/>
      <c r="IC40" s="2"/>
      <c r="ID40" s="2"/>
      <c r="IE40" s="2"/>
      <c r="IF40" s="2"/>
      <c r="IG40" s="2"/>
      <c r="IH40" s="2"/>
      <c r="II40" s="2"/>
      <c r="IJ40" s="2"/>
      <c r="IK40" s="2">
        <v>0</v>
      </c>
      <c r="IL40" s="2"/>
      <c r="IM40" s="2"/>
      <c r="IN40" s="2"/>
      <c r="IO40" s="2"/>
      <c r="IP40" s="2"/>
      <c r="IQ40" s="2"/>
      <c r="IR40" s="2"/>
      <c r="IS40" s="2"/>
      <c r="IT40" s="2"/>
      <c r="IU40" s="2"/>
    </row>
    <row r="41" spans="1:255" x14ac:dyDescent="0.25">
      <c r="A41" s="3">
        <v>17</v>
      </c>
      <c r="B41" s="3">
        <v>1</v>
      </c>
      <c r="C41" s="3">
        <f>ROW(SmtRes!A48)</f>
        <v>48</v>
      </c>
      <c r="D41" s="3">
        <f>ROW(EtalonRes!A58)</f>
        <v>58</v>
      </c>
      <c r="E41" s="3" t="s">
        <v>55</v>
      </c>
      <c r="F41" s="3" t="s">
        <v>56</v>
      </c>
      <c r="G41" s="3" t="s">
        <v>57</v>
      </c>
      <c r="H41" s="3" t="s">
        <v>27</v>
      </c>
      <c r="I41" s="3">
        <f>ROUND(144+42,9)</f>
        <v>186</v>
      </c>
      <c r="J41" s="3">
        <v>0</v>
      </c>
      <c r="K41" s="3">
        <f>ROUND(144+42,9)</f>
        <v>186</v>
      </c>
      <c r="O41" s="3">
        <f t="shared" si="21"/>
        <v>93943.9</v>
      </c>
      <c r="P41" s="3">
        <f t="shared" si="22"/>
        <v>0</v>
      </c>
      <c r="Q41" s="3">
        <f t="shared" si="23"/>
        <v>0</v>
      </c>
      <c r="R41" s="3">
        <f t="shared" si="24"/>
        <v>0</v>
      </c>
      <c r="S41" s="3">
        <f t="shared" si="25"/>
        <v>93943.9</v>
      </c>
      <c r="T41" s="3">
        <f t="shared" si="26"/>
        <v>0</v>
      </c>
      <c r="U41" s="3">
        <f t="shared" si="27"/>
        <v>140.21423999999999</v>
      </c>
      <c r="V41" s="3">
        <f t="shared" si="28"/>
        <v>0</v>
      </c>
      <c r="W41" s="3">
        <f t="shared" si="29"/>
        <v>0</v>
      </c>
      <c r="X41" s="3">
        <f t="shared" si="30"/>
        <v>89246.71</v>
      </c>
      <c r="Y41" s="3">
        <f t="shared" si="31"/>
        <v>49790.27</v>
      </c>
      <c r="AA41" s="3">
        <v>57014140</v>
      </c>
      <c r="AB41" s="3">
        <f t="shared" si="32"/>
        <v>8.5608000000000004</v>
      </c>
      <c r="AC41" s="3">
        <f t="shared" si="33"/>
        <v>0</v>
      </c>
      <c r="AD41" s="3">
        <f t="shared" si="34"/>
        <v>0</v>
      </c>
      <c r="AE41" s="3">
        <f t="shared" si="35"/>
        <v>0</v>
      </c>
      <c r="AF41" s="3">
        <f t="shared" si="36"/>
        <v>8.5608000000000004</v>
      </c>
      <c r="AG41" s="3">
        <f t="shared" si="37"/>
        <v>0</v>
      </c>
      <c r="AH41" s="3">
        <f t="shared" si="38"/>
        <v>0.72</v>
      </c>
      <c r="AI41" s="3">
        <f t="shared" si="39"/>
        <v>0</v>
      </c>
      <c r="AJ41" s="3">
        <f t="shared" si="40"/>
        <v>0</v>
      </c>
      <c r="AK41" s="3">
        <v>48.24</v>
      </c>
      <c r="AL41" s="3">
        <v>24.46</v>
      </c>
      <c r="AM41" s="3">
        <v>0</v>
      </c>
      <c r="AN41" s="3">
        <v>0</v>
      </c>
      <c r="AO41" s="3">
        <v>23.78</v>
      </c>
      <c r="AP41" s="3">
        <v>0</v>
      </c>
      <c r="AQ41" s="3">
        <v>2</v>
      </c>
      <c r="AR41" s="3">
        <v>0</v>
      </c>
      <c r="AS41" s="3">
        <v>0</v>
      </c>
      <c r="AT41" s="3">
        <v>95</v>
      </c>
      <c r="AU41" s="3">
        <v>53</v>
      </c>
      <c r="AV41" s="3">
        <v>1.0469999999999999</v>
      </c>
      <c r="AW41" s="3">
        <v>1</v>
      </c>
      <c r="AZ41" s="3">
        <v>1</v>
      </c>
      <c r="BA41" s="3">
        <v>56.35</v>
      </c>
      <c r="BB41" s="3">
        <v>1</v>
      </c>
      <c r="BC41" s="3">
        <v>11.11</v>
      </c>
      <c r="BD41" s="3" t="s">
        <v>3</v>
      </c>
      <c r="BE41" s="3" t="s">
        <v>3</v>
      </c>
      <c r="BF41" s="3" t="s">
        <v>3</v>
      </c>
      <c r="BG41" s="3" t="s">
        <v>3</v>
      </c>
      <c r="BH41" s="3">
        <v>0</v>
      </c>
      <c r="BI41" s="3">
        <v>2</v>
      </c>
      <c r="BJ41" s="3" t="s">
        <v>58</v>
      </c>
      <c r="BM41" s="3">
        <v>69</v>
      </c>
      <c r="BN41" s="3">
        <v>0</v>
      </c>
      <c r="BO41" s="3" t="s">
        <v>56</v>
      </c>
      <c r="BP41" s="3">
        <v>1</v>
      </c>
      <c r="BQ41" s="3">
        <v>40</v>
      </c>
      <c r="BR41" s="3">
        <v>0</v>
      </c>
      <c r="BS41" s="3">
        <v>56.35</v>
      </c>
      <c r="BT41" s="3">
        <v>1</v>
      </c>
      <c r="BU41" s="3">
        <v>1</v>
      </c>
      <c r="BV41" s="3">
        <v>1</v>
      </c>
      <c r="BW41" s="3">
        <v>1</v>
      </c>
      <c r="BX41" s="3">
        <v>1</v>
      </c>
      <c r="BY41" s="3" t="s">
        <v>3</v>
      </c>
      <c r="BZ41" s="3">
        <v>95</v>
      </c>
      <c r="CA41" s="3">
        <v>53</v>
      </c>
      <c r="CB41" s="3" t="s">
        <v>3</v>
      </c>
      <c r="CE41" s="3">
        <v>1566</v>
      </c>
      <c r="CF41" s="3">
        <v>0</v>
      </c>
      <c r="CG41" s="3">
        <v>0</v>
      </c>
      <c r="CM41" s="3">
        <v>0</v>
      </c>
      <c r="CN41" s="3" t="s">
        <v>623</v>
      </c>
      <c r="CO41" s="3">
        <v>0</v>
      </c>
      <c r="CP41" s="3">
        <f t="shared" si="41"/>
        <v>93943.9</v>
      </c>
      <c r="CQ41" s="3">
        <f t="shared" si="42"/>
        <v>0</v>
      </c>
      <c r="CR41" s="3">
        <f t="shared" si="43"/>
        <v>0</v>
      </c>
      <c r="CS41" s="3">
        <f t="shared" si="44"/>
        <v>0</v>
      </c>
      <c r="CT41" s="3">
        <f t="shared" si="45"/>
        <v>504.9</v>
      </c>
      <c r="CU41" s="3">
        <f t="shared" si="46"/>
        <v>0</v>
      </c>
      <c r="CV41" s="3">
        <f t="shared" si="47"/>
        <v>0.75383999999999995</v>
      </c>
      <c r="CW41" s="3">
        <f t="shared" si="48"/>
        <v>0</v>
      </c>
      <c r="CX41" s="3">
        <f t="shared" si="49"/>
        <v>0</v>
      </c>
      <c r="CY41" s="3">
        <f t="shared" si="50"/>
        <v>89246.71</v>
      </c>
      <c r="CZ41" s="3">
        <f t="shared" si="51"/>
        <v>49790.27</v>
      </c>
      <c r="DB41" s="3">
        <v>27</v>
      </c>
      <c r="DC41" s="3" t="s">
        <v>3</v>
      </c>
      <c r="DD41" s="3" t="s">
        <v>29</v>
      </c>
      <c r="DE41" s="3" t="s">
        <v>30</v>
      </c>
      <c r="DF41" s="3" t="s">
        <v>30</v>
      </c>
      <c r="DG41" s="3" t="s">
        <v>30</v>
      </c>
      <c r="DH41" s="3" t="s">
        <v>3</v>
      </c>
      <c r="DI41" s="3" t="s">
        <v>30</v>
      </c>
      <c r="DJ41" s="3" t="s">
        <v>30</v>
      </c>
      <c r="DK41" s="3" t="s">
        <v>3</v>
      </c>
      <c r="DL41" s="3" t="s">
        <v>3</v>
      </c>
      <c r="DM41" s="3" t="s">
        <v>3</v>
      </c>
      <c r="DN41" s="3">
        <v>0</v>
      </c>
      <c r="DO41" s="3">
        <v>0</v>
      </c>
      <c r="DP41" s="3">
        <v>1</v>
      </c>
      <c r="DQ41" s="3">
        <v>1</v>
      </c>
      <c r="DU41" s="3">
        <v>1013</v>
      </c>
      <c r="DV41" s="3" t="s">
        <v>27</v>
      </c>
      <c r="DW41" s="3" t="s">
        <v>27</v>
      </c>
      <c r="DX41" s="3">
        <v>1</v>
      </c>
      <c r="DZ41" s="3" t="s">
        <v>3</v>
      </c>
      <c r="EA41" s="3" t="s">
        <v>3</v>
      </c>
      <c r="EB41" s="3" t="s">
        <v>3</v>
      </c>
      <c r="EC41" s="3" t="s">
        <v>3</v>
      </c>
      <c r="EE41" s="3">
        <v>57042959</v>
      </c>
      <c r="EF41" s="3">
        <v>40</v>
      </c>
      <c r="EG41" s="3" t="s">
        <v>31</v>
      </c>
      <c r="EH41" s="3">
        <v>0</v>
      </c>
      <c r="EI41" s="3" t="s">
        <v>3</v>
      </c>
      <c r="EJ41" s="3">
        <v>2</v>
      </c>
      <c r="EK41" s="3">
        <v>69</v>
      </c>
      <c r="EL41" s="3" t="s">
        <v>59</v>
      </c>
      <c r="EM41" s="3" t="s">
        <v>60</v>
      </c>
      <c r="EO41" s="3" t="s">
        <v>34</v>
      </c>
      <c r="EQ41" s="3">
        <v>0</v>
      </c>
      <c r="ER41" s="3">
        <v>48.24</v>
      </c>
      <c r="ES41" s="3">
        <v>24.46</v>
      </c>
      <c r="ET41" s="3">
        <v>0</v>
      </c>
      <c r="EU41" s="3">
        <v>0</v>
      </c>
      <c r="EV41" s="3">
        <v>23.78</v>
      </c>
      <c r="EW41" s="3">
        <v>2</v>
      </c>
      <c r="EX41" s="3">
        <v>0</v>
      </c>
      <c r="EY41" s="3">
        <v>0</v>
      </c>
      <c r="FQ41" s="3">
        <v>0</v>
      </c>
      <c r="FR41" s="3">
        <v>0</v>
      </c>
      <c r="FS41" s="3">
        <v>0</v>
      </c>
      <c r="FX41" s="3">
        <v>95</v>
      </c>
      <c r="FY41" s="3">
        <v>53</v>
      </c>
      <c r="GA41" s="3" t="s">
        <v>3</v>
      </c>
      <c r="GD41" s="3">
        <v>1</v>
      </c>
      <c r="GF41" s="3">
        <v>35820931</v>
      </c>
      <c r="GG41" s="3">
        <v>2</v>
      </c>
      <c r="GH41" s="3">
        <v>1</v>
      </c>
      <c r="GI41" s="3">
        <v>2</v>
      </c>
      <c r="GJ41" s="3">
        <v>0</v>
      </c>
      <c r="GK41" s="3">
        <v>0</v>
      </c>
      <c r="GL41" s="3">
        <f t="shared" si="52"/>
        <v>0</v>
      </c>
      <c r="GM41" s="3">
        <f t="shared" si="53"/>
        <v>232980.88</v>
      </c>
      <c r="GN41" s="3">
        <f t="shared" si="54"/>
        <v>0</v>
      </c>
      <c r="GO41" s="3">
        <f t="shared" si="55"/>
        <v>232980.88</v>
      </c>
      <c r="GP41" s="3">
        <f t="shared" si="56"/>
        <v>0</v>
      </c>
      <c r="GR41" s="3">
        <v>0</v>
      </c>
      <c r="GS41" s="3">
        <v>3</v>
      </c>
      <c r="GT41" s="3">
        <v>0</v>
      </c>
      <c r="GU41" s="3" t="s">
        <v>3</v>
      </c>
      <c r="GV41" s="3">
        <f t="shared" si="57"/>
        <v>0</v>
      </c>
      <c r="GW41" s="3">
        <v>1</v>
      </c>
      <c r="GX41" s="3">
        <f t="shared" si="58"/>
        <v>0</v>
      </c>
      <c r="HA41" s="3">
        <v>0</v>
      </c>
      <c r="HB41" s="3">
        <v>0</v>
      </c>
      <c r="HC41" s="3">
        <f t="shared" si="59"/>
        <v>0</v>
      </c>
      <c r="HE41" s="3" t="s">
        <v>3</v>
      </c>
      <c r="HF41" s="3" t="s">
        <v>3</v>
      </c>
      <c r="HM41" s="3" t="s">
        <v>3</v>
      </c>
      <c r="HN41" s="3" t="s">
        <v>3</v>
      </c>
      <c r="HO41" s="3" t="s">
        <v>3</v>
      </c>
      <c r="HP41" s="3" t="s">
        <v>3</v>
      </c>
      <c r="HQ41" s="3" t="s">
        <v>3</v>
      </c>
      <c r="HS41" s="3">
        <v>0</v>
      </c>
      <c r="IK41" s="3">
        <v>0</v>
      </c>
    </row>
    <row r="42" spans="1:255" x14ac:dyDescent="0.25">
      <c r="A42" s="2">
        <v>17</v>
      </c>
      <c r="B42" s="2">
        <v>1</v>
      </c>
      <c r="C42" s="2">
        <f>ROW(SmtRes!A53)</f>
        <v>53</v>
      </c>
      <c r="D42" s="2">
        <f>ROW(EtalonRes!A64)</f>
        <v>64</v>
      </c>
      <c r="E42" s="2" t="s">
        <v>61</v>
      </c>
      <c r="F42" s="2" t="s">
        <v>62</v>
      </c>
      <c r="G42" s="2" t="s">
        <v>63</v>
      </c>
      <c r="H42" s="2" t="s">
        <v>64</v>
      </c>
      <c r="I42" s="2">
        <f>ROUND(7/100,9)</f>
        <v>7.0000000000000007E-2</v>
      </c>
      <c r="J42" s="2">
        <v>0</v>
      </c>
      <c r="K42" s="2">
        <f>ROUND(7/100,9)</f>
        <v>7.0000000000000007E-2</v>
      </c>
      <c r="L42" s="2"/>
      <c r="M42" s="2"/>
      <c r="N42" s="2"/>
      <c r="O42" s="2">
        <f t="shared" si="21"/>
        <v>7.35</v>
      </c>
      <c r="P42" s="2">
        <f t="shared" si="22"/>
        <v>0</v>
      </c>
      <c r="Q42" s="2">
        <f t="shared" si="23"/>
        <v>0</v>
      </c>
      <c r="R42" s="2">
        <f t="shared" si="24"/>
        <v>0</v>
      </c>
      <c r="S42" s="2">
        <f t="shared" si="25"/>
        <v>7.35</v>
      </c>
      <c r="T42" s="2">
        <f t="shared" si="26"/>
        <v>0</v>
      </c>
      <c r="U42" s="2">
        <f t="shared" si="27"/>
        <v>0.63322559999999994</v>
      </c>
      <c r="V42" s="2">
        <f t="shared" si="28"/>
        <v>0</v>
      </c>
      <c r="W42" s="2">
        <f t="shared" si="29"/>
        <v>0</v>
      </c>
      <c r="X42" s="2">
        <f t="shared" si="30"/>
        <v>6.62</v>
      </c>
      <c r="Y42" s="2">
        <f t="shared" si="31"/>
        <v>3.38</v>
      </c>
      <c r="Z42" s="2"/>
      <c r="AA42" s="2">
        <v>57014138</v>
      </c>
      <c r="AB42" s="2">
        <f t="shared" si="32"/>
        <v>100.3104</v>
      </c>
      <c r="AC42" s="2">
        <f t="shared" si="33"/>
        <v>0</v>
      </c>
      <c r="AD42" s="2">
        <f t="shared" si="34"/>
        <v>0</v>
      </c>
      <c r="AE42" s="2">
        <f t="shared" si="35"/>
        <v>0</v>
      </c>
      <c r="AF42" s="2">
        <f t="shared" si="36"/>
        <v>100.3104</v>
      </c>
      <c r="AG42" s="2">
        <f t="shared" si="37"/>
        <v>0</v>
      </c>
      <c r="AH42" s="2">
        <f t="shared" si="38"/>
        <v>8.6399999999999988</v>
      </c>
      <c r="AI42" s="2">
        <f t="shared" si="39"/>
        <v>0</v>
      </c>
      <c r="AJ42" s="2">
        <f t="shared" si="40"/>
        <v>0</v>
      </c>
      <c r="AK42" s="2">
        <v>364.24</v>
      </c>
      <c r="AL42" s="2">
        <v>85.6</v>
      </c>
      <c r="AM42" s="2">
        <v>0</v>
      </c>
      <c r="AN42" s="2">
        <v>0</v>
      </c>
      <c r="AO42" s="2">
        <v>278.64</v>
      </c>
      <c r="AP42" s="2">
        <v>0</v>
      </c>
      <c r="AQ42" s="2">
        <v>24</v>
      </c>
      <c r="AR42" s="2">
        <v>0</v>
      </c>
      <c r="AS42" s="2">
        <v>0</v>
      </c>
      <c r="AT42" s="2">
        <v>90</v>
      </c>
      <c r="AU42" s="2">
        <v>46</v>
      </c>
      <c r="AV42" s="2">
        <v>1.0469999999999999</v>
      </c>
      <c r="AW42" s="2">
        <v>1</v>
      </c>
      <c r="AX42" s="2"/>
      <c r="AY42" s="2"/>
      <c r="AZ42" s="2">
        <v>1</v>
      </c>
      <c r="BA42" s="2">
        <v>1</v>
      </c>
      <c r="BB42" s="2">
        <v>1</v>
      </c>
      <c r="BC42" s="2">
        <v>1</v>
      </c>
      <c r="BD42" s="2" t="s">
        <v>3</v>
      </c>
      <c r="BE42" s="2" t="s">
        <v>3</v>
      </c>
      <c r="BF42" s="2" t="s">
        <v>3</v>
      </c>
      <c r="BG42" s="2" t="s">
        <v>3</v>
      </c>
      <c r="BH42" s="2">
        <v>0</v>
      </c>
      <c r="BI42" s="2">
        <v>2</v>
      </c>
      <c r="BJ42" s="2" t="s">
        <v>65</v>
      </c>
      <c r="BK42" s="2"/>
      <c r="BL42" s="2"/>
      <c r="BM42" s="2">
        <v>68</v>
      </c>
      <c r="BN42" s="2">
        <v>0</v>
      </c>
      <c r="BO42" s="2" t="s">
        <v>62</v>
      </c>
      <c r="BP42" s="2">
        <v>1</v>
      </c>
      <c r="BQ42" s="2">
        <v>40</v>
      </c>
      <c r="BR42" s="2">
        <v>0</v>
      </c>
      <c r="BS42" s="2">
        <v>1</v>
      </c>
      <c r="BT42" s="2">
        <v>1</v>
      </c>
      <c r="BU42" s="2">
        <v>1</v>
      </c>
      <c r="BV42" s="2">
        <v>1</v>
      </c>
      <c r="BW42" s="2">
        <v>1</v>
      </c>
      <c r="BX42" s="2">
        <v>1</v>
      </c>
      <c r="BY42" s="2" t="s">
        <v>3</v>
      </c>
      <c r="BZ42" s="2">
        <v>90</v>
      </c>
      <c r="CA42" s="2">
        <v>46</v>
      </c>
      <c r="CB42" s="2" t="s">
        <v>3</v>
      </c>
      <c r="CC42" s="2"/>
      <c r="CD42" s="2"/>
      <c r="CE42" s="2">
        <v>1566</v>
      </c>
      <c r="CF42" s="2">
        <v>0</v>
      </c>
      <c r="CG42" s="2">
        <v>0</v>
      </c>
      <c r="CH42" s="2"/>
      <c r="CI42" s="2"/>
      <c r="CJ42" s="2"/>
      <c r="CK42" s="2"/>
      <c r="CL42" s="2"/>
      <c r="CM42" s="2">
        <v>0</v>
      </c>
      <c r="CN42" s="2" t="s">
        <v>623</v>
      </c>
      <c r="CO42" s="2">
        <v>0</v>
      </c>
      <c r="CP42" s="2">
        <f t="shared" si="41"/>
        <v>7.35</v>
      </c>
      <c r="CQ42" s="2">
        <f t="shared" si="42"/>
        <v>0</v>
      </c>
      <c r="CR42" s="2">
        <f t="shared" si="43"/>
        <v>0</v>
      </c>
      <c r="CS42" s="2">
        <f t="shared" si="44"/>
        <v>0</v>
      </c>
      <c r="CT42" s="2">
        <f t="shared" si="45"/>
        <v>105.02</v>
      </c>
      <c r="CU42" s="2">
        <f t="shared" si="46"/>
        <v>0</v>
      </c>
      <c r="CV42" s="2">
        <f t="shared" si="47"/>
        <v>9.0460799999999981</v>
      </c>
      <c r="CW42" s="2">
        <f t="shared" si="48"/>
        <v>0</v>
      </c>
      <c r="CX42" s="2">
        <f t="shared" si="49"/>
        <v>0</v>
      </c>
      <c r="CY42" s="2">
        <f t="shared" si="50"/>
        <v>6.62</v>
      </c>
      <c r="CZ42" s="2">
        <f t="shared" si="51"/>
        <v>3.38</v>
      </c>
      <c r="DA42" s="2"/>
      <c r="DB42" s="2">
        <v>29</v>
      </c>
      <c r="DC42" s="2" t="s">
        <v>3</v>
      </c>
      <c r="DD42" s="2" t="s">
        <v>29</v>
      </c>
      <c r="DE42" s="2" t="s">
        <v>30</v>
      </c>
      <c r="DF42" s="2" t="s">
        <v>30</v>
      </c>
      <c r="DG42" s="2" t="s">
        <v>30</v>
      </c>
      <c r="DH42" s="2" t="s">
        <v>3</v>
      </c>
      <c r="DI42" s="2" t="s">
        <v>30</v>
      </c>
      <c r="DJ42" s="2" t="s">
        <v>30</v>
      </c>
      <c r="DK42" s="2" t="s">
        <v>3</v>
      </c>
      <c r="DL42" s="2" t="s">
        <v>3</v>
      </c>
      <c r="DM42" s="2" t="s">
        <v>3</v>
      </c>
      <c r="DN42" s="2">
        <v>0</v>
      </c>
      <c r="DO42" s="2">
        <v>0</v>
      </c>
      <c r="DP42" s="2">
        <v>1</v>
      </c>
      <c r="DQ42" s="2">
        <v>1</v>
      </c>
      <c r="DR42" s="2"/>
      <c r="DS42" s="2"/>
      <c r="DT42" s="2"/>
      <c r="DU42" s="2">
        <v>1010</v>
      </c>
      <c r="DV42" s="2" t="s">
        <v>64</v>
      </c>
      <c r="DW42" s="2" t="s">
        <v>64</v>
      </c>
      <c r="DX42" s="2">
        <v>100</v>
      </c>
      <c r="DY42" s="2"/>
      <c r="DZ42" s="2" t="s">
        <v>3</v>
      </c>
      <c r="EA42" s="2" t="s">
        <v>3</v>
      </c>
      <c r="EB42" s="2" t="s">
        <v>3</v>
      </c>
      <c r="EC42" s="2" t="s">
        <v>3</v>
      </c>
      <c r="ED42" s="2"/>
      <c r="EE42" s="2">
        <v>57042958</v>
      </c>
      <c r="EF42" s="2">
        <v>40</v>
      </c>
      <c r="EG42" s="2" t="s">
        <v>31</v>
      </c>
      <c r="EH42" s="2">
        <v>0</v>
      </c>
      <c r="EI42" s="2" t="s">
        <v>3</v>
      </c>
      <c r="EJ42" s="2">
        <v>2</v>
      </c>
      <c r="EK42" s="2">
        <v>68</v>
      </c>
      <c r="EL42" s="2" t="s">
        <v>32</v>
      </c>
      <c r="EM42" s="2" t="s">
        <v>33</v>
      </c>
      <c r="EN42" s="2"/>
      <c r="EO42" s="2" t="s">
        <v>34</v>
      </c>
      <c r="EP42" s="2"/>
      <c r="EQ42" s="2">
        <v>0</v>
      </c>
      <c r="ER42" s="2">
        <v>364.24</v>
      </c>
      <c r="ES42" s="2">
        <v>85.6</v>
      </c>
      <c r="ET42" s="2">
        <v>0</v>
      </c>
      <c r="EU42" s="2">
        <v>0</v>
      </c>
      <c r="EV42" s="2">
        <v>278.64</v>
      </c>
      <c r="EW42" s="2">
        <v>24</v>
      </c>
      <c r="EX42" s="2">
        <v>0</v>
      </c>
      <c r="EY42" s="2">
        <v>0</v>
      </c>
      <c r="EZ42" s="2"/>
      <c r="FA42" s="2"/>
      <c r="FB42" s="2"/>
      <c r="FC42" s="2"/>
      <c r="FD42" s="2"/>
      <c r="FE42" s="2"/>
      <c r="FF42" s="2"/>
      <c r="FG42" s="2"/>
      <c r="FH42" s="2"/>
      <c r="FI42" s="2"/>
      <c r="FJ42" s="2"/>
      <c r="FK42" s="2"/>
      <c r="FL42" s="2"/>
      <c r="FM42" s="2"/>
      <c r="FN42" s="2"/>
      <c r="FO42" s="2"/>
      <c r="FP42" s="2"/>
      <c r="FQ42" s="2">
        <v>0</v>
      </c>
      <c r="FR42" s="2">
        <v>0</v>
      </c>
      <c r="FS42" s="2">
        <v>0</v>
      </c>
      <c r="FT42" s="2"/>
      <c r="FU42" s="2"/>
      <c r="FV42" s="2"/>
      <c r="FW42" s="2"/>
      <c r="FX42" s="2">
        <v>90</v>
      </c>
      <c r="FY42" s="2">
        <v>46</v>
      </c>
      <c r="FZ42" s="2"/>
      <c r="GA42" s="2" t="s">
        <v>3</v>
      </c>
      <c r="GB42" s="2"/>
      <c r="GC42" s="2"/>
      <c r="GD42" s="2">
        <v>1</v>
      </c>
      <c r="GE42" s="2"/>
      <c r="GF42" s="2">
        <v>990274235</v>
      </c>
      <c r="GG42" s="2">
        <v>2</v>
      </c>
      <c r="GH42" s="2">
        <v>1</v>
      </c>
      <c r="GI42" s="2">
        <v>2</v>
      </c>
      <c r="GJ42" s="2">
        <v>0</v>
      </c>
      <c r="GK42" s="2">
        <v>0</v>
      </c>
      <c r="GL42" s="2">
        <f t="shared" si="52"/>
        <v>0</v>
      </c>
      <c r="GM42" s="2">
        <f t="shared" si="53"/>
        <v>17.350000000000001</v>
      </c>
      <c r="GN42" s="2">
        <f t="shared" si="54"/>
        <v>0</v>
      </c>
      <c r="GO42" s="2">
        <f t="shared" si="55"/>
        <v>17.350000000000001</v>
      </c>
      <c r="GP42" s="2">
        <f t="shared" si="56"/>
        <v>0</v>
      </c>
      <c r="GQ42" s="2"/>
      <c r="GR42" s="2">
        <v>0</v>
      </c>
      <c r="GS42" s="2">
        <v>3</v>
      </c>
      <c r="GT42" s="2">
        <v>0</v>
      </c>
      <c r="GU42" s="2" t="s">
        <v>3</v>
      </c>
      <c r="GV42" s="2">
        <f t="shared" si="57"/>
        <v>0</v>
      </c>
      <c r="GW42" s="2">
        <v>1</v>
      </c>
      <c r="GX42" s="2">
        <f t="shared" si="58"/>
        <v>0</v>
      </c>
      <c r="GY42" s="2"/>
      <c r="GZ42" s="2"/>
      <c r="HA42" s="2">
        <v>0</v>
      </c>
      <c r="HB42" s="2">
        <v>0</v>
      </c>
      <c r="HC42" s="2">
        <f t="shared" si="59"/>
        <v>0</v>
      </c>
      <c r="HD42" s="2"/>
      <c r="HE42" s="2" t="s">
        <v>3</v>
      </c>
      <c r="HF42" s="2" t="s">
        <v>3</v>
      </c>
      <c r="HG42" s="2"/>
      <c r="HH42" s="2"/>
      <c r="HI42" s="2"/>
      <c r="HJ42" s="2"/>
      <c r="HK42" s="2"/>
      <c r="HL42" s="2"/>
      <c r="HM42" s="2" t="s">
        <v>3</v>
      </c>
      <c r="HN42" s="2" t="s">
        <v>3</v>
      </c>
      <c r="HO42" s="2" t="s">
        <v>3</v>
      </c>
      <c r="HP42" s="2" t="s">
        <v>3</v>
      </c>
      <c r="HQ42" s="2" t="s">
        <v>3</v>
      </c>
      <c r="HR42" s="2"/>
      <c r="HS42" s="2">
        <v>0</v>
      </c>
      <c r="HT42" s="2"/>
      <c r="HU42" s="2"/>
      <c r="HV42" s="2"/>
      <c r="HW42" s="2"/>
      <c r="HX42" s="2"/>
      <c r="HY42" s="2"/>
      <c r="HZ42" s="2"/>
      <c r="IA42" s="2"/>
      <c r="IB42" s="2"/>
      <c r="IC42" s="2"/>
      <c r="ID42" s="2"/>
      <c r="IE42" s="2"/>
      <c r="IF42" s="2"/>
      <c r="IG42" s="2"/>
      <c r="IH42" s="2"/>
      <c r="II42" s="2"/>
      <c r="IJ42" s="2"/>
      <c r="IK42" s="2">
        <v>0</v>
      </c>
      <c r="IL42" s="2"/>
      <c r="IM42" s="2"/>
      <c r="IN42" s="2"/>
      <c r="IO42" s="2"/>
      <c r="IP42" s="2"/>
      <c r="IQ42" s="2"/>
      <c r="IR42" s="2"/>
      <c r="IS42" s="2"/>
      <c r="IT42" s="2"/>
      <c r="IU42" s="2"/>
    </row>
    <row r="43" spans="1:255" x14ac:dyDescent="0.25">
      <c r="A43" s="3">
        <v>17</v>
      </c>
      <c r="B43" s="3">
        <v>1</v>
      </c>
      <c r="C43" s="3">
        <f>ROW(SmtRes!A58)</f>
        <v>58</v>
      </c>
      <c r="D43" s="3">
        <f>ROW(EtalonRes!A70)</f>
        <v>70</v>
      </c>
      <c r="E43" s="3" t="s">
        <v>61</v>
      </c>
      <c r="F43" s="3" t="s">
        <v>62</v>
      </c>
      <c r="G43" s="3" t="s">
        <v>63</v>
      </c>
      <c r="H43" s="3" t="s">
        <v>64</v>
      </c>
      <c r="I43" s="3">
        <f>ROUND(7/100,9)</f>
        <v>7.0000000000000007E-2</v>
      </c>
      <c r="J43" s="3">
        <v>0</v>
      </c>
      <c r="K43" s="3">
        <f>ROUND(7/100,9)</f>
        <v>7.0000000000000007E-2</v>
      </c>
      <c r="O43" s="3">
        <f t="shared" si="21"/>
        <v>414.17</v>
      </c>
      <c r="P43" s="3">
        <f t="shared" si="22"/>
        <v>0</v>
      </c>
      <c r="Q43" s="3">
        <f t="shared" si="23"/>
        <v>0</v>
      </c>
      <c r="R43" s="3">
        <f t="shared" si="24"/>
        <v>0</v>
      </c>
      <c r="S43" s="3">
        <f t="shared" si="25"/>
        <v>414.17</v>
      </c>
      <c r="T43" s="3">
        <f t="shared" si="26"/>
        <v>0</v>
      </c>
      <c r="U43" s="3">
        <f t="shared" si="27"/>
        <v>0.63322559999999994</v>
      </c>
      <c r="V43" s="3">
        <f t="shared" si="28"/>
        <v>0</v>
      </c>
      <c r="W43" s="3">
        <f t="shared" si="29"/>
        <v>0</v>
      </c>
      <c r="X43" s="3">
        <f t="shared" si="30"/>
        <v>372.75</v>
      </c>
      <c r="Y43" s="3">
        <f t="shared" si="31"/>
        <v>190.52</v>
      </c>
      <c r="AA43" s="3">
        <v>57014140</v>
      </c>
      <c r="AB43" s="3">
        <f t="shared" si="32"/>
        <v>100.3104</v>
      </c>
      <c r="AC43" s="3">
        <f t="shared" si="33"/>
        <v>0</v>
      </c>
      <c r="AD43" s="3">
        <f t="shared" si="34"/>
        <v>0</v>
      </c>
      <c r="AE43" s="3">
        <f t="shared" si="35"/>
        <v>0</v>
      </c>
      <c r="AF43" s="3">
        <f t="shared" si="36"/>
        <v>100.3104</v>
      </c>
      <c r="AG43" s="3">
        <f t="shared" si="37"/>
        <v>0</v>
      </c>
      <c r="AH43" s="3">
        <f t="shared" si="38"/>
        <v>8.6399999999999988</v>
      </c>
      <c r="AI43" s="3">
        <f t="shared" si="39"/>
        <v>0</v>
      </c>
      <c r="AJ43" s="3">
        <f t="shared" si="40"/>
        <v>0</v>
      </c>
      <c r="AK43" s="3">
        <v>364.24</v>
      </c>
      <c r="AL43" s="3">
        <v>85.6</v>
      </c>
      <c r="AM43" s="3">
        <v>0</v>
      </c>
      <c r="AN43" s="3">
        <v>0</v>
      </c>
      <c r="AO43" s="3">
        <v>278.64</v>
      </c>
      <c r="AP43" s="3">
        <v>0</v>
      </c>
      <c r="AQ43" s="3">
        <v>24</v>
      </c>
      <c r="AR43" s="3">
        <v>0</v>
      </c>
      <c r="AS43" s="3">
        <v>0</v>
      </c>
      <c r="AT43" s="3">
        <v>90</v>
      </c>
      <c r="AU43" s="3">
        <v>46</v>
      </c>
      <c r="AV43" s="3">
        <v>1.0469999999999999</v>
      </c>
      <c r="AW43" s="3">
        <v>1</v>
      </c>
      <c r="AZ43" s="3">
        <v>1</v>
      </c>
      <c r="BA43" s="3">
        <v>56.35</v>
      </c>
      <c r="BB43" s="3">
        <v>1</v>
      </c>
      <c r="BC43" s="3">
        <v>5.0599999999999996</v>
      </c>
      <c r="BD43" s="3" t="s">
        <v>3</v>
      </c>
      <c r="BE43" s="3" t="s">
        <v>3</v>
      </c>
      <c r="BF43" s="3" t="s">
        <v>3</v>
      </c>
      <c r="BG43" s="3" t="s">
        <v>3</v>
      </c>
      <c r="BH43" s="3">
        <v>0</v>
      </c>
      <c r="BI43" s="3">
        <v>2</v>
      </c>
      <c r="BJ43" s="3" t="s">
        <v>65</v>
      </c>
      <c r="BM43" s="3">
        <v>68</v>
      </c>
      <c r="BN43" s="3">
        <v>0</v>
      </c>
      <c r="BO43" s="3" t="s">
        <v>62</v>
      </c>
      <c r="BP43" s="3">
        <v>1</v>
      </c>
      <c r="BQ43" s="3">
        <v>40</v>
      </c>
      <c r="BR43" s="3">
        <v>0</v>
      </c>
      <c r="BS43" s="3">
        <v>56.35</v>
      </c>
      <c r="BT43" s="3">
        <v>1</v>
      </c>
      <c r="BU43" s="3">
        <v>1</v>
      </c>
      <c r="BV43" s="3">
        <v>1</v>
      </c>
      <c r="BW43" s="3">
        <v>1</v>
      </c>
      <c r="BX43" s="3">
        <v>1</v>
      </c>
      <c r="BY43" s="3" t="s">
        <v>3</v>
      </c>
      <c r="BZ43" s="3">
        <v>90</v>
      </c>
      <c r="CA43" s="3">
        <v>46</v>
      </c>
      <c r="CB43" s="3" t="s">
        <v>3</v>
      </c>
      <c r="CE43" s="3">
        <v>1566</v>
      </c>
      <c r="CF43" s="3">
        <v>0</v>
      </c>
      <c r="CG43" s="3">
        <v>0</v>
      </c>
      <c r="CM43" s="3">
        <v>0</v>
      </c>
      <c r="CN43" s="3" t="s">
        <v>623</v>
      </c>
      <c r="CO43" s="3">
        <v>0</v>
      </c>
      <c r="CP43" s="3">
        <f t="shared" si="41"/>
        <v>414.17</v>
      </c>
      <c r="CQ43" s="3">
        <f t="shared" si="42"/>
        <v>0</v>
      </c>
      <c r="CR43" s="3">
        <f t="shared" si="43"/>
        <v>0</v>
      </c>
      <c r="CS43" s="3">
        <f t="shared" si="44"/>
        <v>0</v>
      </c>
      <c r="CT43" s="3">
        <f t="shared" si="45"/>
        <v>5917.88</v>
      </c>
      <c r="CU43" s="3">
        <f t="shared" si="46"/>
        <v>0</v>
      </c>
      <c r="CV43" s="3">
        <f t="shared" si="47"/>
        <v>9.0460799999999981</v>
      </c>
      <c r="CW43" s="3">
        <f t="shared" si="48"/>
        <v>0</v>
      </c>
      <c r="CX43" s="3">
        <f t="shared" si="49"/>
        <v>0</v>
      </c>
      <c r="CY43" s="3">
        <f t="shared" si="50"/>
        <v>372.75</v>
      </c>
      <c r="CZ43" s="3">
        <f t="shared" si="51"/>
        <v>190.52</v>
      </c>
      <c r="DB43" s="3">
        <v>31</v>
      </c>
      <c r="DC43" s="3" t="s">
        <v>3</v>
      </c>
      <c r="DD43" s="3" t="s">
        <v>29</v>
      </c>
      <c r="DE43" s="3" t="s">
        <v>30</v>
      </c>
      <c r="DF43" s="3" t="s">
        <v>30</v>
      </c>
      <c r="DG43" s="3" t="s">
        <v>30</v>
      </c>
      <c r="DH43" s="3" t="s">
        <v>3</v>
      </c>
      <c r="DI43" s="3" t="s">
        <v>30</v>
      </c>
      <c r="DJ43" s="3" t="s">
        <v>30</v>
      </c>
      <c r="DK43" s="3" t="s">
        <v>3</v>
      </c>
      <c r="DL43" s="3" t="s">
        <v>3</v>
      </c>
      <c r="DM43" s="3" t="s">
        <v>3</v>
      </c>
      <c r="DN43" s="3">
        <v>0</v>
      </c>
      <c r="DO43" s="3">
        <v>0</v>
      </c>
      <c r="DP43" s="3">
        <v>1</v>
      </c>
      <c r="DQ43" s="3">
        <v>1</v>
      </c>
      <c r="DU43" s="3">
        <v>1010</v>
      </c>
      <c r="DV43" s="3" t="s">
        <v>64</v>
      </c>
      <c r="DW43" s="3" t="s">
        <v>64</v>
      </c>
      <c r="DX43" s="3">
        <v>100</v>
      </c>
      <c r="DZ43" s="3" t="s">
        <v>3</v>
      </c>
      <c r="EA43" s="3" t="s">
        <v>3</v>
      </c>
      <c r="EB43" s="3" t="s">
        <v>3</v>
      </c>
      <c r="EC43" s="3" t="s">
        <v>3</v>
      </c>
      <c r="EE43" s="3">
        <v>57042958</v>
      </c>
      <c r="EF43" s="3">
        <v>40</v>
      </c>
      <c r="EG43" s="3" t="s">
        <v>31</v>
      </c>
      <c r="EH43" s="3">
        <v>0</v>
      </c>
      <c r="EI43" s="3" t="s">
        <v>3</v>
      </c>
      <c r="EJ43" s="3">
        <v>2</v>
      </c>
      <c r="EK43" s="3">
        <v>68</v>
      </c>
      <c r="EL43" s="3" t="s">
        <v>32</v>
      </c>
      <c r="EM43" s="3" t="s">
        <v>33</v>
      </c>
      <c r="EO43" s="3" t="s">
        <v>34</v>
      </c>
      <c r="EQ43" s="3">
        <v>0</v>
      </c>
      <c r="ER43" s="3">
        <v>364.24</v>
      </c>
      <c r="ES43" s="3">
        <v>85.6</v>
      </c>
      <c r="ET43" s="3">
        <v>0</v>
      </c>
      <c r="EU43" s="3">
        <v>0</v>
      </c>
      <c r="EV43" s="3">
        <v>278.64</v>
      </c>
      <c r="EW43" s="3">
        <v>24</v>
      </c>
      <c r="EX43" s="3">
        <v>0</v>
      </c>
      <c r="EY43" s="3">
        <v>0</v>
      </c>
      <c r="FQ43" s="3">
        <v>0</v>
      </c>
      <c r="FR43" s="3">
        <v>0</v>
      </c>
      <c r="FS43" s="3">
        <v>0</v>
      </c>
      <c r="FX43" s="3">
        <v>90</v>
      </c>
      <c r="FY43" s="3">
        <v>46</v>
      </c>
      <c r="GA43" s="3" t="s">
        <v>3</v>
      </c>
      <c r="GD43" s="3">
        <v>1</v>
      </c>
      <c r="GF43" s="3">
        <v>990274235</v>
      </c>
      <c r="GG43" s="3">
        <v>2</v>
      </c>
      <c r="GH43" s="3">
        <v>1</v>
      </c>
      <c r="GI43" s="3">
        <v>2</v>
      </c>
      <c r="GJ43" s="3">
        <v>0</v>
      </c>
      <c r="GK43" s="3">
        <v>0</v>
      </c>
      <c r="GL43" s="3">
        <f t="shared" si="52"/>
        <v>0</v>
      </c>
      <c r="GM43" s="3">
        <f t="shared" si="53"/>
        <v>977.44</v>
      </c>
      <c r="GN43" s="3">
        <f t="shared" si="54"/>
        <v>0</v>
      </c>
      <c r="GO43" s="3">
        <f t="shared" si="55"/>
        <v>977.44</v>
      </c>
      <c r="GP43" s="3">
        <f t="shared" si="56"/>
        <v>0</v>
      </c>
      <c r="GR43" s="3">
        <v>0</v>
      </c>
      <c r="GS43" s="3">
        <v>3</v>
      </c>
      <c r="GT43" s="3">
        <v>0</v>
      </c>
      <c r="GU43" s="3" t="s">
        <v>3</v>
      </c>
      <c r="GV43" s="3">
        <f t="shared" si="57"/>
        <v>0</v>
      </c>
      <c r="GW43" s="3">
        <v>1</v>
      </c>
      <c r="GX43" s="3">
        <f t="shared" si="58"/>
        <v>0</v>
      </c>
      <c r="HA43" s="3">
        <v>0</v>
      </c>
      <c r="HB43" s="3">
        <v>0</v>
      </c>
      <c r="HC43" s="3">
        <f t="shared" si="59"/>
        <v>0</v>
      </c>
      <c r="HE43" s="3" t="s">
        <v>3</v>
      </c>
      <c r="HF43" s="3" t="s">
        <v>3</v>
      </c>
      <c r="HM43" s="3" t="s">
        <v>3</v>
      </c>
      <c r="HN43" s="3" t="s">
        <v>3</v>
      </c>
      <c r="HO43" s="3" t="s">
        <v>3</v>
      </c>
      <c r="HP43" s="3" t="s">
        <v>3</v>
      </c>
      <c r="HQ43" s="3" t="s">
        <v>3</v>
      </c>
      <c r="HS43" s="3">
        <v>0</v>
      </c>
      <c r="IK43" s="3">
        <v>0</v>
      </c>
    </row>
    <row r="44" spans="1:255" x14ac:dyDescent="0.25">
      <c r="A44" s="2">
        <v>17</v>
      </c>
      <c r="B44" s="2">
        <v>1</v>
      </c>
      <c r="C44" s="2">
        <f>ROW(SmtRes!A59)</f>
        <v>59</v>
      </c>
      <c r="D44" s="2">
        <f>ROW(EtalonRes!A71)</f>
        <v>71</v>
      </c>
      <c r="E44" s="2" t="s">
        <v>3</v>
      </c>
      <c r="F44" s="2" t="s">
        <v>66</v>
      </c>
      <c r="G44" s="2" t="s">
        <v>67</v>
      </c>
      <c r="H44" s="2" t="s">
        <v>68</v>
      </c>
      <c r="I44" s="2">
        <f>ROUND((4500+50)/100,9)</f>
        <v>45.5</v>
      </c>
      <c r="J44" s="2">
        <v>0</v>
      </c>
      <c r="K44" s="2">
        <f>ROUND((4500+50)/100,9)</f>
        <v>45.5</v>
      </c>
      <c r="L44" s="2"/>
      <c r="M44" s="2"/>
      <c r="N44" s="2"/>
      <c r="O44" s="2">
        <f t="shared" si="21"/>
        <v>5632.01</v>
      </c>
      <c r="P44" s="2">
        <f t="shared" si="22"/>
        <v>0</v>
      </c>
      <c r="Q44" s="2">
        <f>(ROUND((ROUND((((ET44*1.2))*AV44*I44),2)*BB44),2)+ROUND((ROUND(((AE44-((EU44*1.2)))*AV44*I44),2)*BS44),2))</f>
        <v>0</v>
      </c>
      <c r="R44" s="2">
        <f>(ROUND((ROUND((((EU44*1.2))*AV44*I44),2)*BS44),2)+ROUND((ROUND(((AE44-((EU44*1.2)))*AV44*I44),2)*BS44),2))</f>
        <v>0</v>
      </c>
      <c r="S44" s="2">
        <f t="shared" si="25"/>
        <v>5632.01</v>
      </c>
      <c r="T44" s="2">
        <f t="shared" si="26"/>
        <v>0</v>
      </c>
      <c r="U44" s="2">
        <f t="shared" si="27"/>
        <v>551.08216799999991</v>
      </c>
      <c r="V44" s="2">
        <f t="shared" si="28"/>
        <v>0</v>
      </c>
      <c r="W44" s="2">
        <f t="shared" si="29"/>
        <v>0</v>
      </c>
      <c r="X44" s="2">
        <f>(ROUND((((S44+ROUND((ROUND((((EU44*1.2))*AV44*I44),2)*BS44),2))*AT44)/100),2)+ROUND(((ROUND((ROUND(((AE44-((EU44*1.2)))*AV44*I44),2)*BS44),2)*AT44)/100),2))</f>
        <v>5125.13</v>
      </c>
      <c r="Y44" s="2">
        <f>(ROUND((((S44+ROUND((ROUND((((EU44*1.2))*AV44*I44),2)*BS44),2))*AU44)/100),2)+ROUND(((ROUND((ROUND(((AE44-((EU44*1.2)))*AV44*I44),2)*BS44),2)*AU44)/100),2))</f>
        <v>2703.36</v>
      </c>
      <c r="Z44" s="2"/>
      <c r="AA44" s="2">
        <v>-1</v>
      </c>
      <c r="AB44" s="2">
        <f t="shared" si="32"/>
        <v>118.224</v>
      </c>
      <c r="AC44" s="2">
        <f>ROUND(((ES44*1)),6)</f>
        <v>0</v>
      </c>
      <c r="AD44" s="2">
        <f>ROUND(((((ET44*1.2))-((EU44*1.2)))+AE44),6)</f>
        <v>0</v>
      </c>
      <c r="AE44" s="2">
        <f>ROUND(((EU44*1.2)),6)</f>
        <v>0</v>
      </c>
      <c r="AF44" s="2">
        <f>ROUND(((EV44*1.2)),6)</f>
        <v>118.224</v>
      </c>
      <c r="AG44" s="2">
        <f t="shared" si="37"/>
        <v>0</v>
      </c>
      <c r="AH44" s="2">
        <f>((EW44*1.2))</f>
        <v>11.568</v>
      </c>
      <c r="AI44" s="2">
        <f>((EX44*1.2))</f>
        <v>0</v>
      </c>
      <c r="AJ44" s="2">
        <f t="shared" si="40"/>
        <v>0</v>
      </c>
      <c r="AK44" s="2">
        <v>98.52</v>
      </c>
      <c r="AL44" s="2">
        <v>0</v>
      </c>
      <c r="AM44" s="2">
        <v>0</v>
      </c>
      <c r="AN44" s="2">
        <v>0</v>
      </c>
      <c r="AO44" s="2">
        <v>98.52</v>
      </c>
      <c r="AP44" s="2">
        <v>0</v>
      </c>
      <c r="AQ44" s="2">
        <v>9.64</v>
      </c>
      <c r="AR44" s="2">
        <v>0</v>
      </c>
      <c r="AS44" s="2">
        <v>0</v>
      </c>
      <c r="AT44" s="2">
        <v>91</v>
      </c>
      <c r="AU44" s="2">
        <v>48</v>
      </c>
      <c r="AV44" s="2">
        <v>1.0469999999999999</v>
      </c>
      <c r="AW44" s="2">
        <v>1</v>
      </c>
      <c r="AX44" s="2"/>
      <c r="AY44" s="2"/>
      <c r="AZ44" s="2">
        <v>1</v>
      </c>
      <c r="BA44" s="2">
        <v>1</v>
      </c>
      <c r="BB44" s="2">
        <v>1</v>
      </c>
      <c r="BC44" s="2">
        <v>1</v>
      </c>
      <c r="BD44" s="2" t="s">
        <v>3</v>
      </c>
      <c r="BE44" s="2" t="s">
        <v>3</v>
      </c>
      <c r="BF44" s="2" t="s">
        <v>3</v>
      </c>
      <c r="BG44" s="2" t="s">
        <v>3</v>
      </c>
      <c r="BH44" s="2">
        <v>0</v>
      </c>
      <c r="BI44" s="2">
        <v>1</v>
      </c>
      <c r="BJ44" s="2" t="s">
        <v>69</v>
      </c>
      <c r="BK44" s="2"/>
      <c r="BL44" s="2"/>
      <c r="BM44" s="2">
        <v>106</v>
      </c>
      <c r="BN44" s="2">
        <v>0</v>
      </c>
      <c r="BO44" s="2" t="s">
        <v>66</v>
      </c>
      <c r="BP44" s="2">
        <v>1</v>
      </c>
      <c r="BQ44" s="2">
        <v>60</v>
      </c>
      <c r="BR44" s="2">
        <v>0</v>
      </c>
      <c r="BS44" s="2">
        <v>1</v>
      </c>
      <c r="BT44" s="2">
        <v>1</v>
      </c>
      <c r="BU44" s="2">
        <v>1</v>
      </c>
      <c r="BV44" s="2">
        <v>1</v>
      </c>
      <c r="BW44" s="2">
        <v>1</v>
      </c>
      <c r="BX44" s="2">
        <v>1</v>
      </c>
      <c r="BY44" s="2" t="s">
        <v>3</v>
      </c>
      <c r="BZ44" s="2">
        <v>91</v>
      </c>
      <c r="CA44" s="2">
        <v>48</v>
      </c>
      <c r="CB44" s="2" t="s">
        <v>3</v>
      </c>
      <c r="CC44" s="2"/>
      <c r="CD44" s="2"/>
      <c r="CE44" s="2">
        <v>1566</v>
      </c>
      <c r="CF44" s="2">
        <v>0</v>
      </c>
      <c r="CG44" s="2">
        <v>0</v>
      </c>
      <c r="CH44" s="2"/>
      <c r="CI44" s="2"/>
      <c r="CJ44" s="2"/>
      <c r="CK44" s="2"/>
      <c r="CL44" s="2"/>
      <c r="CM44" s="2">
        <v>0</v>
      </c>
      <c r="CN44" s="2" t="s">
        <v>624</v>
      </c>
      <c r="CO44" s="2">
        <v>0</v>
      </c>
      <c r="CP44" s="2">
        <f t="shared" si="41"/>
        <v>5632.01</v>
      </c>
      <c r="CQ44" s="2">
        <f t="shared" si="42"/>
        <v>0</v>
      </c>
      <c r="CR44" s="2">
        <f>(ROUND((ROUND((((ET44*1.2))*AV44*1),2)*BB44),2)+ROUND((ROUND(((AE44-((EU44*1.2)))*AV44*1),2)*BS44),2))</f>
        <v>0</v>
      </c>
      <c r="CS44" s="2">
        <f>(ROUND((ROUND((((EU44*1.2))*AV44*1),2)*BS44),2)+ROUND((ROUND(((AE44-((EU44*1.2)))*AV44*1),2)*BS44),2))</f>
        <v>0</v>
      </c>
      <c r="CT44" s="2">
        <f t="shared" si="45"/>
        <v>123.78</v>
      </c>
      <c r="CU44" s="2">
        <f t="shared" si="46"/>
        <v>0</v>
      </c>
      <c r="CV44" s="2">
        <f t="shared" si="47"/>
        <v>12.111695999999998</v>
      </c>
      <c r="CW44" s="2">
        <f t="shared" si="48"/>
        <v>0</v>
      </c>
      <c r="CX44" s="2">
        <f t="shared" si="49"/>
        <v>0</v>
      </c>
      <c r="CY44" s="2">
        <f>(ROUND((((S44+ROUND((ROUND((((EU44*1.2))*AV44*1),2)*BS44),2))*AT44)/100),2)+ROUND(((ROUND((ROUND(((AE44-((EU44*1.2)))*AV44*1),2)*BS44),2)*AT44)/100),2))</f>
        <v>5125.13</v>
      </c>
      <c r="CZ44" s="2">
        <f>(ROUND((((S44+ROUND((ROUND((((EU44*1.2))*AV44*1),2)*BS44),2))*AU44)/100),2)+ROUND(((ROUND((ROUND(((AE44-((EU44*1.2)))*AV44*1),2)*BS44),2)*AU44)/100),2))</f>
        <v>2703.36</v>
      </c>
      <c r="DA44" s="2"/>
      <c r="DB44" s="2">
        <v>33</v>
      </c>
      <c r="DC44" s="2" t="s">
        <v>3</v>
      </c>
      <c r="DD44" s="2" t="s">
        <v>70</v>
      </c>
      <c r="DE44" s="2" t="s">
        <v>71</v>
      </c>
      <c r="DF44" s="2" t="s">
        <v>71</v>
      </c>
      <c r="DG44" s="2" t="s">
        <v>71</v>
      </c>
      <c r="DH44" s="2" t="s">
        <v>3</v>
      </c>
      <c r="DI44" s="2" t="s">
        <v>71</v>
      </c>
      <c r="DJ44" s="2" t="s">
        <v>71</v>
      </c>
      <c r="DK44" s="2" t="s">
        <v>3</v>
      </c>
      <c r="DL44" s="2" t="s">
        <v>3</v>
      </c>
      <c r="DM44" s="2" t="s">
        <v>3</v>
      </c>
      <c r="DN44" s="2">
        <v>0</v>
      </c>
      <c r="DO44" s="2">
        <v>0</v>
      </c>
      <c r="DP44" s="2">
        <v>1</v>
      </c>
      <c r="DQ44" s="2">
        <v>1</v>
      </c>
      <c r="DR44" s="2"/>
      <c r="DS44" s="2"/>
      <c r="DT44" s="2"/>
      <c r="DU44" s="2">
        <v>1003</v>
      </c>
      <c r="DV44" s="2" t="s">
        <v>68</v>
      </c>
      <c r="DW44" s="2" t="s">
        <v>68</v>
      </c>
      <c r="DX44" s="2">
        <v>100</v>
      </c>
      <c r="DY44" s="2"/>
      <c r="DZ44" s="2" t="s">
        <v>3</v>
      </c>
      <c r="EA44" s="2" t="s">
        <v>3</v>
      </c>
      <c r="EB44" s="2" t="s">
        <v>3</v>
      </c>
      <c r="EC44" s="2" t="s">
        <v>3</v>
      </c>
      <c r="ED44" s="2"/>
      <c r="EE44" s="2">
        <v>57042996</v>
      </c>
      <c r="EF44" s="2">
        <v>60</v>
      </c>
      <c r="EG44" s="2" t="s">
        <v>72</v>
      </c>
      <c r="EH44" s="2">
        <v>0</v>
      </c>
      <c r="EI44" s="2" t="s">
        <v>3</v>
      </c>
      <c r="EJ44" s="2">
        <v>1</v>
      </c>
      <c r="EK44" s="2">
        <v>106</v>
      </c>
      <c r="EL44" s="2" t="s">
        <v>73</v>
      </c>
      <c r="EM44" s="2" t="s">
        <v>74</v>
      </c>
      <c r="EN44" s="2"/>
      <c r="EO44" s="2" t="s">
        <v>75</v>
      </c>
      <c r="EP44" s="2"/>
      <c r="EQ44" s="2">
        <v>1024</v>
      </c>
      <c r="ER44" s="2">
        <v>98.52</v>
      </c>
      <c r="ES44" s="2">
        <v>0</v>
      </c>
      <c r="ET44" s="2">
        <v>0</v>
      </c>
      <c r="EU44" s="2">
        <v>0</v>
      </c>
      <c r="EV44" s="2">
        <v>98.52</v>
      </c>
      <c r="EW44" s="2">
        <v>9.64</v>
      </c>
      <c r="EX44" s="2">
        <v>0</v>
      </c>
      <c r="EY44" s="2">
        <v>0</v>
      </c>
      <c r="EZ44" s="2"/>
      <c r="FA44" s="2"/>
      <c r="FB44" s="2"/>
      <c r="FC44" s="2"/>
      <c r="FD44" s="2"/>
      <c r="FE44" s="2"/>
      <c r="FF44" s="2"/>
      <c r="FG44" s="2"/>
      <c r="FH44" s="2"/>
      <c r="FI44" s="2"/>
      <c r="FJ44" s="2"/>
      <c r="FK44" s="2"/>
      <c r="FL44" s="2"/>
      <c r="FM44" s="2"/>
      <c r="FN44" s="2"/>
      <c r="FO44" s="2"/>
      <c r="FP44" s="2"/>
      <c r="FQ44" s="2">
        <v>0</v>
      </c>
      <c r="FR44" s="2">
        <v>0</v>
      </c>
      <c r="FS44" s="2">
        <v>0</v>
      </c>
      <c r="FT44" s="2"/>
      <c r="FU44" s="2"/>
      <c r="FV44" s="2"/>
      <c r="FW44" s="2"/>
      <c r="FX44" s="2">
        <v>91</v>
      </c>
      <c r="FY44" s="2">
        <v>48</v>
      </c>
      <c r="FZ44" s="2"/>
      <c r="GA44" s="2" t="s">
        <v>3</v>
      </c>
      <c r="GB44" s="2"/>
      <c r="GC44" s="2"/>
      <c r="GD44" s="2">
        <v>1</v>
      </c>
      <c r="GE44" s="2"/>
      <c r="GF44" s="2">
        <v>1114236003</v>
      </c>
      <c r="GG44" s="2">
        <v>2</v>
      </c>
      <c r="GH44" s="2">
        <v>1</v>
      </c>
      <c r="GI44" s="2">
        <v>2</v>
      </c>
      <c r="GJ44" s="2">
        <v>0</v>
      </c>
      <c r="GK44" s="2">
        <v>0</v>
      </c>
      <c r="GL44" s="2">
        <f t="shared" si="52"/>
        <v>0</v>
      </c>
      <c r="GM44" s="2">
        <f t="shared" si="53"/>
        <v>13460.5</v>
      </c>
      <c r="GN44" s="2">
        <f t="shared" si="54"/>
        <v>13460.5</v>
      </c>
      <c r="GO44" s="2">
        <f t="shared" si="55"/>
        <v>0</v>
      </c>
      <c r="GP44" s="2">
        <f t="shared" si="56"/>
        <v>0</v>
      </c>
      <c r="GQ44" s="2"/>
      <c r="GR44" s="2">
        <v>0</v>
      </c>
      <c r="GS44" s="2">
        <v>3</v>
      </c>
      <c r="GT44" s="2">
        <v>0</v>
      </c>
      <c r="GU44" s="2" t="s">
        <v>3</v>
      </c>
      <c r="GV44" s="2">
        <f t="shared" si="57"/>
        <v>0</v>
      </c>
      <c r="GW44" s="2">
        <v>1</v>
      </c>
      <c r="GX44" s="2">
        <f t="shared" si="58"/>
        <v>0</v>
      </c>
      <c r="GY44" s="2"/>
      <c r="GZ44" s="2"/>
      <c r="HA44" s="2">
        <v>0</v>
      </c>
      <c r="HB44" s="2">
        <v>0</v>
      </c>
      <c r="HC44" s="2">
        <f t="shared" si="59"/>
        <v>0</v>
      </c>
      <c r="HD44" s="2"/>
      <c r="HE44" s="2" t="s">
        <v>3</v>
      </c>
      <c r="HF44" s="2" t="s">
        <v>3</v>
      </c>
      <c r="HG44" s="2"/>
      <c r="HH44" s="2"/>
      <c r="HI44" s="2"/>
      <c r="HJ44" s="2"/>
      <c r="HK44" s="2"/>
      <c r="HL44" s="2"/>
      <c r="HM44" s="2" t="s">
        <v>3</v>
      </c>
      <c r="HN44" s="2" t="s">
        <v>3</v>
      </c>
      <c r="HO44" s="2" t="s">
        <v>3</v>
      </c>
      <c r="HP44" s="2" t="s">
        <v>3</v>
      </c>
      <c r="HQ44" s="2" t="s">
        <v>3</v>
      </c>
      <c r="HR44" s="2"/>
      <c r="HS44" s="2">
        <v>0</v>
      </c>
      <c r="HT44" s="2"/>
      <c r="HU44" s="2"/>
      <c r="HV44" s="2"/>
      <c r="HW44" s="2"/>
      <c r="HX44" s="2"/>
      <c r="HY44" s="2"/>
      <c r="HZ44" s="2"/>
      <c r="IA44" s="2"/>
      <c r="IB44" s="2"/>
      <c r="IC44" s="2"/>
      <c r="ID44" s="2"/>
      <c r="IE44" s="2"/>
      <c r="IF44" s="2"/>
      <c r="IG44" s="2"/>
      <c r="IH44" s="2"/>
      <c r="II44" s="2"/>
      <c r="IJ44" s="2"/>
      <c r="IK44" s="2">
        <v>0</v>
      </c>
      <c r="IL44" s="2"/>
      <c r="IM44" s="2"/>
      <c r="IN44" s="2"/>
      <c r="IO44" s="2"/>
      <c r="IP44" s="2"/>
      <c r="IQ44" s="2"/>
      <c r="IR44" s="2"/>
      <c r="IS44" s="2"/>
      <c r="IT44" s="2"/>
      <c r="IU44" s="2"/>
    </row>
    <row r="45" spans="1:255" x14ac:dyDescent="0.25">
      <c r="A45" s="3">
        <v>17</v>
      </c>
      <c r="B45" s="3">
        <v>1</v>
      </c>
      <c r="C45" s="3">
        <f>ROW(SmtRes!A60)</f>
        <v>60</v>
      </c>
      <c r="D45" s="3">
        <f>ROW(EtalonRes!A72)</f>
        <v>72</v>
      </c>
      <c r="E45" s="3" t="s">
        <v>3</v>
      </c>
      <c r="F45" s="3" t="s">
        <v>66</v>
      </c>
      <c r="G45" s="3" t="s">
        <v>67</v>
      </c>
      <c r="H45" s="3" t="s">
        <v>68</v>
      </c>
      <c r="I45" s="3">
        <f>ROUND((4500+50)/100,9)</f>
        <v>45.5</v>
      </c>
      <c r="J45" s="3">
        <v>0</v>
      </c>
      <c r="K45" s="3">
        <f>ROUND((4500+50)/100,9)</f>
        <v>45.5</v>
      </c>
      <c r="O45" s="3">
        <f t="shared" si="21"/>
        <v>317363.76</v>
      </c>
      <c r="P45" s="3">
        <f t="shared" si="22"/>
        <v>0</v>
      </c>
      <c r="Q45" s="3">
        <f>(ROUND((ROUND((((ET45*1.2))*AV45*I45),2)*BB45),2)+ROUND((ROUND(((AE45-((EU45*1.2)))*AV45*I45),2)*BS45),2))</f>
        <v>0</v>
      </c>
      <c r="R45" s="3">
        <f>(ROUND((ROUND((((EU45*1.2))*AV45*I45),2)*BS45),2)+ROUND((ROUND(((AE45-((EU45*1.2)))*AV45*I45),2)*BS45),2))</f>
        <v>0</v>
      </c>
      <c r="S45" s="3">
        <f t="shared" si="25"/>
        <v>317363.76</v>
      </c>
      <c r="T45" s="3">
        <f t="shared" si="26"/>
        <v>0</v>
      </c>
      <c r="U45" s="3">
        <f t="shared" si="27"/>
        <v>551.08216799999991</v>
      </c>
      <c r="V45" s="3">
        <f t="shared" si="28"/>
        <v>0</v>
      </c>
      <c r="W45" s="3">
        <f t="shared" si="29"/>
        <v>0</v>
      </c>
      <c r="X45" s="3">
        <f>(ROUND((((S45+ROUND((ROUND((((EU45*1.2))*AV45*I45),2)*BS45),2))*AT45)/100),2)+ROUND(((ROUND((ROUND(((AE45-((EU45*1.2)))*AV45*I45),2)*BS45),2)*AT45)/100),2))</f>
        <v>288801.02</v>
      </c>
      <c r="Y45" s="3">
        <f>(ROUND((((S45+ROUND((ROUND((((EU45*1.2))*AV45*I45),2)*BS45),2))*AU45)/100),2)+ROUND(((ROUND((ROUND(((AE45-((EU45*1.2)))*AV45*I45),2)*BS45),2)*AU45)/100),2))</f>
        <v>152334.6</v>
      </c>
      <c r="AA45" s="3">
        <v>-1</v>
      </c>
      <c r="AB45" s="3">
        <f t="shared" si="32"/>
        <v>118.224</v>
      </c>
      <c r="AC45" s="3">
        <f>ROUND(((ES45*1)),6)</f>
        <v>0</v>
      </c>
      <c r="AD45" s="3">
        <f>ROUND(((((ET45*1.2))-((EU45*1.2)))+AE45),6)</f>
        <v>0</v>
      </c>
      <c r="AE45" s="3">
        <f>ROUND(((EU45*1.2)),6)</f>
        <v>0</v>
      </c>
      <c r="AF45" s="3">
        <f>ROUND(((EV45*1.2)),6)</f>
        <v>118.224</v>
      </c>
      <c r="AG45" s="3">
        <f t="shared" si="37"/>
        <v>0</v>
      </c>
      <c r="AH45" s="3">
        <f>((EW45*1.2))</f>
        <v>11.568</v>
      </c>
      <c r="AI45" s="3">
        <f>((EX45*1.2))</f>
        <v>0</v>
      </c>
      <c r="AJ45" s="3">
        <f t="shared" si="40"/>
        <v>0</v>
      </c>
      <c r="AK45" s="3">
        <v>98.52</v>
      </c>
      <c r="AL45" s="3">
        <v>0</v>
      </c>
      <c r="AM45" s="3">
        <v>0</v>
      </c>
      <c r="AN45" s="3">
        <v>0</v>
      </c>
      <c r="AO45" s="3">
        <v>98.52</v>
      </c>
      <c r="AP45" s="3">
        <v>0</v>
      </c>
      <c r="AQ45" s="3">
        <v>9.64</v>
      </c>
      <c r="AR45" s="3">
        <v>0</v>
      </c>
      <c r="AS45" s="3">
        <v>0</v>
      </c>
      <c r="AT45" s="3">
        <v>91</v>
      </c>
      <c r="AU45" s="3">
        <v>48</v>
      </c>
      <c r="AV45" s="3">
        <v>1.0469999999999999</v>
      </c>
      <c r="AW45" s="3">
        <v>1</v>
      </c>
      <c r="AZ45" s="3">
        <v>1</v>
      </c>
      <c r="BA45" s="3">
        <v>56.35</v>
      </c>
      <c r="BB45" s="3">
        <v>1</v>
      </c>
      <c r="BC45" s="3">
        <v>1</v>
      </c>
      <c r="BD45" s="3" t="s">
        <v>3</v>
      </c>
      <c r="BE45" s="3" t="s">
        <v>3</v>
      </c>
      <c r="BF45" s="3" t="s">
        <v>3</v>
      </c>
      <c r="BG45" s="3" t="s">
        <v>3</v>
      </c>
      <c r="BH45" s="3">
        <v>0</v>
      </c>
      <c r="BI45" s="3">
        <v>1</v>
      </c>
      <c r="BJ45" s="3" t="s">
        <v>69</v>
      </c>
      <c r="BM45" s="3">
        <v>106</v>
      </c>
      <c r="BN45" s="3">
        <v>0</v>
      </c>
      <c r="BO45" s="3" t="s">
        <v>66</v>
      </c>
      <c r="BP45" s="3">
        <v>1</v>
      </c>
      <c r="BQ45" s="3">
        <v>60</v>
      </c>
      <c r="BR45" s="3">
        <v>0</v>
      </c>
      <c r="BS45" s="3">
        <v>56.35</v>
      </c>
      <c r="BT45" s="3">
        <v>1</v>
      </c>
      <c r="BU45" s="3">
        <v>1</v>
      </c>
      <c r="BV45" s="3">
        <v>1</v>
      </c>
      <c r="BW45" s="3">
        <v>1</v>
      </c>
      <c r="BX45" s="3">
        <v>1</v>
      </c>
      <c r="BY45" s="3" t="s">
        <v>3</v>
      </c>
      <c r="BZ45" s="3">
        <v>91</v>
      </c>
      <c r="CA45" s="3">
        <v>48</v>
      </c>
      <c r="CB45" s="3" t="s">
        <v>3</v>
      </c>
      <c r="CE45" s="3">
        <v>1566</v>
      </c>
      <c r="CF45" s="3">
        <v>0</v>
      </c>
      <c r="CG45" s="3">
        <v>0</v>
      </c>
      <c r="CM45" s="3">
        <v>0</v>
      </c>
      <c r="CN45" s="3" t="s">
        <v>624</v>
      </c>
      <c r="CO45" s="3">
        <v>0</v>
      </c>
      <c r="CP45" s="3">
        <f t="shared" si="41"/>
        <v>317363.76</v>
      </c>
      <c r="CQ45" s="3">
        <f t="shared" si="42"/>
        <v>0</v>
      </c>
      <c r="CR45" s="3">
        <f>(ROUND((ROUND((((ET45*1.2))*AV45*1),2)*BB45),2)+ROUND((ROUND(((AE45-((EU45*1.2)))*AV45*1),2)*BS45),2))</f>
        <v>0</v>
      </c>
      <c r="CS45" s="3">
        <f>(ROUND((ROUND((((EU45*1.2))*AV45*1),2)*BS45),2)+ROUND((ROUND(((AE45-((EU45*1.2)))*AV45*1),2)*BS45),2))</f>
        <v>0</v>
      </c>
      <c r="CT45" s="3">
        <f t="shared" si="45"/>
        <v>6975</v>
      </c>
      <c r="CU45" s="3">
        <f t="shared" si="46"/>
        <v>0</v>
      </c>
      <c r="CV45" s="3">
        <f t="shared" si="47"/>
        <v>12.111695999999998</v>
      </c>
      <c r="CW45" s="3">
        <f t="shared" si="48"/>
        <v>0</v>
      </c>
      <c r="CX45" s="3">
        <f t="shared" si="49"/>
        <v>0</v>
      </c>
      <c r="CY45" s="3">
        <f>(ROUND((((S45+ROUND((ROUND((((EU45*1.2))*AV45*1),2)*BS45),2))*AT45)/100),2)+ROUND(((ROUND((ROUND(((AE45-((EU45*1.2)))*AV45*1),2)*BS45),2)*AT45)/100),2))</f>
        <v>288801.02</v>
      </c>
      <c r="CZ45" s="3">
        <f>(ROUND((((S45+ROUND((ROUND((((EU45*1.2))*AV45*1),2)*BS45),2))*AU45)/100),2)+ROUND(((ROUND((ROUND(((AE45-((EU45*1.2)))*AV45*1),2)*BS45),2)*AU45)/100),2))</f>
        <v>152334.6</v>
      </c>
      <c r="DB45" s="3">
        <v>34</v>
      </c>
      <c r="DC45" s="3" t="s">
        <v>3</v>
      </c>
      <c r="DD45" s="3" t="s">
        <v>70</v>
      </c>
      <c r="DE45" s="3" t="s">
        <v>71</v>
      </c>
      <c r="DF45" s="3" t="s">
        <v>71</v>
      </c>
      <c r="DG45" s="3" t="s">
        <v>71</v>
      </c>
      <c r="DH45" s="3" t="s">
        <v>3</v>
      </c>
      <c r="DI45" s="3" t="s">
        <v>71</v>
      </c>
      <c r="DJ45" s="3" t="s">
        <v>71</v>
      </c>
      <c r="DK45" s="3" t="s">
        <v>3</v>
      </c>
      <c r="DL45" s="3" t="s">
        <v>3</v>
      </c>
      <c r="DM45" s="3" t="s">
        <v>3</v>
      </c>
      <c r="DN45" s="3">
        <v>0</v>
      </c>
      <c r="DO45" s="3">
        <v>0</v>
      </c>
      <c r="DP45" s="3">
        <v>1</v>
      </c>
      <c r="DQ45" s="3">
        <v>1</v>
      </c>
      <c r="DU45" s="3">
        <v>1003</v>
      </c>
      <c r="DV45" s="3" t="s">
        <v>68</v>
      </c>
      <c r="DW45" s="3" t="s">
        <v>68</v>
      </c>
      <c r="DX45" s="3">
        <v>100</v>
      </c>
      <c r="DZ45" s="3" t="s">
        <v>3</v>
      </c>
      <c r="EA45" s="3" t="s">
        <v>3</v>
      </c>
      <c r="EB45" s="3" t="s">
        <v>3</v>
      </c>
      <c r="EC45" s="3" t="s">
        <v>3</v>
      </c>
      <c r="EE45" s="3">
        <v>57042996</v>
      </c>
      <c r="EF45" s="3">
        <v>60</v>
      </c>
      <c r="EG45" s="3" t="s">
        <v>72</v>
      </c>
      <c r="EH45" s="3">
        <v>0</v>
      </c>
      <c r="EI45" s="3" t="s">
        <v>3</v>
      </c>
      <c r="EJ45" s="3">
        <v>1</v>
      </c>
      <c r="EK45" s="3">
        <v>106</v>
      </c>
      <c r="EL45" s="3" t="s">
        <v>73</v>
      </c>
      <c r="EM45" s="3" t="s">
        <v>74</v>
      </c>
      <c r="EO45" s="3" t="s">
        <v>75</v>
      </c>
      <c r="EQ45" s="3">
        <v>1024</v>
      </c>
      <c r="ER45" s="3">
        <v>98.52</v>
      </c>
      <c r="ES45" s="3">
        <v>0</v>
      </c>
      <c r="ET45" s="3">
        <v>0</v>
      </c>
      <c r="EU45" s="3">
        <v>0</v>
      </c>
      <c r="EV45" s="3">
        <v>98.52</v>
      </c>
      <c r="EW45" s="3">
        <v>9.64</v>
      </c>
      <c r="EX45" s="3">
        <v>0</v>
      </c>
      <c r="EY45" s="3">
        <v>0</v>
      </c>
      <c r="FQ45" s="3">
        <v>0</v>
      </c>
      <c r="FR45" s="3">
        <v>0</v>
      </c>
      <c r="FS45" s="3">
        <v>0</v>
      </c>
      <c r="FX45" s="3">
        <v>91</v>
      </c>
      <c r="FY45" s="3">
        <v>48</v>
      </c>
      <c r="GA45" s="3" t="s">
        <v>3</v>
      </c>
      <c r="GD45" s="3">
        <v>1</v>
      </c>
      <c r="GF45" s="3">
        <v>1114236003</v>
      </c>
      <c r="GG45" s="3">
        <v>2</v>
      </c>
      <c r="GH45" s="3">
        <v>1</v>
      </c>
      <c r="GI45" s="3">
        <v>2</v>
      </c>
      <c r="GJ45" s="3">
        <v>0</v>
      </c>
      <c r="GK45" s="3">
        <v>0</v>
      </c>
      <c r="GL45" s="3">
        <f t="shared" si="52"/>
        <v>0</v>
      </c>
      <c r="GM45" s="3">
        <f t="shared" si="53"/>
        <v>758499.38</v>
      </c>
      <c r="GN45" s="3">
        <f t="shared" si="54"/>
        <v>758499.38</v>
      </c>
      <c r="GO45" s="3">
        <f t="shared" si="55"/>
        <v>0</v>
      </c>
      <c r="GP45" s="3">
        <f t="shared" si="56"/>
        <v>0</v>
      </c>
      <c r="GR45" s="3">
        <v>0</v>
      </c>
      <c r="GS45" s="3">
        <v>3</v>
      </c>
      <c r="GT45" s="3">
        <v>0</v>
      </c>
      <c r="GU45" s="3" t="s">
        <v>3</v>
      </c>
      <c r="GV45" s="3">
        <f t="shared" si="57"/>
        <v>0</v>
      </c>
      <c r="GW45" s="3">
        <v>1</v>
      </c>
      <c r="GX45" s="3">
        <f t="shared" si="58"/>
        <v>0</v>
      </c>
      <c r="HA45" s="3">
        <v>0</v>
      </c>
      <c r="HB45" s="3">
        <v>0</v>
      </c>
      <c r="HC45" s="3">
        <f t="shared" si="59"/>
        <v>0</v>
      </c>
      <c r="HE45" s="3" t="s">
        <v>3</v>
      </c>
      <c r="HF45" s="3" t="s">
        <v>3</v>
      </c>
      <c r="HM45" s="3" t="s">
        <v>3</v>
      </c>
      <c r="HN45" s="3" t="s">
        <v>3</v>
      </c>
      <c r="HO45" s="3" t="s">
        <v>3</v>
      </c>
      <c r="HP45" s="3" t="s">
        <v>3</v>
      </c>
      <c r="HQ45" s="3" t="s">
        <v>3</v>
      </c>
      <c r="HS45" s="3">
        <v>0</v>
      </c>
      <c r="IK45" s="3">
        <v>0</v>
      </c>
    </row>
    <row r="46" spans="1:255" x14ac:dyDescent="0.25">
      <c r="A46" s="2">
        <v>17</v>
      </c>
      <c r="B46" s="2">
        <v>1</v>
      </c>
      <c r="C46" s="2">
        <f>ROW(SmtRes!A66)</f>
        <v>66</v>
      </c>
      <c r="D46" s="2">
        <f>ROW(EtalonRes!A82)</f>
        <v>82</v>
      </c>
      <c r="E46" s="2" t="s">
        <v>76</v>
      </c>
      <c r="F46" s="2" t="s">
        <v>77</v>
      </c>
      <c r="G46" s="2" t="s">
        <v>78</v>
      </c>
      <c r="H46" s="2" t="s">
        <v>68</v>
      </c>
      <c r="I46" s="2">
        <f>ROUND((4500+50)/100,9)</f>
        <v>45.5</v>
      </c>
      <c r="J46" s="2">
        <v>0</v>
      </c>
      <c r="K46" s="2">
        <f>ROUND((4500+50)/100,9)</f>
        <v>45.5</v>
      </c>
      <c r="L46" s="2"/>
      <c r="M46" s="2"/>
      <c r="N46" s="2"/>
      <c r="O46" s="2">
        <f t="shared" si="21"/>
        <v>7175.33</v>
      </c>
      <c r="P46" s="2">
        <f t="shared" si="22"/>
        <v>0</v>
      </c>
      <c r="Q46" s="2">
        <f>(ROUND((ROUND(((((ET46*1.2)*0.3))*AV46*I46),2)*BB46),2)+ROUND((ROUND(((AE46-(((EU46*1.2)*0.3)))*AV46*I46),2)*BS46),2))</f>
        <v>119.88</v>
      </c>
      <c r="R46" s="2">
        <f>(ROUND((ROUND(((((EU46*1.2)*0.3))*AV46*I46),2)*BS46),2)+ROUND((ROUND(((AE46-(((EU46*1.2)*0.3)))*AV46*I46),2)*BS46),2))</f>
        <v>0</v>
      </c>
      <c r="S46" s="2">
        <f t="shared" si="25"/>
        <v>7055.45</v>
      </c>
      <c r="T46" s="2">
        <f t="shared" si="26"/>
        <v>0</v>
      </c>
      <c r="U46" s="2">
        <f t="shared" si="27"/>
        <v>593.55665459999989</v>
      </c>
      <c r="V46" s="2">
        <f t="shared" si="28"/>
        <v>0</v>
      </c>
      <c r="W46" s="2">
        <f t="shared" si="29"/>
        <v>0</v>
      </c>
      <c r="X46" s="2">
        <f>(ROUND((((S46+ROUND((ROUND(((((EU46*1.2)*0.3))*AV46*I46),2)*BS46),2))*AT46)/100),2)+ROUND(((ROUND((ROUND(((AE46-(((EU46*1.2)*0.3)))*AV46*I46),2)*BS46),2)*AT46)/100),2))</f>
        <v>6349.91</v>
      </c>
      <c r="Y46" s="2">
        <f>(ROUND((((S46+ROUND((ROUND(((((EU46*1.2)*0.3))*AV46*I46),2)*BS46),2))*AU46)/100),2)+ROUND(((ROUND((ROUND(((AE46-(((EU46*1.2)*0.3)))*AV46*I46),2)*BS46),2)*AU46)/100),2))</f>
        <v>3245.51</v>
      </c>
      <c r="Z46" s="2"/>
      <c r="AA46" s="2">
        <v>57014138</v>
      </c>
      <c r="AB46" s="2">
        <f t="shared" si="32"/>
        <v>150.62039999999999</v>
      </c>
      <c r="AC46" s="2">
        <f>ROUND((((ES46*1)*0)),6)</f>
        <v>0</v>
      </c>
      <c r="AD46" s="2">
        <f>ROUND((((((ET46*1.2)*0.3))-(((EU46*1.2)*0.3)))+AE46),6)</f>
        <v>2.5164</v>
      </c>
      <c r="AE46" s="2">
        <f>ROUND((((EU46*1.2)*0.3)),6)</f>
        <v>0</v>
      </c>
      <c r="AF46" s="2">
        <f>ROUND((((EV46*1.2)*0.3)),6)</f>
        <v>148.10400000000001</v>
      </c>
      <c r="AG46" s="2">
        <f t="shared" si="37"/>
        <v>0</v>
      </c>
      <c r="AH46" s="2">
        <f>(((EW46*1.2)*0.3))</f>
        <v>12.459599999999998</v>
      </c>
      <c r="AI46" s="2">
        <f>(((EX46*1.2)*0.3))</f>
        <v>0</v>
      </c>
      <c r="AJ46" s="2">
        <f t="shared" si="40"/>
        <v>0</v>
      </c>
      <c r="AK46" s="2">
        <v>441.78</v>
      </c>
      <c r="AL46" s="2">
        <v>23.39</v>
      </c>
      <c r="AM46" s="2">
        <v>6.99</v>
      </c>
      <c r="AN46" s="2">
        <v>0</v>
      </c>
      <c r="AO46" s="2">
        <v>411.4</v>
      </c>
      <c r="AP46" s="2">
        <v>0</v>
      </c>
      <c r="AQ46" s="2">
        <v>34.61</v>
      </c>
      <c r="AR46" s="2">
        <v>0</v>
      </c>
      <c r="AS46" s="2">
        <v>0</v>
      </c>
      <c r="AT46" s="2">
        <v>90</v>
      </c>
      <c r="AU46" s="2">
        <v>46</v>
      </c>
      <c r="AV46" s="2">
        <v>1.0469999999999999</v>
      </c>
      <c r="AW46" s="2">
        <v>1</v>
      </c>
      <c r="AX46" s="2"/>
      <c r="AY46" s="2"/>
      <c r="AZ46" s="2">
        <v>1</v>
      </c>
      <c r="BA46" s="2">
        <v>1</v>
      </c>
      <c r="BB46" s="2">
        <v>1</v>
      </c>
      <c r="BC46" s="2">
        <v>1</v>
      </c>
      <c r="BD46" s="2" t="s">
        <v>3</v>
      </c>
      <c r="BE46" s="2" t="s">
        <v>3</v>
      </c>
      <c r="BF46" s="2" t="s">
        <v>3</v>
      </c>
      <c r="BG46" s="2" t="s">
        <v>3</v>
      </c>
      <c r="BH46" s="2">
        <v>0</v>
      </c>
      <c r="BI46" s="2">
        <v>2</v>
      </c>
      <c r="BJ46" s="2" t="s">
        <v>79</v>
      </c>
      <c r="BK46" s="2"/>
      <c r="BL46" s="2"/>
      <c r="BM46" s="2">
        <v>68</v>
      </c>
      <c r="BN46" s="2">
        <v>0</v>
      </c>
      <c r="BO46" s="2" t="s">
        <v>77</v>
      </c>
      <c r="BP46" s="2">
        <v>1</v>
      </c>
      <c r="BQ46" s="2">
        <v>40</v>
      </c>
      <c r="BR46" s="2">
        <v>0</v>
      </c>
      <c r="BS46" s="2">
        <v>1</v>
      </c>
      <c r="BT46" s="2">
        <v>1</v>
      </c>
      <c r="BU46" s="2">
        <v>1</v>
      </c>
      <c r="BV46" s="2">
        <v>1</v>
      </c>
      <c r="BW46" s="2">
        <v>1</v>
      </c>
      <c r="BX46" s="2">
        <v>1</v>
      </c>
      <c r="BY46" s="2" t="s">
        <v>3</v>
      </c>
      <c r="BZ46" s="2">
        <v>90</v>
      </c>
      <c r="CA46" s="2">
        <v>46</v>
      </c>
      <c r="CB46" s="2" t="s">
        <v>3</v>
      </c>
      <c r="CC46" s="2"/>
      <c r="CD46" s="2"/>
      <c r="CE46" s="2">
        <v>1566</v>
      </c>
      <c r="CF46" s="2">
        <v>0</v>
      </c>
      <c r="CG46" s="2">
        <v>0</v>
      </c>
      <c r="CH46" s="2"/>
      <c r="CI46" s="2"/>
      <c r="CJ46" s="2"/>
      <c r="CK46" s="2"/>
      <c r="CL46" s="2"/>
      <c r="CM46" s="2">
        <v>0</v>
      </c>
      <c r="CN46" s="2" t="s">
        <v>623</v>
      </c>
      <c r="CO46" s="2">
        <v>0</v>
      </c>
      <c r="CP46" s="2">
        <f t="shared" si="41"/>
        <v>7175.33</v>
      </c>
      <c r="CQ46" s="2">
        <f t="shared" si="42"/>
        <v>0</v>
      </c>
      <c r="CR46" s="2">
        <f>(ROUND((ROUND(((((ET46*1.2)*0.3))*AV46*1),2)*BB46),2)+ROUND((ROUND(((AE46-(((EU46*1.2)*0.3)))*AV46*1),2)*BS46),2))</f>
        <v>2.63</v>
      </c>
      <c r="CS46" s="2">
        <f>(ROUND((ROUND(((((EU46*1.2)*0.3))*AV46*1),2)*BS46),2)+ROUND((ROUND(((AE46-(((EU46*1.2)*0.3)))*AV46*1),2)*BS46),2))</f>
        <v>0</v>
      </c>
      <c r="CT46" s="2">
        <f t="shared" si="45"/>
        <v>155.06</v>
      </c>
      <c r="CU46" s="2">
        <f t="shared" si="46"/>
        <v>0</v>
      </c>
      <c r="CV46" s="2">
        <f t="shared" si="47"/>
        <v>13.045201199999997</v>
      </c>
      <c r="CW46" s="2">
        <f t="shared" si="48"/>
        <v>0</v>
      </c>
      <c r="CX46" s="2">
        <f t="shared" si="49"/>
        <v>0</v>
      </c>
      <c r="CY46" s="2">
        <f>(ROUND((((S46+ROUND((ROUND(((((EU46*1.2)*0.3))*AV46*1),2)*BS46),2))*AT46)/100),2)+ROUND(((ROUND((ROUND(((AE46-(((EU46*1.2)*0.3)))*AV46*1),2)*BS46),2)*AT46)/100),2))</f>
        <v>6349.91</v>
      </c>
      <c r="CZ46" s="2">
        <f>(ROUND((((S46+ROUND((ROUND(((((EU46*1.2)*0.3))*AV46*1),2)*BS46),2))*AU46)/100),2)+ROUND(((ROUND((ROUND(((AE46-(((EU46*1.2)*0.3)))*AV46*1),2)*BS46),2)*AU46)/100),2))</f>
        <v>3245.51</v>
      </c>
      <c r="DA46" s="2"/>
      <c r="DB46" s="2">
        <v>35</v>
      </c>
      <c r="DC46" s="2" t="s">
        <v>3</v>
      </c>
      <c r="DD46" s="2" t="s">
        <v>29</v>
      </c>
      <c r="DE46" s="2" t="s">
        <v>30</v>
      </c>
      <c r="DF46" s="2" t="s">
        <v>30</v>
      </c>
      <c r="DG46" s="2" t="s">
        <v>30</v>
      </c>
      <c r="DH46" s="2" t="s">
        <v>3</v>
      </c>
      <c r="DI46" s="2" t="s">
        <v>30</v>
      </c>
      <c r="DJ46" s="2" t="s">
        <v>30</v>
      </c>
      <c r="DK46" s="2" t="s">
        <v>3</v>
      </c>
      <c r="DL46" s="2" t="s">
        <v>3</v>
      </c>
      <c r="DM46" s="2" t="s">
        <v>3</v>
      </c>
      <c r="DN46" s="2">
        <v>0</v>
      </c>
      <c r="DO46" s="2">
        <v>0</v>
      </c>
      <c r="DP46" s="2">
        <v>1</v>
      </c>
      <c r="DQ46" s="2">
        <v>1</v>
      </c>
      <c r="DR46" s="2"/>
      <c r="DS46" s="2"/>
      <c r="DT46" s="2"/>
      <c r="DU46" s="2">
        <v>1003</v>
      </c>
      <c r="DV46" s="2" t="s">
        <v>68</v>
      </c>
      <c r="DW46" s="2" t="s">
        <v>68</v>
      </c>
      <c r="DX46" s="2">
        <v>100</v>
      </c>
      <c r="DY46" s="2"/>
      <c r="DZ46" s="2" t="s">
        <v>3</v>
      </c>
      <c r="EA46" s="2" t="s">
        <v>3</v>
      </c>
      <c r="EB46" s="2" t="s">
        <v>3</v>
      </c>
      <c r="EC46" s="2" t="s">
        <v>3</v>
      </c>
      <c r="ED46" s="2"/>
      <c r="EE46" s="2">
        <v>57042958</v>
      </c>
      <c r="EF46" s="2">
        <v>40</v>
      </c>
      <c r="EG46" s="2" t="s">
        <v>31</v>
      </c>
      <c r="EH46" s="2">
        <v>0</v>
      </c>
      <c r="EI46" s="2" t="s">
        <v>3</v>
      </c>
      <c r="EJ46" s="2">
        <v>2</v>
      </c>
      <c r="EK46" s="2">
        <v>68</v>
      </c>
      <c r="EL46" s="2" t="s">
        <v>32</v>
      </c>
      <c r="EM46" s="2" t="s">
        <v>33</v>
      </c>
      <c r="EN46" s="2"/>
      <c r="EO46" s="2" t="s">
        <v>34</v>
      </c>
      <c r="EP46" s="2"/>
      <c r="EQ46" s="2">
        <v>0</v>
      </c>
      <c r="ER46" s="2">
        <v>441.78</v>
      </c>
      <c r="ES46" s="2">
        <v>23.39</v>
      </c>
      <c r="ET46" s="2">
        <v>6.99</v>
      </c>
      <c r="EU46" s="2">
        <v>0</v>
      </c>
      <c r="EV46" s="2">
        <v>411.4</v>
      </c>
      <c r="EW46" s="2">
        <v>34.61</v>
      </c>
      <c r="EX46" s="2">
        <v>0</v>
      </c>
      <c r="EY46" s="2">
        <v>0</v>
      </c>
      <c r="EZ46" s="2"/>
      <c r="FA46" s="2"/>
      <c r="FB46" s="2"/>
      <c r="FC46" s="2"/>
      <c r="FD46" s="2"/>
      <c r="FE46" s="2"/>
      <c r="FF46" s="2"/>
      <c r="FG46" s="2"/>
      <c r="FH46" s="2"/>
      <c r="FI46" s="2"/>
      <c r="FJ46" s="2"/>
      <c r="FK46" s="2"/>
      <c r="FL46" s="2"/>
      <c r="FM46" s="2"/>
      <c r="FN46" s="2"/>
      <c r="FO46" s="2"/>
      <c r="FP46" s="2"/>
      <c r="FQ46" s="2">
        <v>0</v>
      </c>
      <c r="FR46" s="2">
        <v>0</v>
      </c>
      <c r="FS46" s="2">
        <v>0</v>
      </c>
      <c r="FT46" s="2"/>
      <c r="FU46" s="2"/>
      <c r="FV46" s="2"/>
      <c r="FW46" s="2"/>
      <c r="FX46" s="2">
        <v>90</v>
      </c>
      <c r="FY46" s="2">
        <v>46</v>
      </c>
      <c r="FZ46" s="2"/>
      <c r="GA46" s="2" t="s">
        <v>3</v>
      </c>
      <c r="GB46" s="2"/>
      <c r="GC46" s="2"/>
      <c r="GD46" s="2">
        <v>1</v>
      </c>
      <c r="GE46" s="2"/>
      <c r="GF46" s="2">
        <v>-63843540</v>
      </c>
      <c r="GG46" s="2">
        <v>2</v>
      </c>
      <c r="GH46" s="2">
        <v>1</v>
      </c>
      <c r="GI46" s="2">
        <v>2</v>
      </c>
      <c r="GJ46" s="2">
        <v>0</v>
      </c>
      <c r="GK46" s="2">
        <v>0</v>
      </c>
      <c r="GL46" s="2">
        <f t="shared" si="52"/>
        <v>0</v>
      </c>
      <c r="GM46" s="2">
        <f t="shared" si="53"/>
        <v>16770.75</v>
      </c>
      <c r="GN46" s="2">
        <f t="shared" si="54"/>
        <v>0</v>
      </c>
      <c r="GO46" s="2">
        <f t="shared" si="55"/>
        <v>16770.75</v>
      </c>
      <c r="GP46" s="2">
        <f t="shared" si="56"/>
        <v>0</v>
      </c>
      <c r="GQ46" s="2"/>
      <c r="GR46" s="2">
        <v>0</v>
      </c>
      <c r="GS46" s="2">
        <v>3</v>
      </c>
      <c r="GT46" s="2">
        <v>0</v>
      </c>
      <c r="GU46" s="2" t="s">
        <v>3</v>
      </c>
      <c r="GV46" s="2">
        <f t="shared" si="57"/>
        <v>0</v>
      </c>
      <c r="GW46" s="2">
        <v>1</v>
      </c>
      <c r="GX46" s="2">
        <f t="shared" si="58"/>
        <v>0</v>
      </c>
      <c r="GY46" s="2"/>
      <c r="GZ46" s="2"/>
      <c r="HA46" s="2">
        <v>0</v>
      </c>
      <c r="HB46" s="2">
        <v>0</v>
      </c>
      <c r="HC46" s="2">
        <f t="shared" si="59"/>
        <v>0</v>
      </c>
      <c r="HD46" s="2"/>
      <c r="HE46" s="2" t="s">
        <v>3</v>
      </c>
      <c r="HF46" s="2" t="s">
        <v>3</v>
      </c>
      <c r="HG46" s="2"/>
      <c r="HH46" s="2"/>
      <c r="HI46" s="2"/>
      <c r="HJ46" s="2"/>
      <c r="HK46" s="2"/>
      <c r="HL46" s="2"/>
      <c r="HM46" s="2" t="s">
        <v>3</v>
      </c>
      <c r="HN46" s="2" t="s">
        <v>3</v>
      </c>
      <c r="HO46" s="2" t="s">
        <v>3</v>
      </c>
      <c r="HP46" s="2" t="s">
        <v>3</v>
      </c>
      <c r="HQ46" s="2" t="s">
        <v>3</v>
      </c>
      <c r="HR46" s="2"/>
      <c r="HS46" s="2">
        <v>0</v>
      </c>
      <c r="HT46" s="2"/>
      <c r="HU46" s="2"/>
      <c r="HV46" s="2"/>
      <c r="HW46" s="2"/>
      <c r="HX46" s="2"/>
      <c r="HY46" s="2"/>
      <c r="HZ46" s="2"/>
      <c r="IA46" s="2"/>
      <c r="IB46" s="2"/>
      <c r="IC46" s="2"/>
      <c r="ID46" s="2"/>
      <c r="IE46" s="2"/>
      <c r="IF46" s="2"/>
      <c r="IG46" s="2"/>
      <c r="IH46" s="2"/>
      <c r="II46" s="2"/>
      <c r="IJ46" s="2"/>
      <c r="IK46" s="2">
        <v>0</v>
      </c>
      <c r="IL46" s="2"/>
      <c r="IM46" s="2"/>
      <c r="IN46" s="2"/>
      <c r="IO46" s="2"/>
      <c r="IP46" s="2"/>
      <c r="IQ46" s="2"/>
      <c r="IR46" s="2"/>
      <c r="IS46" s="2"/>
      <c r="IT46" s="2"/>
      <c r="IU46" s="2"/>
    </row>
    <row r="47" spans="1:255" x14ac:dyDescent="0.25">
      <c r="A47" s="3">
        <v>17</v>
      </c>
      <c r="B47" s="3">
        <v>1</v>
      </c>
      <c r="C47" s="3">
        <f>ROW(SmtRes!A72)</f>
        <v>72</v>
      </c>
      <c r="D47" s="3">
        <f>ROW(EtalonRes!A92)</f>
        <v>92</v>
      </c>
      <c r="E47" s="3" t="s">
        <v>76</v>
      </c>
      <c r="F47" s="3" t="s">
        <v>77</v>
      </c>
      <c r="G47" s="3" t="s">
        <v>78</v>
      </c>
      <c r="H47" s="3" t="s">
        <v>68</v>
      </c>
      <c r="I47" s="3">
        <f>ROUND((4500+50)/100,9)</f>
        <v>45.5</v>
      </c>
      <c r="J47" s="3">
        <v>0</v>
      </c>
      <c r="K47" s="3">
        <f>ROUND((4500+50)/100,9)</f>
        <v>45.5</v>
      </c>
      <c r="O47" s="3">
        <f t="shared" si="21"/>
        <v>398725.46</v>
      </c>
      <c r="P47" s="3">
        <f t="shared" si="22"/>
        <v>0</v>
      </c>
      <c r="Q47" s="3">
        <f>(ROUND((ROUND(((((ET47*1.2)*0.3))*AV47*I47),2)*BB47),2)+ROUND((ROUND(((AE47-(((EU47*1.2)*0.3)))*AV47*I47),2)*BS47),2))</f>
        <v>1150.8499999999999</v>
      </c>
      <c r="R47" s="3">
        <f>(ROUND((ROUND(((((EU47*1.2)*0.3))*AV47*I47),2)*BS47),2)+ROUND((ROUND(((AE47-(((EU47*1.2)*0.3)))*AV47*I47),2)*BS47),2))</f>
        <v>0</v>
      </c>
      <c r="S47" s="3">
        <f t="shared" si="25"/>
        <v>397574.61</v>
      </c>
      <c r="T47" s="3">
        <f t="shared" si="26"/>
        <v>0</v>
      </c>
      <c r="U47" s="3">
        <f t="shared" si="27"/>
        <v>593.55665459999989</v>
      </c>
      <c r="V47" s="3">
        <f t="shared" si="28"/>
        <v>0</v>
      </c>
      <c r="W47" s="3">
        <f t="shared" si="29"/>
        <v>0</v>
      </c>
      <c r="X47" s="3">
        <f>(ROUND((((S47+ROUND((ROUND(((((EU47*1.2)*0.3))*AV47*I47),2)*BS47),2))*AT47)/100),2)+ROUND(((ROUND((ROUND(((AE47-(((EU47*1.2)*0.3)))*AV47*I47),2)*BS47),2)*AT47)/100),2))</f>
        <v>357817.15</v>
      </c>
      <c r="Y47" s="3">
        <f>(ROUND((((S47+ROUND((ROUND(((((EU47*1.2)*0.3))*AV47*I47),2)*BS47),2))*AU47)/100),2)+ROUND(((ROUND((ROUND(((AE47-(((EU47*1.2)*0.3)))*AV47*I47),2)*BS47),2)*AU47)/100),2))</f>
        <v>182884.32</v>
      </c>
      <c r="AA47" s="3">
        <v>57014140</v>
      </c>
      <c r="AB47" s="3">
        <f t="shared" si="32"/>
        <v>150.62039999999999</v>
      </c>
      <c r="AC47" s="3">
        <f>ROUND((((ES47*1)*0)),6)</f>
        <v>0</v>
      </c>
      <c r="AD47" s="3">
        <f>ROUND((((((ET47*1.2)*0.3))-(((EU47*1.2)*0.3)))+AE47),6)</f>
        <v>2.5164</v>
      </c>
      <c r="AE47" s="3">
        <f>ROUND((((EU47*1.2)*0.3)),6)</f>
        <v>0</v>
      </c>
      <c r="AF47" s="3">
        <f>ROUND((((EV47*1.2)*0.3)),6)</f>
        <v>148.10400000000001</v>
      </c>
      <c r="AG47" s="3">
        <f t="shared" si="37"/>
        <v>0</v>
      </c>
      <c r="AH47" s="3">
        <f>(((EW47*1.2)*0.3))</f>
        <v>12.459599999999998</v>
      </c>
      <c r="AI47" s="3">
        <f>(((EX47*1.2)*0.3))</f>
        <v>0</v>
      </c>
      <c r="AJ47" s="3">
        <f t="shared" si="40"/>
        <v>0</v>
      </c>
      <c r="AK47" s="3">
        <v>441.78</v>
      </c>
      <c r="AL47" s="3">
        <v>23.39</v>
      </c>
      <c r="AM47" s="3">
        <v>6.99</v>
      </c>
      <c r="AN47" s="3">
        <v>0</v>
      </c>
      <c r="AO47" s="3">
        <v>411.4</v>
      </c>
      <c r="AP47" s="3">
        <v>0</v>
      </c>
      <c r="AQ47" s="3">
        <v>34.61</v>
      </c>
      <c r="AR47" s="3">
        <v>0</v>
      </c>
      <c r="AS47" s="3">
        <v>0</v>
      </c>
      <c r="AT47" s="3">
        <v>90</v>
      </c>
      <c r="AU47" s="3">
        <v>46</v>
      </c>
      <c r="AV47" s="3">
        <v>1.0469999999999999</v>
      </c>
      <c r="AW47" s="3">
        <v>1</v>
      </c>
      <c r="AZ47" s="3">
        <v>1</v>
      </c>
      <c r="BA47" s="3">
        <v>56.35</v>
      </c>
      <c r="BB47" s="3">
        <v>9.6</v>
      </c>
      <c r="BC47" s="3">
        <v>7.41</v>
      </c>
      <c r="BD47" s="3" t="s">
        <v>3</v>
      </c>
      <c r="BE47" s="3" t="s">
        <v>3</v>
      </c>
      <c r="BF47" s="3" t="s">
        <v>3</v>
      </c>
      <c r="BG47" s="3" t="s">
        <v>3</v>
      </c>
      <c r="BH47" s="3">
        <v>0</v>
      </c>
      <c r="BI47" s="3">
        <v>2</v>
      </c>
      <c r="BJ47" s="3" t="s">
        <v>79</v>
      </c>
      <c r="BM47" s="3">
        <v>68</v>
      </c>
      <c r="BN47" s="3">
        <v>0</v>
      </c>
      <c r="BO47" s="3" t="s">
        <v>77</v>
      </c>
      <c r="BP47" s="3">
        <v>1</v>
      </c>
      <c r="BQ47" s="3">
        <v>40</v>
      </c>
      <c r="BR47" s="3">
        <v>0</v>
      </c>
      <c r="BS47" s="3">
        <v>56.35</v>
      </c>
      <c r="BT47" s="3">
        <v>1</v>
      </c>
      <c r="BU47" s="3">
        <v>1</v>
      </c>
      <c r="BV47" s="3">
        <v>1</v>
      </c>
      <c r="BW47" s="3">
        <v>1</v>
      </c>
      <c r="BX47" s="3">
        <v>1</v>
      </c>
      <c r="BY47" s="3" t="s">
        <v>3</v>
      </c>
      <c r="BZ47" s="3">
        <v>90</v>
      </c>
      <c r="CA47" s="3">
        <v>46</v>
      </c>
      <c r="CB47" s="3" t="s">
        <v>3</v>
      </c>
      <c r="CE47" s="3">
        <v>1566</v>
      </c>
      <c r="CF47" s="3">
        <v>0</v>
      </c>
      <c r="CG47" s="3">
        <v>0</v>
      </c>
      <c r="CM47" s="3">
        <v>0</v>
      </c>
      <c r="CN47" s="3" t="s">
        <v>623</v>
      </c>
      <c r="CO47" s="3">
        <v>0</v>
      </c>
      <c r="CP47" s="3">
        <f t="shared" si="41"/>
        <v>398725.45999999996</v>
      </c>
      <c r="CQ47" s="3">
        <f t="shared" si="42"/>
        <v>0</v>
      </c>
      <c r="CR47" s="3">
        <f>(ROUND((ROUND(((((ET47*1.2)*0.3))*AV47*1),2)*BB47),2)+ROUND((ROUND(((AE47-(((EU47*1.2)*0.3)))*AV47*1),2)*BS47),2))</f>
        <v>25.25</v>
      </c>
      <c r="CS47" s="3">
        <f>(ROUND((ROUND(((((EU47*1.2)*0.3))*AV47*1),2)*BS47),2)+ROUND((ROUND(((AE47-(((EU47*1.2)*0.3)))*AV47*1),2)*BS47),2))</f>
        <v>0</v>
      </c>
      <c r="CT47" s="3">
        <f t="shared" si="45"/>
        <v>8737.6299999999992</v>
      </c>
      <c r="CU47" s="3">
        <f t="shared" si="46"/>
        <v>0</v>
      </c>
      <c r="CV47" s="3">
        <f t="shared" si="47"/>
        <v>13.045201199999997</v>
      </c>
      <c r="CW47" s="3">
        <f t="shared" si="48"/>
        <v>0</v>
      </c>
      <c r="CX47" s="3">
        <f t="shared" si="49"/>
        <v>0</v>
      </c>
      <c r="CY47" s="3">
        <f>(ROUND((((S47+ROUND((ROUND(((((EU47*1.2)*0.3))*AV47*1),2)*BS47),2))*AT47)/100),2)+ROUND(((ROUND((ROUND(((AE47-(((EU47*1.2)*0.3)))*AV47*1),2)*BS47),2)*AT47)/100),2))</f>
        <v>357817.15</v>
      </c>
      <c r="CZ47" s="3">
        <f>(ROUND((((S47+ROUND((ROUND(((((EU47*1.2)*0.3))*AV47*1),2)*BS47),2))*AU47)/100),2)+ROUND(((ROUND((ROUND(((AE47-(((EU47*1.2)*0.3)))*AV47*1),2)*BS47),2)*AU47)/100),2))</f>
        <v>182884.32</v>
      </c>
      <c r="DB47" s="3">
        <v>37</v>
      </c>
      <c r="DC47" s="3" t="s">
        <v>3</v>
      </c>
      <c r="DD47" s="3" t="s">
        <v>29</v>
      </c>
      <c r="DE47" s="3" t="s">
        <v>30</v>
      </c>
      <c r="DF47" s="3" t="s">
        <v>30</v>
      </c>
      <c r="DG47" s="3" t="s">
        <v>30</v>
      </c>
      <c r="DH47" s="3" t="s">
        <v>3</v>
      </c>
      <c r="DI47" s="3" t="s">
        <v>30</v>
      </c>
      <c r="DJ47" s="3" t="s">
        <v>30</v>
      </c>
      <c r="DK47" s="3" t="s">
        <v>3</v>
      </c>
      <c r="DL47" s="3" t="s">
        <v>3</v>
      </c>
      <c r="DM47" s="3" t="s">
        <v>3</v>
      </c>
      <c r="DN47" s="3">
        <v>0</v>
      </c>
      <c r="DO47" s="3">
        <v>0</v>
      </c>
      <c r="DP47" s="3">
        <v>1</v>
      </c>
      <c r="DQ47" s="3">
        <v>1</v>
      </c>
      <c r="DU47" s="3">
        <v>1003</v>
      </c>
      <c r="DV47" s="3" t="s">
        <v>68</v>
      </c>
      <c r="DW47" s="3" t="s">
        <v>68</v>
      </c>
      <c r="DX47" s="3">
        <v>100</v>
      </c>
      <c r="DZ47" s="3" t="s">
        <v>3</v>
      </c>
      <c r="EA47" s="3" t="s">
        <v>3</v>
      </c>
      <c r="EB47" s="3" t="s">
        <v>3</v>
      </c>
      <c r="EC47" s="3" t="s">
        <v>3</v>
      </c>
      <c r="EE47" s="3">
        <v>57042958</v>
      </c>
      <c r="EF47" s="3">
        <v>40</v>
      </c>
      <c r="EG47" s="3" t="s">
        <v>31</v>
      </c>
      <c r="EH47" s="3">
        <v>0</v>
      </c>
      <c r="EI47" s="3" t="s">
        <v>3</v>
      </c>
      <c r="EJ47" s="3">
        <v>2</v>
      </c>
      <c r="EK47" s="3">
        <v>68</v>
      </c>
      <c r="EL47" s="3" t="s">
        <v>32</v>
      </c>
      <c r="EM47" s="3" t="s">
        <v>33</v>
      </c>
      <c r="EO47" s="3" t="s">
        <v>34</v>
      </c>
      <c r="EQ47" s="3">
        <v>0</v>
      </c>
      <c r="ER47" s="3">
        <v>441.78</v>
      </c>
      <c r="ES47" s="3">
        <v>23.39</v>
      </c>
      <c r="ET47" s="3">
        <v>6.99</v>
      </c>
      <c r="EU47" s="3">
        <v>0</v>
      </c>
      <c r="EV47" s="3">
        <v>411.4</v>
      </c>
      <c r="EW47" s="3">
        <v>34.61</v>
      </c>
      <c r="EX47" s="3">
        <v>0</v>
      </c>
      <c r="EY47" s="3">
        <v>0</v>
      </c>
      <c r="FQ47" s="3">
        <v>0</v>
      </c>
      <c r="FR47" s="3">
        <v>0</v>
      </c>
      <c r="FS47" s="3">
        <v>0</v>
      </c>
      <c r="FX47" s="3">
        <v>90</v>
      </c>
      <c r="FY47" s="3">
        <v>46</v>
      </c>
      <c r="GA47" s="3" t="s">
        <v>3</v>
      </c>
      <c r="GD47" s="3">
        <v>1</v>
      </c>
      <c r="GF47" s="3">
        <v>-63843540</v>
      </c>
      <c r="GG47" s="3">
        <v>2</v>
      </c>
      <c r="GH47" s="3">
        <v>1</v>
      </c>
      <c r="GI47" s="3">
        <v>2</v>
      </c>
      <c r="GJ47" s="3">
        <v>0</v>
      </c>
      <c r="GK47" s="3">
        <v>0</v>
      </c>
      <c r="GL47" s="3">
        <f t="shared" si="52"/>
        <v>0</v>
      </c>
      <c r="GM47" s="3">
        <f t="shared" si="53"/>
        <v>939426.93</v>
      </c>
      <c r="GN47" s="3">
        <f t="shared" si="54"/>
        <v>0</v>
      </c>
      <c r="GO47" s="3">
        <f t="shared" si="55"/>
        <v>939426.93</v>
      </c>
      <c r="GP47" s="3">
        <f t="shared" si="56"/>
        <v>0</v>
      </c>
      <c r="GR47" s="3">
        <v>0</v>
      </c>
      <c r="GS47" s="3">
        <v>3</v>
      </c>
      <c r="GT47" s="3">
        <v>0</v>
      </c>
      <c r="GU47" s="3" t="s">
        <v>3</v>
      </c>
      <c r="GV47" s="3">
        <f t="shared" si="57"/>
        <v>0</v>
      </c>
      <c r="GW47" s="3">
        <v>1</v>
      </c>
      <c r="GX47" s="3">
        <f t="shared" si="58"/>
        <v>0</v>
      </c>
      <c r="HA47" s="3">
        <v>0</v>
      </c>
      <c r="HB47" s="3">
        <v>0</v>
      </c>
      <c r="HC47" s="3">
        <f t="shared" si="59"/>
        <v>0</v>
      </c>
      <c r="HE47" s="3" t="s">
        <v>3</v>
      </c>
      <c r="HF47" s="3" t="s">
        <v>3</v>
      </c>
      <c r="HM47" s="3" t="s">
        <v>3</v>
      </c>
      <c r="HN47" s="3" t="s">
        <v>3</v>
      </c>
      <c r="HO47" s="3" t="s">
        <v>3</v>
      </c>
      <c r="HP47" s="3" t="s">
        <v>3</v>
      </c>
      <c r="HQ47" s="3" t="s">
        <v>3</v>
      </c>
      <c r="HS47" s="3">
        <v>0</v>
      </c>
      <c r="IK47" s="3">
        <v>0</v>
      </c>
    </row>
    <row r="48" spans="1:255" x14ac:dyDescent="0.25">
      <c r="A48" s="2">
        <v>17</v>
      </c>
      <c r="B48" s="2">
        <v>1</v>
      </c>
      <c r="C48" s="2">
        <f>ROW(SmtRes!A74)</f>
        <v>74</v>
      </c>
      <c r="D48" s="2">
        <f>ROW(EtalonRes!A94)</f>
        <v>94</v>
      </c>
      <c r="E48" s="2" t="s">
        <v>3</v>
      </c>
      <c r="F48" s="2" t="s">
        <v>80</v>
      </c>
      <c r="G48" s="2" t="s">
        <v>81</v>
      </c>
      <c r="H48" s="2" t="s">
        <v>68</v>
      </c>
      <c r="I48" s="2">
        <f>ROUND(4550/100,9)</f>
        <v>45.5</v>
      </c>
      <c r="J48" s="2">
        <v>0</v>
      </c>
      <c r="K48" s="2">
        <f>ROUND(4550/100,9)</f>
        <v>45.5</v>
      </c>
      <c r="L48" s="2"/>
      <c r="M48" s="2"/>
      <c r="N48" s="2"/>
      <c r="O48" s="2">
        <f t="shared" si="21"/>
        <v>18306.330000000002</v>
      </c>
      <c r="P48" s="2">
        <f t="shared" si="22"/>
        <v>0</v>
      </c>
      <c r="Q48" s="2">
        <f>(ROUND((ROUND((((ET48*1.2))*AV48*I48),2)*BB48),2)+ROUND((ROUND(((AE48-((EU48*1.2)))*AV48*I48),2)*BS48),2))</f>
        <v>0</v>
      </c>
      <c r="R48" s="2">
        <f>(ROUND((ROUND((((EU48*1.2))*AV48*I48),2)*BS48),2)+ROUND((ROUND(((AE48-((EU48*1.2)))*AV48*I48),2)*BS48),2))</f>
        <v>0</v>
      </c>
      <c r="S48" s="2">
        <f t="shared" si="25"/>
        <v>18306.330000000002</v>
      </c>
      <c r="T48" s="2">
        <f t="shared" si="26"/>
        <v>0</v>
      </c>
      <c r="U48" s="2">
        <f t="shared" si="27"/>
        <v>1740.1391279999996</v>
      </c>
      <c r="V48" s="2">
        <f t="shared" si="28"/>
        <v>0</v>
      </c>
      <c r="W48" s="2">
        <f t="shared" si="29"/>
        <v>0</v>
      </c>
      <c r="X48" s="2">
        <f>(ROUND((((S48+ROUND((ROUND((((EU48*1.2))*AV48*I48),2)*BS48),2))*AT48)/100),2)+ROUND(((ROUND((ROUND(((AE48-((EU48*1.2)))*AV48*I48),2)*BS48),2)*AT48)/100),2))</f>
        <v>16658.759999999998</v>
      </c>
      <c r="Y48" s="2">
        <f>(ROUND((((S48+ROUND((ROUND((((EU48*1.2))*AV48*I48),2)*BS48),2))*AU48)/100),2)+ROUND(((ROUND((ROUND(((AE48-((EU48*1.2)))*AV48*I48),2)*BS48),2)*AU48)/100),2))</f>
        <v>8787.0400000000009</v>
      </c>
      <c r="Z48" s="2"/>
      <c r="AA48" s="2">
        <v>-1</v>
      </c>
      <c r="AB48" s="2">
        <f t="shared" si="32"/>
        <v>384.27600000000001</v>
      </c>
      <c r="AC48" s="2">
        <f>ROUND(((ES48*1)),6)</f>
        <v>0</v>
      </c>
      <c r="AD48" s="2">
        <f>ROUND(((((ET48*1.2))-((EU48*1.2)))+AE48),6)</f>
        <v>0</v>
      </c>
      <c r="AE48" s="2">
        <f>ROUND(((EU48*1.2)),6)</f>
        <v>0</v>
      </c>
      <c r="AF48" s="2">
        <f>ROUND(((EV48*1.2)),6)</f>
        <v>384.27600000000001</v>
      </c>
      <c r="AG48" s="2">
        <f t="shared" si="37"/>
        <v>0</v>
      </c>
      <c r="AH48" s="2">
        <f>((EW48*1.2))</f>
        <v>36.527999999999999</v>
      </c>
      <c r="AI48" s="2">
        <f>((EX48*1.2))</f>
        <v>0</v>
      </c>
      <c r="AJ48" s="2">
        <f t="shared" si="40"/>
        <v>0</v>
      </c>
      <c r="AK48" s="2">
        <v>320.23</v>
      </c>
      <c r="AL48" s="2">
        <v>0</v>
      </c>
      <c r="AM48" s="2">
        <v>0</v>
      </c>
      <c r="AN48" s="2">
        <v>0</v>
      </c>
      <c r="AO48" s="2">
        <v>320.23</v>
      </c>
      <c r="AP48" s="2">
        <v>0</v>
      </c>
      <c r="AQ48" s="2">
        <v>30.44</v>
      </c>
      <c r="AR48" s="2">
        <v>0</v>
      </c>
      <c r="AS48" s="2">
        <v>0</v>
      </c>
      <c r="AT48" s="2">
        <v>91</v>
      </c>
      <c r="AU48" s="2">
        <v>48</v>
      </c>
      <c r="AV48" s="2">
        <v>1.0469999999999999</v>
      </c>
      <c r="AW48" s="2">
        <v>1</v>
      </c>
      <c r="AX48" s="2"/>
      <c r="AY48" s="2"/>
      <c r="AZ48" s="2">
        <v>1</v>
      </c>
      <c r="BA48" s="2">
        <v>1</v>
      </c>
      <c r="BB48" s="2">
        <v>1</v>
      </c>
      <c r="BC48" s="2">
        <v>1</v>
      </c>
      <c r="BD48" s="2" t="s">
        <v>3</v>
      </c>
      <c r="BE48" s="2" t="s">
        <v>3</v>
      </c>
      <c r="BF48" s="2" t="s">
        <v>3</v>
      </c>
      <c r="BG48" s="2" t="s">
        <v>3</v>
      </c>
      <c r="BH48" s="2">
        <v>0</v>
      </c>
      <c r="BI48" s="2">
        <v>1</v>
      </c>
      <c r="BJ48" s="2" t="s">
        <v>82</v>
      </c>
      <c r="BK48" s="2"/>
      <c r="BL48" s="2"/>
      <c r="BM48" s="2">
        <v>106</v>
      </c>
      <c r="BN48" s="2">
        <v>0</v>
      </c>
      <c r="BO48" s="2" t="s">
        <v>80</v>
      </c>
      <c r="BP48" s="2">
        <v>1</v>
      </c>
      <c r="BQ48" s="2">
        <v>60</v>
      </c>
      <c r="BR48" s="2">
        <v>0</v>
      </c>
      <c r="BS48" s="2">
        <v>1</v>
      </c>
      <c r="BT48" s="2">
        <v>1</v>
      </c>
      <c r="BU48" s="2">
        <v>1</v>
      </c>
      <c r="BV48" s="2">
        <v>1</v>
      </c>
      <c r="BW48" s="2">
        <v>1</v>
      </c>
      <c r="BX48" s="2">
        <v>1</v>
      </c>
      <c r="BY48" s="2" t="s">
        <v>3</v>
      </c>
      <c r="BZ48" s="2">
        <v>91</v>
      </c>
      <c r="CA48" s="2">
        <v>48</v>
      </c>
      <c r="CB48" s="2" t="s">
        <v>3</v>
      </c>
      <c r="CC48" s="2"/>
      <c r="CD48" s="2"/>
      <c r="CE48" s="2">
        <v>1566</v>
      </c>
      <c r="CF48" s="2">
        <v>0</v>
      </c>
      <c r="CG48" s="2">
        <v>0</v>
      </c>
      <c r="CH48" s="2"/>
      <c r="CI48" s="2"/>
      <c r="CJ48" s="2"/>
      <c r="CK48" s="2"/>
      <c r="CL48" s="2"/>
      <c r="CM48" s="2">
        <v>0</v>
      </c>
      <c r="CN48" s="2" t="s">
        <v>624</v>
      </c>
      <c r="CO48" s="2">
        <v>0</v>
      </c>
      <c r="CP48" s="2">
        <f t="shared" si="41"/>
        <v>18306.330000000002</v>
      </c>
      <c r="CQ48" s="2">
        <f t="shared" si="42"/>
        <v>0</v>
      </c>
      <c r="CR48" s="2">
        <f>(ROUND((ROUND((((ET48*1.2))*AV48*1),2)*BB48),2)+ROUND((ROUND(((AE48-((EU48*1.2)))*AV48*1),2)*BS48),2))</f>
        <v>0</v>
      </c>
      <c r="CS48" s="2">
        <f>(ROUND((ROUND((((EU48*1.2))*AV48*1),2)*BS48),2)+ROUND((ROUND(((AE48-((EU48*1.2)))*AV48*1),2)*BS48),2))</f>
        <v>0</v>
      </c>
      <c r="CT48" s="2">
        <f t="shared" si="45"/>
        <v>402.34</v>
      </c>
      <c r="CU48" s="2">
        <f t="shared" si="46"/>
        <v>0</v>
      </c>
      <c r="CV48" s="2">
        <f t="shared" si="47"/>
        <v>38.244815999999993</v>
      </c>
      <c r="CW48" s="2">
        <f t="shared" si="48"/>
        <v>0</v>
      </c>
      <c r="CX48" s="2">
        <f t="shared" si="49"/>
        <v>0</v>
      </c>
      <c r="CY48" s="2">
        <f>(ROUND((((S48+ROUND((ROUND((((EU48*1.2))*AV48*1),2)*BS48),2))*AT48)/100),2)+ROUND(((ROUND((ROUND(((AE48-((EU48*1.2)))*AV48*1),2)*BS48),2)*AT48)/100),2))</f>
        <v>16658.759999999998</v>
      </c>
      <c r="CZ48" s="2">
        <f>(ROUND((((S48+ROUND((ROUND((((EU48*1.2))*AV48*1),2)*BS48),2))*AU48)/100),2)+ROUND(((ROUND((ROUND(((AE48-((EU48*1.2)))*AV48*1),2)*BS48),2)*AU48)/100),2))</f>
        <v>8787.0400000000009</v>
      </c>
      <c r="DA48" s="2"/>
      <c r="DB48" s="2">
        <v>39</v>
      </c>
      <c r="DC48" s="2" t="s">
        <v>3</v>
      </c>
      <c r="DD48" s="2" t="s">
        <v>70</v>
      </c>
      <c r="DE48" s="2" t="s">
        <v>71</v>
      </c>
      <c r="DF48" s="2" t="s">
        <v>71</v>
      </c>
      <c r="DG48" s="2" t="s">
        <v>71</v>
      </c>
      <c r="DH48" s="2" t="s">
        <v>3</v>
      </c>
      <c r="DI48" s="2" t="s">
        <v>71</v>
      </c>
      <c r="DJ48" s="2" t="s">
        <v>71</v>
      </c>
      <c r="DK48" s="2" t="s">
        <v>3</v>
      </c>
      <c r="DL48" s="2" t="s">
        <v>3</v>
      </c>
      <c r="DM48" s="2" t="s">
        <v>3</v>
      </c>
      <c r="DN48" s="2">
        <v>0</v>
      </c>
      <c r="DO48" s="2">
        <v>0</v>
      </c>
      <c r="DP48" s="2">
        <v>1</v>
      </c>
      <c r="DQ48" s="2">
        <v>1</v>
      </c>
      <c r="DR48" s="2"/>
      <c r="DS48" s="2"/>
      <c r="DT48" s="2"/>
      <c r="DU48" s="2">
        <v>1003</v>
      </c>
      <c r="DV48" s="2" t="s">
        <v>68</v>
      </c>
      <c r="DW48" s="2" t="s">
        <v>68</v>
      </c>
      <c r="DX48" s="2">
        <v>100</v>
      </c>
      <c r="DY48" s="2"/>
      <c r="DZ48" s="2" t="s">
        <v>3</v>
      </c>
      <c r="EA48" s="2" t="s">
        <v>3</v>
      </c>
      <c r="EB48" s="2" t="s">
        <v>3</v>
      </c>
      <c r="EC48" s="2" t="s">
        <v>3</v>
      </c>
      <c r="ED48" s="2"/>
      <c r="EE48" s="2">
        <v>57042996</v>
      </c>
      <c r="EF48" s="2">
        <v>60</v>
      </c>
      <c r="EG48" s="2" t="s">
        <v>72</v>
      </c>
      <c r="EH48" s="2">
        <v>0</v>
      </c>
      <c r="EI48" s="2" t="s">
        <v>3</v>
      </c>
      <c r="EJ48" s="2">
        <v>1</v>
      </c>
      <c r="EK48" s="2">
        <v>106</v>
      </c>
      <c r="EL48" s="2" t="s">
        <v>73</v>
      </c>
      <c r="EM48" s="2" t="s">
        <v>74</v>
      </c>
      <c r="EN48" s="2"/>
      <c r="EO48" s="2" t="s">
        <v>75</v>
      </c>
      <c r="EP48" s="2"/>
      <c r="EQ48" s="2">
        <v>1024</v>
      </c>
      <c r="ER48" s="2">
        <v>320.23</v>
      </c>
      <c r="ES48" s="2">
        <v>0</v>
      </c>
      <c r="ET48" s="2">
        <v>0</v>
      </c>
      <c r="EU48" s="2">
        <v>0</v>
      </c>
      <c r="EV48" s="2">
        <v>320.23</v>
      </c>
      <c r="EW48" s="2">
        <v>30.44</v>
      </c>
      <c r="EX48" s="2">
        <v>0</v>
      </c>
      <c r="EY48" s="2">
        <v>0</v>
      </c>
      <c r="EZ48" s="2"/>
      <c r="FA48" s="2"/>
      <c r="FB48" s="2"/>
      <c r="FC48" s="2"/>
      <c r="FD48" s="2"/>
      <c r="FE48" s="2"/>
      <c r="FF48" s="2"/>
      <c r="FG48" s="2"/>
      <c r="FH48" s="2"/>
      <c r="FI48" s="2"/>
      <c r="FJ48" s="2"/>
      <c r="FK48" s="2"/>
      <c r="FL48" s="2"/>
      <c r="FM48" s="2"/>
      <c r="FN48" s="2"/>
      <c r="FO48" s="2"/>
      <c r="FP48" s="2"/>
      <c r="FQ48" s="2">
        <v>0</v>
      </c>
      <c r="FR48" s="2">
        <v>0</v>
      </c>
      <c r="FS48" s="2">
        <v>0</v>
      </c>
      <c r="FT48" s="2"/>
      <c r="FU48" s="2"/>
      <c r="FV48" s="2"/>
      <c r="FW48" s="2"/>
      <c r="FX48" s="2">
        <v>91</v>
      </c>
      <c r="FY48" s="2">
        <v>48</v>
      </c>
      <c r="FZ48" s="2"/>
      <c r="GA48" s="2" t="s">
        <v>3</v>
      </c>
      <c r="GB48" s="2"/>
      <c r="GC48" s="2"/>
      <c r="GD48" s="2">
        <v>1</v>
      </c>
      <c r="GE48" s="2"/>
      <c r="GF48" s="2">
        <v>-1403822920</v>
      </c>
      <c r="GG48" s="2">
        <v>2</v>
      </c>
      <c r="GH48" s="2">
        <v>1</v>
      </c>
      <c r="GI48" s="2">
        <v>2</v>
      </c>
      <c r="GJ48" s="2">
        <v>0</v>
      </c>
      <c r="GK48" s="2">
        <v>0</v>
      </c>
      <c r="GL48" s="2">
        <f t="shared" si="52"/>
        <v>0</v>
      </c>
      <c r="GM48" s="2">
        <f t="shared" si="53"/>
        <v>43752.13</v>
      </c>
      <c r="GN48" s="2">
        <f t="shared" si="54"/>
        <v>43752.13</v>
      </c>
      <c r="GO48" s="2">
        <f t="shared" si="55"/>
        <v>0</v>
      </c>
      <c r="GP48" s="2">
        <f t="shared" si="56"/>
        <v>0</v>
      </c>
      <c r="GQ48" s="2"/>
      <c r="GR48" s="2">
        <v>0</v>
      </c>
      <c r="GS48" s="2">
        <v>3</v>
      </c>
      <c r="GT48" s="2">
        <v>0</v>
      </c>
      <c r="GU48" s="2" t="s">
        <v>3</v>
      </c>
      <c r="GV48" s="2">
        <f t="shared" si="57"/>
        <v>0</v>
      </c>
      <c r="GW48" s="2">
        <v>1</v>
      </c>
      <c r="GX48" s="2">
        <f t="shared" si="58"/>
        <v>0</v>
      </c>
      <c r="GY48" s="2"/>
      <c r="GZ48" s="2"/>
      <c r="HA48" s="2">
        <v>0</v>
      </c>
      <c r="HB48" s="2">
        <v>0</v>
      </c>
      <c r="HC48" s="2">
        <f t="shared" si="59"/>
        <v>0</v>
      </c>
      <c r="HD48" s="2"/>
      <c r="HE48" s="2" t="s">
        <v>3</v>
      </c>
      <c r="HF48" s="2" t="s">
        <v>3</v>
      </c>
      <c r="HG48" s="2"/>
      <c r="HH48" s="2"/>
      <c r="HI48" s="2"/>
      <c r="HJ48" s="2"/>
      <c r="HK48" s="2"/>
      <c r="HL48" s="2"/>
      <c r="HM48" s="2" t="s">
        <v>3</v>
      </c>
      <c r="HN48" s="2" t="s">
        <v>3</v>
      </c>
      <c r="HO48" s="2" t="s">
        <v>3</v>
      </c>
      <c r="HP48" s="2" t="s">
        <v>3</v>
      </c>
      <c r="HQ48" s="2" t="s">
        <v>3</v>
      </c>
      <c r="HR48" s="2"/>
      <c r="HS48" s="2">
        <v>0</v>
      </c>
      <c r="HT48" s="2"/>
      <c r="HU48" s="2"/>
      <c r="HV48" s="2"/>
      <c r="HW48" s="2"/>
      <c r="HX48" s="2"/>
      <c r="HY48" s="2"/>
      <c r="HZ48" s="2"/>
      <c r="IA48" s="2"/>
      <c r="IB48" s="2"/>
      <c r="IC48" s="2"/>
      <c r="ID48" s="2"/>
      <c r="IE48" s="2"/>
      <c r="IF48" s="2"/>
      <c r="IG48" s="2"/>
      <c r="IH48" s="2"/>
      <c r="II48" s="2"/>
      <c r="IJ48" s="2"/>
      <c r="IK48" s="2">
        <v>0</v>
      </c>
      <c r="IL48" s="2"/>
      <c r="IM48" s="2"/>
      <c r="IN48" s="2"/>
      <c r="IO48" s="2"/>
      <c r="IP48" s="2"/>
      <c r="IQ48" s="2"/>
      <c r="IR48" s="2"/>
      <c r="IS48" s="2"/>
      <c r="IT48" s="2"/>
      <c r="IU48" s="2"/>
    </row>
    <row r="49" spans="1:255" x14ac:dyDescent="0.25">
      <c r="A49" s="3">
        <v>17</v>
      </c>
      <c r="B49" s="3">
        <v>1</v>
      </c>
      <c r="C49" s="3">
        <f>ROW(SmtRes!A76)</f>
        <v>76</v>
      </c>
      <c r="D49" s="3">
        <f>ROW(EtalonRes!A96)</f>
        <v>96</v>
      </c>
      <c r="E49" s="3" t="s">
        <v>3</v>
      </c>
      <c r="F49" s="3" t="s">
        <v>80</v>
      </c>
      <c r="G49" s="3" t="s">
        <v>81</v>
      </c>
      <c r="H49" s="3" t="s">
        <v>68</v>
      </c>
      <c r="I49" s="3">
        <f>ROUND(4550/100,9)</f>
        <v>45.5</v>
      </c>
      <c r="J49" s="3">
        <v>0</v>
      </c>
      <c r="K49" s="3">
        <f>ROUND(4550/100,9)</f>
        <v>45.5</v>
      </c>
      <c r="O49" s="3">
        <f t="shared" si="21"/>
        <v>1031561.7</v>
      </c>
      <c r="P49" s="3">
        <f t="shared" si="22"/>
        <v>0</v>
      </c>
      <c r="Q49" s="3">
        <f>(ROUND((ROUND((((ET49*1.2))*AV49*I49),2)*BB49),2)+ROUND((ROUND(((AE49-((EU49*1.2)))*AV49*I49),2)*BS49),2))</f>
        <v>0</v>
      </c>
      <c r="R49" s="3">
        <f>(ROUND((ROUND((((EU49*1.2))*AV49*I49),2)*BS49),2)+ROUND((ROUND(((AE49-((EU49*1.2)))*AV49*I49),2)*BS49),2))</f>
        <v>0</v>
      </c>
      <c r="S49" s="3">
        <f t="shared" si="25"/>
        <v>1031561.7</v>
      </c>
      <c r="T49" s="3">
        <f t="shared" si="26"/>
        <v>0</v>
      </c>
      <c r="U49" s="3">
        <f t="shared" si="27"/>
        <v>1740.1391279999996</v>
      </c>
      <c r="V49" s="3">
        <f t="shared" si="28"/>
        <v>0</v>
      </c>
      <c r="W49" s="3">
        <f t="shared" si="29"/>
        <v>0</v>
      </c>
      <c r="X49" s="3">
        <f>(ROUND((((S49+ROUND((ROUND((((EU49*1.2))*AV49*I49),2)*BS49),2))*AT49)/100),2)+ROUND(((ROUND((ROUND(((AE49-((EU49*1.2)))*AV49*I49),2)*BS49),2)*AT49)/100),2))</f>
        <v>938721.15</v>
      </c>
      <c r="Y49" s="3">
        <f>(ROUND((((S49+ROUND((ROUND((((EU49*1.2))*AV49*I49),2)*BS49),2))*AU49)/100),2)+ROUND(((ROUND((ROUND(((AE49-((EU49*1.2)))*AV49*I49),2)*BS49),2)*AU49)/100),2))</f>
        <v>495149.62</v>
      </c>
      <c r="AA49" s="3">
        <v>-1</v>
      </c>
      <c r="AB49" s="3">
        <f t="shared" si="32"/>
        <v>384.27600000000001</v>
      </c>
      <c r="AC49" s="3">
        <f>ROUND(((ES49*1)),6)</f>
        <v>0</v>
      </c>
      <c r="AD49" s="3">
        <f>ROUND(((((ET49*1.2))-((EU49*1.2)))+AE49),6)</f>
        <v>0</v>
      </c>
      <c r="AE49" s="3">
        <f>ROUND(((EU49*1.2)),6)</f>
        <v>0</v>
      </c>
      <c r="AF49" s="3">
        <f>ROUND(((EV49*1.2)),6)</f>
        <v>384.27600000000001</v>
      </c>
      <c r="AG49" s="3">
        <f t="shared" si="37"/>
        <v>0</v>
      </c>
      <c r="AH49" s="3">
        <f>((EW49*1.2))</f>
        <v>36.527999999999999</v>
      </c>
      <c r="AI49" s="3">
        <f>((EX49*1.2))</f>
        <v>0</v>
      </c>
      <c r="AJ49" s="3">
        <f t="shared" si="40"/>
        <v>0</v>
      </c>
      <c r="AK49" s="3">
        <v>320.23</v>
      </c>
      <c r="AL49" s="3">
        <v>0</v>
      </c>
      <c r="AM49" s="3">
        <v>0</v>
      </c>
      <c r="AN49" s="3">
        <v>0</v>
      </c>
      <c r="AO49" s="3">
        <v>320.23</v>
      </c>
      <c r="AP49" s="3">
        <v>0</v>
      </c>
      <c r="AQ49" s="3">
        <v>30.44</v>
      </c>
      <c r="AR49" s="3">
        <v>0</v>
      </c>
      <c r="AS49" s="3">
        <v>0</v>
      </c>
      <c r="AT49" s="3">
        <v>91</v>
      </c>
      <c r="AU49" s="3">
        <v>48</v>
      </c>
      <c r="AV49" s="3">
        <v>1.0469999999999999</v>
      </c>
      <c r="AW49" s="3">
        <v>1</v>
      </c>
      <c r="AZ49" s="3">
        <v>1</v>
      </c>
      <c r="BA49" s="3">
        <v>56.35</v>
      </c>
      <c r="BB49" s="3">
        <v>1</v>
      </c>
      <c r="BC49" s="3">
        <v>1</v>
      </c>
      <c r="BD49" s="3" t="s">
        <v>3</v>
      </c>
      <c r="BE49" s="3" t="s">
        <v>3</v>
      </c>
      <c r="BF49" s="3" t="s">
        <v>3</v>
      </c>
      <c r="BG49" s="3" t="s">
        <v>3</v>
      </c>
      <c r="BH49" s="3">
        <v>0</v>
      </c>
      <c r="BI49" s="3">
        <v>1</v>
      </c>
      <c r="BJ49" s="3" t="s">
        <v>82</v>
      </c>
      <c r="BM49" s="3">
        <v>106</v>
      </c>
      <c r="BN49" s="3">
        <v>0</v>
      </c>
      <c r="BO49" s="3" t="s">
        <v>80</v>
      </c>
      <c r="BP49" s="3">
        <v>1</v>
      </c>
      <c r="BQ49" s="3">
        <v>60</v>
      </c>
      <c r="BR49" s="3">
        <v>0</v>
      </c>
      <c r="BS49" s="3">
        <v>56.35</v>
      </c>
      <c r="BT49" s="3">
        <v>1</v>
      </c>
      <c r="BU49" s="3">
        <v>1</v>
      </c>
      <c r="BV49" s="3">
        <v>1</v>
      </c>
      <c r="BW49" s="3">
        <v>1</v>
      </c>
      <c r="BX49" s="3">
        <v>1</v>
      </c>
      <c r="BY49" s="3" t="s">
        <v>3</v>
      </c>
      <c r="BZ49" s="3">
        <v>91</v>
      </c>
      <c r="CA49" s="3">
        <v>48</v>
      </c>
      <c r="CB49" s="3" t="s">
        <v>3</v>
      </c>
      <c r="CE49" s="3">
        <v>1566</v>
      </c>
      <c r="CF49" s="3">
        <v>0</v>
      </c>
      <c r="CG49" s="3">
        <v>0</v>
      </c>
      <c r="CM49" s="3">
        <v>0</v>
      </c>
      <c r="CN49" s="3" t="s">
        <v>624</v>
      </c>
      <c r="CO49" s="3">
        <v>0</v>
      </c>
      <c r="CP49" s="3">
        <f t="shared" si="41"/>
        <v>1031561.7</v>
      </c>
      <c r="CQ49" s="3">
        <f t="shared" si="42"/>
        <v>0</v>
      </c>
      <c r="CR49" s="3">
        <f>(ROUND((ROUND((((ET49*1.2))*AV49*1),2)*BB49),2)+ROUND((ROUND(((AE49-((EU49*1.2)))*AV49*1),2)*BS49),2))</f>
        <v>0</v>
      </c>
      <c r="CS49" s="3">
        <f>(ROUND((ROUND((((EU49*1.2))*AV49*1),2)*BS49),2)+ROUND((ROUND(((AE49-((EU49*1.2)))*AV49*1),2)*BS49),2))</f>
        <v>0</v>
      </c>
      <c r="CT49" s="3">
        <f t="shared" si="45"/>
        <v>22671.86</v>
      </c>
      <c r="CU49" s="3">
        <f t="shared" si="46"/>
        <v>0</v>
      </c>
      <c r="CV49" s="3">
        <f t="shared" si="47"/>
        <v>38.244815999999993</v>
      </c>
      <c r="CW49" s="3">
        <f t="shared" si="48"/>
        <v>0</v>
      </c>
      <c r="CX49" s="3">
        <f t="shared" si="49"/>
        <v>0</v>
      </c>
      <c r="CY49" s="3">
        <f>(ROUND((((S49+ROUND((ROUND((((EU49*1.2))*AV49*1),2)*BS49),2))*AT49)/100),2)+ROUND(((ROUND((ROUND(((AE49-((EU49*1.2)))*AV49*1),2)*BS49),2)*AT49)/100),2))</f>
        <v>938721.15</v>
      </c>
      <c r="CZ49" s="3">
        <f>(ROUND((((S49+ROUND((ROUND((((EU49*1.2))*AV49*1),2)*BS49),2))*AU49)/100),2)+ROUND(((ROUND((ROUND(((AE49-((EU49*1.2)))*AV49*1),2)*BS49),2)*AU49)/100),2))</f>
        <v>495149.62</v>
      </c>
      <c r="DB49" s="3">
        <v>40</v>
      </c>
      <c r="DC49" s="3" t="s">
        <v>3</v>
      </c>
      <c r="DD49" s="3" t="s">
        <v>70</v>
      </c>
      <c r="DE49" s="3" t="s">
        <v>71</v>
      </c>
      <c r="DF49" s="3" t="s">
        <v>71</v>
      </c>
      <c r="DG49" s="3" t="s">
        <v>71</v>
      </c>
      <c r="DH49" s="3" t="s">
        <v>3</v>
      </c>
      <c r="DI49" s="3" t="s">
        <v>71</v>
      </c>
      <c r="DJ49" s="3" t="s">
        <v>71</v>
      </c>
      <c r="DK49" s="3" t="s">
        <v>3</v>
      </c>
      <c r="DL49" s="3" t="s">
        <v>3</v>
      </c>
      <c r="DM49" s="3" t="s">
        <v>3</v>
      </c>
      <c r="DN49" s="3">
        <v>0</v>
      </c>
      <c r="DO49" s="3">
        <v>0</v>
      </c>
      <c r="DP49" s="3">
        <v>1</v>
      </c>
      <c r="DQ49" s="3">
        <v>1</v>
      </c>
      <c r="DU49" s="3">
        <v>1003</v>
      </c>
      <c r="DV49" s="3" t="s">
        <v>68</v>
      </c>
      <c r="DW49" s="3" t="s">
        <v>68</v>
      </c>
      <c r="DX49" s="3">
        <v>100</v>
      </c>
      <c r="DZ49" s="3" t="s">
        <v>3</v>
      </c>
      <c r="EA49" s="3" t="s">
        <v>3</v>
      </c>
      <c r="EB49" s="3" t="s">
        <v>3</v>
      </c>
      <c r="EC49" s="3" t="s">
        <v>3</v>
      </c>
      <c r="EE49" s="3">
        <v>57042996</v>
      </c>
      <c r="EF49" s="3">
        <v>60</v>
      </c>
      <c r="EG49" s="3" t="s">
        <v>72</v>
      </c>
      <c r="EH49" s="3">
        <v>0</v>
      </c>
      <c r="EI49" s="3" t="s">
        <v>3</v>
      </c>
      <c r="EJ49" s="3">
        <v>1</v>
      </c>
      <c r="EK49" s="3">
        <v>106</v>
      </c>
      <c r="EL49" s="3" t="s">
        <v>73</v>
      </c>
      <c r="EM49" s="3" t="s">
        <v>74</v>
      </c>
      <c r="EO49" s="3" t="s">
        <v>75</v>
      </c>
      <c r="EQ49" s="3">
        <v>1024</v>
      </c>
      <c r="ER49" s="3">
        <v>320.23</v>
      </c>
      <c r="ES49" s="3">
        <v>0</v>
      </c>
      <c r="ET49" s="3">
        <v>0</v>
      </c>
      <c r="EU49" s="3">
        <v>0</v>
      </c>
      <c r="EV49" s="3">
        <v>320.23</v>
      </c>
      <c r="EW49" s="3">
        <v>30.44</v>
      </c>
      <c r="EX49" s="3">
        <v>0</v>
      </c>
      <c r="EY49" s="3">
        <v>0</v>
      </c>
      <c r="FQ49" s="3">
        <v>0</v>
      </c>
      <c r="FR49" s="3">
        <v>0</v>
      </c>
      <c r="FS49" s="3">
        <v>0</v>
      </c>
      <c r="FX49" s="3">
        <v>91</v>
      </c>
      <c r="FY49" s="3">
        <v>48</v>
      </c>
      <c r="GA49" s="3" t="s">
        <v>3</v>
      </c>
      <c r="GD49" s="3">
        <v>1</v>
      </c>
      <c r="GF49" s="3">
        <v>-1403822920</v>
      </c>
      <c r="GG49" s="3">
        <v>2</v>
      </c>
      <c r="GH49" s="3">
        <v>1</v>
      </c>
      <c r="GI49" s="3">
        <v>2</v>
      </c>
      <c r="GJ49" s="3">
        <v>0</v>
      </c>
      <c r="GK49" s="3">
        <v>0</v>
      </c>
      <c r="GL49" s="3">
        <f t="shared" si="52"/>
        <v>0</v>
      </c>
      <c r="GM49" s="3">
        <f t="shared" si="53"/>
        <v>2465432.4700000002</v>
      </c>
      <c r="GN49" s="3">
        <f t="shared" si="54"/>
        <v>2465432.4700000002</v>
      </c>
      <c r="GO49" s="3">
        <f t="shared" si="55"/>
        <v>0</v>
      </c>
      <c r="GP49" s="3">
        <f t="shared" si="56"/>
        <v>0</v>
      </c>
      <c r="GR49" s="3">
        <v>0</v>
      </c>
      <c r="GS49" s="3">
        <v>3</v>
      </c>
      <c r="GT49" s="3">
        <v>0</v>
      </c>
      <c r="GU49" s="3" t="s">
        <v>3</v>
      </c>
      <c r="GV49" s="3">
        <f t="shared" si="57"/>
        <v>0</v>
      </c>
      <c r="GW49" s="3">
        <v>1</v>
      </c>
      <c r="GX49" s="3">
        <f t="shared" si="58"/>
        <v>0</v>
      </c>
      <c r="HA49" s="3">
        <v>0</v>
      </c>
      <c r="HB49" s="3">
        <v>0</v>
      </c>
      <c r="HC49" s="3">
        <f t="shared" si="59"/>
        <v>0</v>
      </c>
      <c r="HE49" s="3" t="s">
        <v>3</v>
      </c>
      <c r="HF49" s="3" t="s">
        <v>3</v>
      </c>
      <c r="HM49" s="3" t="s">
        <v>3</v>
      </c>
      <c r="HN49" s="3" t="s">
        <v>3</v>
      </c>
      <c r="HO49" s="3" t="s">
        <v>3</v>
      </c>
      <c r="HP49" s="3" t="s">
        <v>3</v>
      </c>
      <c r="HQ49" s="3" t="s">
        <v>3</v>
      </c>
      <c r="HS49" s="3">
        <v>0</v>
      </c>
      <c r="IK49" s="3">
        <v>0</v>
      </c>
    </row>
    <row r="50" spans="1:255" x14ac:dyDescent="0.25">
      <c r="A50" s="2">
        <v>17</v>
      </c>
      <c r="B50" s="2">
        <v>1</v>
      </c>
      <c r="C50" s="2">
        <f>ROW(SmtRes!A81)</f>
        <v>81</v>
      </c>
      <c r="D50" s="2">
        <f>ROW(EtalonRes!A103)</f>
        <v>103</v>
      </c>
      <c r="E50" s="2" t="s">
        <v>83</v>
      </c>
      <c r="F50" s="2" t="s">
        <v>84</v>
      </c>
      <c r="G50" s="2" t="s">
        <v>85</v>
      </c>
      <c r="H50" s="2" t="s">
        <v>64</v>
      </c>
      <c r="I50" s="2">
        <f>ROUND((6+1+4)/100,9)</f>
        <v>0.11</v>
      </c>
      <c r="J50" s="2">
        <v>0</v>
      </c>
      <c r="K50" s="2">
        <f>ROUND((6+1+4)/100,9)</f>
        <v>0.11</v>
      </c>
      <c r="L50" s="2"/>
      <c r="M50" s="2"/>
      <c r="N50" s="2"/>
      <c r="O50" s="2">
        <f t="shared" si="21"/>
        <v>32.11</v>
      </c>
      <c r="P50" s="2">
        <f t="shared" si="22"/>
        <v>0</v>
      </c>
      <c r="Q50" s="2">
        <f>(ROUND((ROUND(((((ET50*1.2)*0.8))*AV50*I50),2)*BB50),2)+ROUND((ROUND(((AE50-(((EU50*1.2)*0.8)))*AV50*I50),2)*BS50),2))</f>
        <v>0.88</v>
      </c>
      <c r="R50" s="2">
        <f>(ROUND((ROUND(((((EU50*1.2)*0.8))*AV50*I50),2)*BS50),2)+ROUND((ROUND(((AE50-(((EU50*1.2)*0.8)))*AV50*I50),2)*BS50),2))</f>
        <v>0.03</v>
      </c>
      <c r="S50" s="2">
        <f t="shared" si="25"/>
        <v>31.23</v>
      </c>
      <c r="T50" s="2">
        <f t="shared" si="26"/>
        <v>0</v>
      </c>
      <c r="U50" s="2">
        <f t="shared" si="27"/>
        <v>2.7943449600000001</v>
      </c>
      <c r="V50" s="2">
        <f t="shared" si="28"/>
        <v>0</v>
      </c>
      <c r="W50" s="2">
        <f t="shared" si="29"/>
        <v>0</v>
      </c>
      <c r="X50" s="2">
        <f>(ROUND((((S50+ROUND((ROUND(((((EU50*1.2)*0.8))*AV50*I50),2)*BS50),2))*AT50)/100),2)+ROUND(((ROUND((ROUND(((AE50-(((EU50*1.2)*0.8)))*AV50*I50),2)*BS50),2)*AT50)/100),2))</f>
        <v>37.82</v>
      </c>
      <c r="Y50" s="2">
        <f>(ROUND((((S50+ROUND((ROUND(((((EU50*1.2)*0.8))*AV50*I50),2)*BS50),2))*AU50)/100),2)+ROUND(((ROUND((ROUND(((AE50-(((EU50*1.2)*0.8)))*AV50*I50),2)*BS50),2)*AU50)/100),2))</f>
        <v>22.51</v>
      </c>
      <c r="Z50" s="2"/>
      <c r="AA50" s="2">
        <v>57014138</v>
      </c>
      <c r="AB50" s="2">
        <f t="shared" si="32"/>
        <v>273.62880000000001</v>
      </c>
      <c r="AC50" s="2">
        <f>ROUND((((ES50*1)*0)),6)</f>
        <v>0</v>
      </c>
      <c r="AD50" s="2">
        <f>ROUND((((((ET50*1.2)*0.8))-(((EU50*1.2)*0.8)))+AE50),6)</f>
        <v>7.5072000000000001</v>
      </c>
      <c r="AE50" s="2">
        <f>ROUND((((EU50*1.2)*0.8)),6)</f>
        <v>0.24</v>
      </c>
      <c r="AF50" s="2">
        <f>ROUND((((EV50*1.2)*0.8)),6)</f>
        <v>266.1216</v>
      </c>
      <c r="AG50" s="2">
        <f t="shared" si="37"/>
        <v>0</v>
      </c>
      <c r="AH50" s="2">
        <f>(((EW50*1.2)*0.8))</f>
        <v>23.808</v>
      </c>
      <c r="AI50" s="2">
        <f>(((EX50*1.2)*0.8))</f>
        <v>0</v>
      </c>
      <c r="AJ50" s="2">
        <f t="shared" si="40"/>
        <v>0</v>
      </c>
      <c r="AK50" s="2">
        <v>641.07000000000005</v>
      </c>
      <c r="AL50" s="2">
        <v>356.04</v>
      </c>
      <c r="AM50" s="2">
        <v>7.82</v>
      </c>
      <c r="AN50" s="2">
        <v>0.25</v>
      </c>
      <c r="AO50" s="2">
        <v>277.20999999999998</v>
      </c>
      <c r="AP50" s="2">
        <v>0</v>
      </c>
      <c r="AQ50" s="2">
        <v>24.8</v>
      </c>
      <c r="AR50" s="2">
        <v>0</v>
      </c>
      <c r="AS50" s="2">
        <v>0</v>
      </c>
      <c r="AT50" s="2">
        <v>121</v>
      </c>
      <c r="AU50" s="2">
        <v>72</v>
      </c>
      <c r="AV50" s="2">
        <v>1.0669999999999999</v>
      </c>
      <c r="AW50" s="2">
        <v>1</v>
      </c>
      <c r="AX50" s="2"/>
      <c r="AY50" s="2"/>
      <c r="AZ50" s="2">
        <v>1</v>
      </c>
      <c r="BA50" s="2">
        <v>1</v>
      </c>
      <c r="BB50" s="2">
        <v>1</v>
      </c>
      <c r="BC50" s="2">
        <v>1</v>
      </c>
      <c r="BD50" s="2" t="s">
        <v>3</v>
      </c>
      <c r="BE50" s="2" t="s">
        <v>3</v>
      </c>
      <c r="BF50" s="2" t="s">
        <v>3</v>
      </c>
      <c r="BG50" s="2" t="s">
        <v>3</v>
      </c>
      <c r="BH50" s="2">
        <v>0</v>
      </c>
      <c r="BI50" s="2">
        <v>1</v>
      </c>
      <c r="BJ50" s="2" t="s">
        <v>86</v>
      </c>
      <c r="BK50" s="2"/>
      <c r="BL50" s="2"/>
      <c r="BM50" s="2">
        <v>22</v>
      </c>
      <c r="BN50" s="2">
        <v>0</v>
      </c>
      <c r="BO50" s="2" t="s">
        <v>84</v>
      </c>
      <c r="BP50" s="2">
        <v>1</v>
      </c>
      <c r="BQ50" s="2">
        <v>30</v>
      </c>
      <c r="BR50" s="2">
        <v>0</v>
      </c>
      <c r="BS50" s="2">
        <v>1</v>
      </c>
      <c r="BT50" s="2">
        <v>1</v>
      </c>
      <c r="BU50" s="2">
        <v>1</v>
      </c>
      <c r="BV50" s="2">
        <v>1</v>
      </c>
      <c r="BW50" s="2">
        <v>1</v>
      </c>
      <c r="BX50" s="2">
        <v>1</v>
      </c>
      <c r="BY50" s="2" t="s">
        <v>3</v>
      </c>
      <c r="BZ50" s="2">
        <v>121</v>
      </c>
      <c r="CA50" s="2">
        <v>72</v>
      </c>
      <c r="CB50" s="2" t="s">
        <v>3</v>
      </c>
      <c r="CC50" s="2"/>
      <c r="CD50" s="2"/>
      <c r="CE50" s="2">
        <v>1566</v>
      </c>
      <c r="CF50" s="2">
        <v>0</v>
      </c>
      <c r="CG50" s="2">
        <v>0</v>
      </c>
      <c r="CH50" s="2"/>
      <c r="CI50" s="2"/>
      <c r="CJ50" s="2"/>
      <c r="CK50" s="2"/>
      <c r="CL50" s="2"/>
      <c r="CM50" s="2">
        <v>0</v>
      </c>
      <c r="CN50" s="2" t="s">
        <v>625</v>
      </c>
      <c r="CO50" s="2">
        <v>0</v>
      </c>
      <c r="CP50" s="2">
        <f t="shared" si="41"/>
        <v>32.11</v>
      </c>
      <c r="CQ50" s="2">
        <f t="shared" si="42"/>
        <v>0</v>
      </c>
      <c r="CR50" s="2">
        <f>(ROUND((ROUND(((((ET50*1.2)*0.8))*AV50*1),2)*BB50),2)+ROUND((ROUND(((AE50-(((EU50*1.2)*0.8)))*AV50*1),2)*BS50),2))</f>
        <v>8.01</v>
      </c>
      <c r="CS50" s="2">
        <f>(ROUND((ROUND(((((EU50*1.2)*0.8))*AV50*1),2)*BS50),2)+ROUND((ROUND(((AE50-(((EU50*1.2)*0.8)))*AV50*1),2)*BS50),2))</f>
        <v>0.26</v>
      </c>
      <c r="CT50" s="2">
        <f t="shared" si="45"/>
        <v>283.95</v>
      </c>
      <c r="CU50" s="2">
        <f t="shared" si="46"/>
        <v>0</v>
      </c>
      <c r="CV50" s="2">
        <f t="shared" si="47"/>
        <v>25.403136</v>
      </c>
      <c r="CW50" s="2">
        <f t="shared" si="48"/>
        <v>0</v>
      </c>
      <c r="CX50" s="2">
        <f t="shared" si="49"/>
        <v>0</v>
      </c>
      <c r="CY50" s="2">
        <f>(ROUND((((S50+ROUND((ROUND(((((EU50*1.2)*0.8))*AV50*1),2)*BS50),2))*AT50)/100),2)+ROUND(((ROUND((ROUND(((AE50-(((EU50*1.2)*0.8)))*AV50*1),2)*BS50),2)*AT50)/100),2))</f>
        <v>38.1</v>
      </c>
      <c r="CZ50" s="2">
        <f>(ROUND((((S50+ROUND((ROUND(((((EU50*1.2)*0.8))*AV50*1),2)*BS50),2))*AU50)/100),2)+ROUND(((ROUND((ROUND(((AE50-(((EU50*1.2)*0.8)))*AV50*1),2)*BS50),2)*AU50)/100),2))</f>
        <v>22.67</v>
      </c>
      <c r="DA50" s="2"/>
      <c r="DB50" s="2">
        <v>41</v>
      </c>
      <c r="DC50" s="2" t="s">
        <v>3</v>
      </c>
      <c r="DD50" s="2" t="s">
        <v>29</v>
      </c>
      <c r="DE50" s="2" t="s">
        <v>87</v>
      </c>
      <c r="DF50" s="2" t="s">
        <v>87</v>
      </c>
      <c r="DG50" s="2" t="s">
        <v>87</v>
      </c>
      <c r="DH50" s="2" t="s">
        <v>3</v>
      </c>
      <c r="DI50" s="2" t="s">
        <v>87</v>
      </c>
      <c r="DJ50" s="2" t="s">
        <v>87</v>
      </c>
      <c r="DK50" s="2" t="s">
        <v>3</v>
      </c>
      <c r="DL50" s="2" t="s">
        <v>3</v>
      </c>
      <c r="DM50" s="2" t="s">
        <v>3</v>
      </c>
      <c r="DN50" s="2">
        <v>0</v>
      </c>
      <c r="DO50" s="2">
        <v>0</v>
      </c>
      <c r="DP50" s="2">
        <v>1</v>
      </c>
      <c r="DQ50" s="2">
        <v>1</v>
      </c>
      <c r="DR50" s="2"/>
      <c r="DS50" s="2"/>
      <c r="DT50" s="2"/>
      <c r="DU50" s="2">
        <v>1010</v>
      </c>
      <c r="DV50" s="2" t="s">
        <v>64</v>
      </c>
      <c r="DW50" s="2" t="s">
        <v>64</v>
      </c>
      <c r="DX50" s="2">
        <v>100</v>
      </c>
      <c r="DY50" s="2"/>
      <c r="DZ50" s="2" t="s">
        <v>3</v>
      </c>
      <c r="EA50" s="2" t="s">
        <v>3</v>
      </c>
      <c r="EB50" s="2" t="s">
        <v>3</v>
      </c>
      <c r="EC50" s="2" t="s">
        <v>3</v>
      </c>
      <c r="ED50" s="2"/>
      <c r="EE50" s="2">
        <v>57042911</v>
      </c>
      <c r="EF50" s="2">
        <v>30</v>
      </c>
      <c r="EG50" s="2" t="s">
        <v>88</v>
      </c>
      <c r="EH50" s="2">
        <v>0</v>
      </c>
      <c r="EI50" s="2" t="s">
        <v>3</v>
      </c>
      <c r="EJ50" s="2">
        <v>1</v>
      </c>
      <c r="EK50" s="2">
        <v>22</v>
      </c>
      <c r="EL50" s="2" t="s">
        <v>89</v>
      </c>
      <c r="EM50" s="2" t="s">
        <v>90</v>
      </c>
      <c r="EN50" s="2"/>
      <c r="EO50" s="2" t="s">
        <v>91</v>
      </c>
      <c r="EP50" s="2"/>
      <c r="EQ50" s="2">
        <v>0</v>
      </c>
      <c r="ER50" s="2">
        <v>641.07000000000005</v>
      </c>
      <c r="ES50" s="2">
        <v>356.04</v>
      </c>
      <c r="ET50" s="2">
        <v>7.82</v>
      </c>
      <c r="EU50" s="2">
        <v>0.25</v>
      </c>
      <c r="EV50" s="2">
        <v>277.20999999999998</v>
      </c>
      <c r="EW50" s="2">
        <v>24.8</v>
      </c>
      <c r="EX50" s="2">
        <v>0</v>
      </c>
      <c r="EY50" s="2">
        <v>0</v>
      </c>
      <c r="EZ50" s="2"/>
      <c r="FA50" s="2"/>
      <c r="FB50" s="2"/>
      <c r="FC50" s="2"/>
      <c r="FD50" s="2"/>
      <c r="FE50" s="2"/>
      <c r="FF50" s="2"/>
      <c r="FG50" s="2"/>
      <c r="FH50" s="2"/>
      <c r="FI50" s="2"/>
      <c r="FJ50" s="2"/>
      <c r="FK50" s="2"/>
      <c r="FL50" s="2"/>
      <c r="FM50" s="2"/>
      <c r="FN50" s="2"/>
      <c r="FO50" s="2"/>
      <c r="FP50" s="2"/>
      <c r="FQ50" s="2">
        <v>0</v>
      </c>
      <c r="FR50" s="2">
        <v>0</v>
      </c>
      <c r="FS50" s="2">
        <v>0</v>
      </c>
      <c r="FT50" s="2"/>
      <c r="FU50" s="2"/>
      <c r="FV50" s="2"/>
      <c r="FW50" s="2"/>
      <c r="FX50" s="2">
        <v>121</v>
      </c>
      <c r="FY50" s="2">
        <v>72</v>
      </c>
      <c r="FZ50" s="2"/>
      <c r="GA50" s="2" t="s">
        <v>3</v>
      </c>
      <c r="GB50" s="2"/>
      <c r="GC50" s="2"/>
      <c r="GD50" s="2">
        <v>1</v>
      </c>
      <c r="GE50" s="2"/>
      <c r="GF50" s="2">
        <v>1356411474</v>
      </c>
      <c r="GG50" s="2">
        <v>2</v>
      </c>
      <c r="GH50" s="2">
        <v>1</v>
      </c>
      <c r="GI50" s="2">
        <v>2</v>
      </c>
      <c r="GJ50" s="2">
        <v>0</v>
      </c>
      <c r="GK50" s="2">
        <v>0</v>
      </c>
      <c r="GL50" s="2">
        <f t="shared" si="52"/>
        <v>0</v>
      </c>
      <c r="GM50" s="2">
        <f t="shared" si="53"/>
        <v>92.44</v>
      </c>
      <c r="GN50" s="2">
        <f t="shared" si="54"/>
        <v>92.44</v>
      </c>
      <c r="GO50" s="2">
        <f t="shared" si="55"/>
        <v>0</v>
      </c>
      <c r="GP50" s="2">
        <f t="shared" si="56"/>
        <v>0</v>
      </c>
      <c r="GQ50" s="2"/>
      <c r="GR50" s="2">
        <v>0</v>
      </c>
      <c r="GS50" s="2">
        <v>3</v>
      </c>
      <c r="GT50" s="2">
        <v>0</v>
      </c>
      <c r="GU50" s="2" t="s">
        <v>3</v>
      </c>
      <c r="GV50" s="2">
        <f t="shared" si="57"/>
        <v>0</v>
      </c>
      <c r="GW50" s="2">
        <v>1</v>
      </c>
      <c r="GX50" s="2">
        <f t="shared" si="58"/>
        <v>0</v>
      </c>
      <c r="GY50" s="2"/>
      <c r="GZ50" s="2"/>
      <c r="HA50" s="2">
        <v>0</v>
      </c>
      <c r="HB50" s="2">
        <v>0</v>
      </c>
      <c r="HC50" s="2">
        <f t="shared" si="59"/>
        <v>0</v>
      </c>
      <c r="HD50" s="2"/>
      <c r="HE50" s="2" t="s">
        <v>3</v>
      </c>
      <c r="HF50" s="2" t="s">
        <v>3</v>
      </c>
      <c r="HG50" s="2"/>
      <c r="HH50" s="2"/>
      <c r="HI50" s="2"/>
      <c r="HJ50" s="2"/>
      <c r="HK50" s="2"/>
      <c r="HL50" s="2"/>
      <c r="HM50" s="2" t="s">
        <v>3</v>
      </c>
      <c r="HN50" s="2" t="s">
        <v>3</v>
      </c>
      <c r="HO50" s="2" t="s">
        <v>3</v>
      </c>
      <c r="HP50" s="2" t="s">
        <v>3</v>
      </c>
      <c r="HQ50" s="2" t="s">
        <v>3</v>
      </c>
      <c r="HR50" s="2"/>
      <c r="HS50" s="2">
        <v>0</v>
      </c>
      <c r="HT50" s="2"/>
      <c r="HU50" s="2"/>
      <c r="HV50" s="2"/>
      <c r="HW50" s="2"/>
      <c r="HX50" s="2"/>
      <c r="HY50" s="2"/>
      <c r="HZ50" s="2"/>
      <c r="IA50" s="2"/>
      <c r="IB50" s="2"/>
      <c r="IC50" s="2"/>
      <c r="ID50" s="2"/>
      <c r="IE50" s="2"/>
      <c r="IF50" s="2"/>
      <c r="IG50" s="2"/>
      <c r="IH50" s="2"/>
      <c r="II50" s="2"/>
      <c r="IJ50" s="2"/>
      <c r="IK50" s="2">
        <v>0</v>
      </c>
      <c r="IL50" s="2"/>
      <c r="IM50" s="2"/>
      <c r="IN50" s="2"/>
      <c r="IO50" s="2"/>
      <c r="IP50" s="2"/>
      <c r="IQ50" s="2"/>
      <c r="IR50" s="2"/>
      <c r="IS50" s="2"/>
      <c r="IT50" s="2"/>
      <c r="IU50" s="2"/>
    </row>
    <row r="51" spans="1:255" x14ac:dyDescent="0.25">
      <c r="A51" s="3">
        <v>17</v>
      </c>
      <c r="B51" s="3">
        <v>1</v>
      </c>
      <c r="C51" s="3">
        <f>ROW(SmtRes!A86)</f>
        <v>86</v>
      </c>
      <c r="D51" s="3">
        <f>ROW(EtalonRes!A110)</f>
        <v>110</v>
      </c>
      <c r="E51" s="3" t="s">
        <v>83</v>
      </c>
      <c r="F51" s="3" t="s">
        <v>84</v>
      </c>
      <c r="G51" s="3" t="s">
        <v>85</v>
      </c>
      <c r="H51" s="3" t="s">
        <v>64</v>
      </c>
      <c r="I51" s="3">
        <f>ROUND((6+1+4)/100,9)</f>
        <v>0.11</v>
      </c>
      <c r="J51" s="3">
        <v>0</v>
      </c>
      <c r="K51" s="3">
        <f>ROUND((6+1+4)/100,9)</f>
        <v>0.11</v>
      </c>
      <c r="O51" s="3">
        <f t="shared" si="21"/>
        <v>1769.63</v>
      </c>
      <c r="P51" s="3">
        <f t="shared" si="22"/>
        <v>0</v>
      </c>
      <c r="Q51" s="3">
        <f>(ROUND((ROUND(((((ET51*1.2)*0.8))*AV51*I51),2)*BB51),2)+ROUND((ROUND(((AE51-(((EU51*1.2)*0.8)))*AV51*I51),2)*BS51),2))</f>
        <v>9.82</v>
      </c>
      <c r="R51" s="3">
        <f>(ROUND((ROUND(((((EU51*1.2)*0.8))*AV51*I51),2)*BS51),2)+ROUND((ROUND(((AE51-(((EU51*1.2)*0.8)))*AV51*I51),2)*BS51),2))</f>
        <v>1.69</v>
      </c>
      <c r="S51" s="3">
        <f t="shared" si="25"/>
        <v>1759.81</v>
      </c>
      <c r="T51" s="3">
        <f t="shared" si="26"/>
        <v>0</v>
      </c>
      <c r="U51" s="3">
        <f t="shared" si="27"/>
        <v>2.7943449600000001</v>
      </c>
      <c r="V51" s="3">
        <f t="shared" si="28"/>
        <v>0</v>
      </c>
      <c r="W51" s="3">
        <f t="shared" si="29"/>
        <v>0</v>
      </c>
      <c r="X51" s="3">
        <f>(ROUND((((S51+ROUND((ROUND(((((EU51*1.2)*0.8))*AV51*I51),2)*BS51),2))*AT51)/100),2)+ROUND(((ROUND((ROUND(((AE51-(((EU51*1.2)*0.8)))*AV51*I51),2)*BS51),2)*AT51)/100),2))</f>
        <v>2131.42</v>
      </c>
      <c r="Y51" s="3">
        <f>(ROUND((((S51+ROUND((ROUND(((((EU51*1.2)*0.8))*AV51*I51),2)*BS51),2))*AU51)/100),2)+ROUND(((ROUND((ROUND(((AE51-(((EU51*1.2)*0.8)))*AV51*I51),2)*BS51),2)*AU51)/100),2))</f>
        <v>1268.28</v>
      </c>
      <c r="AA51" s="3">
        <v>57014140</v>
      </c>
      <c r="AB51" s="3">
        <f t="shared" si="32"/>
        <v>273.62880000000001</v>
      </c>
      <c r="AC51" s="3">
        <f>ROUND((((ES51*1)*0)),6)</f>
        <v>0</v>
      </c>
      <c r="AD51" s="3">
        <f>ROUND((((((ET51*1.2)*0.8))-(((EU51*1.2)*0.8)))+AE51),6)</f>
        <v>7.5072000000000001</v>
      </c>
      <c r="AE51" s="3">
        <f>ROUND((((EU51*1.2)*0.8)),6)</f>
        <v>0.24</v>
      </c>
      <c r="AF51" s="3">
        <f>ROUND((((EV51*1.2)*0.8)),6)</f>
        <v>266.1216</v>
      </c>
      <c r="AG51" s="3">
        <f t="shared" si="37"/>
        <v>0</v>
      </c>
      <c r="AH51" s="3">
        <f>(((EW51*1.2)*0.8))</f>
        <v>23.808</v>
      </c>
      <c r="AI51" s="3">
        <f>(((EX51*1.2)*0.8))</f>
        <v>0</v>
      </c>
      <c r="AJ51" s="3">
        <f t="shared" si="40"/>
        <v>0</v>
      </c>
      <c r="AK51" s="3">
        <v>641.07000000000005</v>
      </c>
      <c r="AL51" s="3">
        <v>356.04</v>
      </c>
      <c r="AM51" s="3">
        <v>7.82</v>
      </c>
      <c r="AN51" s="3">
        <v>0.25</v>
      </c>
      <c r="AO51" s="3">
        <v>277.20999999999998</v>
      </c>
      <c r="AP51" s="3">
        <v>0</v>
      </c>
      <c r="AQ51" s="3">
        <v>24.8</v>
      </c>
      <c r="AR51" s="3">
        <v>0</v>
      </c>
      <c r="AS51" s="3">
        <v>0</v>
      </c>
      <c r="AT51" s="3">
        <v>121</v>
      </c>
      <c r="AU51" s="3">
        <v>72</v>
      </c>
      <c r="AV51" s="3">
        <v>1.0669999999999999</v>
      </c>
      <c r="AW51" s="3">
        <v>1</v>
      </c>
      <c r="AZ51" s="3">
        <v>1</v>
      </c>
      <c r="BA51" s="3">
        <v>56.35</v>
      </c>
      <c r="BB51" s="3">
        <v>11.16</v>
      </c>
      <c r="BC51" s="3">
        <v>3.42</v>
      </c>
      <c r="BD51" s="3" t="s">
        <v>3</v>
      </c>
      <c r="BE51" s="3" t="s">
        <v>3</v>
      </c>
      <c r="BF51" s="3" t="s">
        <v>3</v>
      </c>
      <c r="BG51" s="3" t="s">
        <v>3</v>
      </c>
      <c r="BH51" s="3">
        <v>0</v>
      </c>
      <c r="BI51" s="3">
        <v>1</v>
      </c>
      <c r="BJ51" s="3" t="s">
        <v>86</v>
      </c>
      <c r="BM51" s="3">
        <v>22</v>
      </c>
      <c r="BN51" s="3">
        <v>0</v>
      </c>
      <c r="BO51" s="3" t="s">
        <v>84</v>
      </c>
      <c r="BP51" s="3">
        <v>1</v>
      </c>
      <c r="BQ51" s="3">
        <v>30</v>
      </c>
      <c r="BR51" s="3">
        <v>0</v>
      </c>
      <c r="BS51" s="3">
        <v>56.35</v>
      </c>
      <c r="BT51" s="3">
        <v>1</v>
      </c>
      <c r="BU51" s="3">
        <v>1</v>
      </c>
      <c r="BV51" s="3">
        <v>1</v>
      </c>
      <c r="BW51" s="3">
        <v>1</v>
      </c>
      <c r="BX51" s="3">
        <v>1</v>
      </c>
      <c r="BY51" s="3" t="s">
        <v>3</v>
      </c>
      <c r="BZ51" s="3">
        <v>121</v>
      </c>
      <c r="CA51" s="3">
        <v>72</v>
      </c>
      <c r="CB51" s="3" t="s">
        <v>3</v>
      </c>
      <c r="CE51" s="3">
        <v>1566</v>
      </c>
      <c r="CF51" s="3">
        <v>0</v>
      </c>
      <c r="CG51" s="3">
        <v>0</v>
      </c>
      <c r="CM51" s="3">
        <v>0</v>
      </c>
      <c r="CN51" s="3" t="s">
        <v>625</v>
      </c>
      <c r="CO51" s="3">
        <v>0</v>
      </c>
      <c r="CP51" s="3">
        <f t="shared" si="41"/>
        <v>1769.6299999999999</v>
      </c>
      <c r="CQ51" s="3">
        <f t="shared" si="42"/>
        <v>0</v>
      </c>
      <c r="CR51" s="3">
        <f>(ROUND((ROUND(((((ET51*1.2)*0.8))*AV51*1),2)*BB51),2)+ROUND((ROUND(((AE51-(((EU51*1.2)*0.8)))*AV51*1),2)*BS51),2))</f>
        <v>89.39</v>
      </c>
      <c r="CS51" s="3">
        <f>(ROUND((ROUND(((((EU51*1.2)*0.8))*AV51*1),2)*BS51),2)+ROUND((ROUND(((AE51-(((EU51*1.2)*0.8)))*AV51*1),2)*BS51),2))</f>
        <v>14.65</v>
      </c>
      <c r="CT51" s="3">
        <f t="shared" si="45"/>
        <v>16000.58</v>
      </c>
      <c r="CU51" s="3">
        <f t="shared" si="46"/>
        <v>0</v>
      </c>
      <c r="CV51" s="3">
        <f t="shared" si="47"/>
        <v>25.403136</v>
      </c>
      <c r="CW51" s="3">
        <f t="shared" si="48"/>
        <v>0</v>
      </c>
      <c r="CX51" s="3">
        <f t="shared" si="49"/>
        <v>0</v>
      </c>
      <c r="CY51" s="3">
        <f>(ROUND((((S51+ROUND((ROUND(((((EU51*1.2)*0.8))*AV51*1),2)*BS51),2))*AT51)/100),2)+ROUND(((ROUND((ROUND(((AE51-(((EU51*1.2)*0.8)))*AV51*1),2)*BS51),2)*AT51)/100),2))</f>
        <v>2147.1</v>
      </c>
      <c r="CZ51" s="3">
        <f>(ROUND((((S51+ROUND((ROUND(((((EU51*1.2)*0.8))*AV51*1),2)*BS51),2))*AU51)/100),2)+ROUND(((ROUND((ROUND(((AE51-(((EU51*1.2)*0.8)))*AV51*1),2)*BS51),2)*AU51)/100),2))</f>
        <v>1277.6099999999999</v>
      </c>
      <c r="DB51" s="3">
        <v>43</v>
      </c>
      <c r="DC51" s="3" t="s">
        <v>3</v>
      </c>
      <c r="DD51" s="3" t="s">
        <v>29</v>
      </c>
      <c r="DE51" s="3" t="s">
        <v>87</v>
      </c>
      <c r="DF51" s="3" t="s">
        <v>87</v>
      </c>
      <c r="DG51" s="3" t="s">
        <v>87</v>
      </c>
      <c r="DH51" s="3" t="s">
        <v>3</v>
      </c>
      <c r="DI51" s="3" t="s">
        <v>87</v>
      </c>
      <c r="DJ51" s="3" t="s">
        <v>87</v>
      </c>
      <c r="DK51" s="3" t="s">
        <v>3</v>
      </c>
      <c r="DL51" s="3" t="s">
        <v>3</v>
      </c>
      <c r="DM51" s="3" t="s">
        <v>3</v>
      </c>
      <c r="DN51" s="3">
        <v>0</v>
      </c>
      <c r="DO51" s="3">
        <v>0</v>
      </c>
      <c r="DP51" s="3">
        <v>1</v>
      </c>
      <c r="DQ51" s="3">
        <v>1</v>
      </c>
      <c r="DU51" s="3">
        <v>1010</v>
      </c>
      <c r="DV51" s="3" t="s">
        <v>64</v>
      </c>
      <c r="DW51" s="3" t="s">
        <v>64</v>
      </c>
      <c r="DX51" s="3">
        <v>100</v>
      </c>
      <c r="DZ51" s="3" t="s">
        <v>3</v>
      </c>
      <c r="EA51" s="3" t="s">
        <v>3</v>
      </c>
      <c r="EB51" s="3" t="s">
        <v>3</v>
      </c>
      <c r="EC51" s="3" t="s">
        <v>3</v>
      </c>
      <c r="EE51" s="3">
        <v>57042911</v>
      </c>
      <c r="EF51" s="3">
        <v>30</v>
      </c>
      <c r="EG51" s="3" t="s">
        <v>88</v>
      </c>
      <c r="EH51" s="3">
        <v>0</v>
      </c>
      <c r="EI51" s="3" t="s">
        <v>3</v>
      </c>
      <c r="EJ51" s="3">
        <v>1</v>
      </c>
      <c r="EK51" s="3">
        <v>22</v>
      </c>
      <c r="EL51" s="3" t="s">
        <v>89</v>
      </c>
      <c r="EM51" s="3" t="s">
        <v>90</v>
      </c>
      <c r="EO51" s="3" t="s">
        <v>91</v>
      </c>
      <c r="EQ51" s="3">
        <v>0</v>
      </c>
      <c r="ER51" s="3">
        <v>641.07000000000005</v>
      </c>
      <c r="ES51" s="3">
        <v>356.04</v>
      </c>
      <c r="ET51" s="3">
        <v>7.82</v>
      </c>
      <c r="EU51" s="3">
        <v>0.25</v>
      </c>
      <c r="EV51" s="3">
        <v>277.20999999999998</v>
      </c>
      <c r="EW51" s="3">
        <v>24.8</v>
      </c>
      <c r="EX51" s="3">
        <v>0</v>
      </c>
      <c r="EY51" s="3">
        <v>0</v>
      </c>
      <c r="FQ51" s="3">
        <v>0</v>
      </c>
      <c r="FR51" s="3">
        <v>0</v>
      </c>
      <c r="FS51" s="3">
        <v>0</v>
      </c>
      <c r="FX51" s="3">
        <v>121</v>
      </c>
      <c r="FY51" s="3">
        <v>72</v>
      </c>
      <c r="GA51" s="3" t="s">
        <v>3</v>
      </c>
      <c r="GD51" s="3">
        <v>1</v>
      </c>
      <c r="GF51" s="3">
        <v>1356411474</v>
      </c>
      <c r="GG51" s="3">
        <v>2</v>
      </c>
      <c r="GH51" s="3">
        <v>1</v>
      </c>
      <c r="GI51" s="3">
        <v>2</v>
      </c>
      <c r="GJ51" s="3">
        <v>0</v>
      </c>
      <c r="GK51" s="3">
        <v>0</v>
      </c>
      <c r="GL51" s="3">
        <f t="shared" si="52"/>
        <v>0</v>
      </c>
      <c r="GM51" s="3">
        <f t="shared" si="53"/>
        <v>5169.33</v>
      </c>
      <c r="GN51" s="3">
        <f t="shared" si="54"/>
        <v>5169.33</v>
      </c>
      <c r="GO51" s="3">
        <f t="shared" si="55"/>
        <v>0</v>
      </c>
      <c r="GP51" s="3">
        <f t="shared" si="56"/>
        <v>0</v>
      </c>
      <c r="GR51" s="3">
        <v>0</v>
      </c>
      <c r="GS51" s="3">
        <v>3</v>
      </c>
      <c r="GT51" s="3">
        <v>0</v>
      </c>
      <c r="GU51" s="3" t="s">
        <v>3</v>
      </c>
      <c r="GV51" s="3">
        <f t="shared" si="57"/>
        <v>0</v>
      </c>
      <c r="GW51" s="3">
        <v>1</v>
      </c>
      <c r="GX51" s="3">
        <f t="shared" si="58"/>
        <v>0</v>
      </c>
      <c r="HA51" s="3">
        <v>0</v>
      </c>
      <c r="HB51" s="3">
        <v>0</v>
      </c>
      <c r="HC51" s="3">
        <f t="shared" si="59"/>
        <v>0</v>
      </c>
      <c r="HE51" s="3" t="s">
        <v>3</v>
      </c>
      <c r="HF51" s="3" t="s">
        <v>3</v>
      </c>
      <c r="HM51" s="3" t="s">
        <v>3</v>
      </c>
      <c r="HN51" s="3" t="s">
        <v>3</v>
      </c>
      <c r="HO51" s="3" t="s">
        <v>3</v>
      </c>
      <c r="HP51" s="3" t="s">
        <v>3</v>
      </c>
      <c r="HQ51" s="3" t="s">
        <v>3</v>
      </c>
      <c r="HS51" s="3">
        <v>0</v>
      </c>
      <c r="IK51" s="3">
        <v>0</v>
      </c>
    </row>
    <row r="53" spans="1:255" ht="13" x14ac:dyDescent="0.3">
      <c r="A53" s="11">
        <v>51</v>
      </c>
      <c r="B53" s="11">
        <f>B24</f>
        <v>1</v>
      </c>
      <c r="C53" s="11">
        <f>A24</f>
        <v>4</v>
      </c>
      <c r="D53" s="11">
        <f>ROW(A24)</f>
        <v>24</v>
      </c>
      <c r="E53" s="11"/>
      <c r="F53" s="11" t="str">
        <f>IF(F24&lt;&gt;"",F24,"")</f>
        <v>Новый раздел</v>
      </c>
      <c r="G53" s="11" t="str">
        <f>IF(G24&lt;&gt;"",G24,"")</f>
        <v>Демонтажные работы (письмо от  АНО «РГТ» об утверждении объёмов демонтажных работ)</v>
      </c>
      <c r="H53" s="11">
        <v>0</v>
      </c>
      <c r="I53" s="11"/>
      <c r="J53" s="11"/>
      <c r="K53" s="11"/>
      <c r="L53" s="11"/>
      <c r="M53" s="11"/>
      <c r="N53" s="11"/>
      <c r="O53" s="11">
        <f t="shared" ref="O53:T53" si="60">ROUND(AB53,2)</f>
        <v>10173.780000000001</v>
      </c>
      <c r="P53" s="11">
        <f t="shared" si="60"/>
        <v>0</v>
      </c>
      <c r="Q53" s="11">
        <f t="shared" si="60"/>
        <v>158.25</v>
      </c>
      <c r="R53" s="11">
        <f t="shared" si="60"/>
        <v>4.24</v>
      </c>
      <c r="S53" s="11">
        <f t="shared" si="60"/>
        <v>10015.530000000001</v>
      </c>
      <c r="T53" s="11">
        <f t="shared" si="60"/>
        <v>0</v>
      </c>
      <c r="U53" s="11">
        <f>AH53</f>
        <v>836.40380915999981</v>
      </c>
      <c r="V53" s="11">
        <f>AI53</f>
        <v>0</v>
      </c>
      <c r="W53" s="11">
        <f>ROUND(AJ53,2)</f>
        <v>0</v>
      </c>
      <c r="X53" s="11">
        <f>ROUND(AK53,2)</f>
        <v>9110.84</v>
      </c>
      <c r="Y53" s="11">
        <f>ROUND(AL53,2)</f>
        <v>4733.93</v>
      </c>
      <c r="Z53" s="11"/>
      <c r="AA53" s="11"/>
      <c r="AB53" s="11">
        <f>ROUND(SUMIF(AA28:AA51,"=57014138",O28:O51),2)</f>
        <v>10173.780000000001</v>
      </c>
      <c r="AC53" s="11">
        <f>ROUND(SUMIF(AA28:AA51,"=57014138",P28:P51),2)</f>
        <v>0</v>
      </c>
      <c r="AD53" s="11">
        <f>ROUND(SUMIF(AA28:AA51,"=57014138",Q28:Q51),2)</f>
        <v>158.25</v>
      </c>
      <c r="AE53" s="11">
        <f>ROUND(SUMIF(AA28:AA51,"=57014138",R28:R51),2)</f>
        <v>4.24</v>
      </c>
      <c r="AF53" s="11">
        <f>ROUND(SUMIF(AA28:AA51,"=57014138",S28:S51),2)</f>
        <v>10015.530000000001</v>
      </c>
      <c r="AG53" s="11">
        <f>ROUND(SUMIF(AA28:AA51,"=57014138",T28:T51),2)</f>
        <v>0</v>
      </c>
      <c r="AH53" s="11">
        <f>SUMIF(AA28:AA51,"=57014138",U28:U51)</f>
        <v>836.40380915999981</v>
      </c>
      <c r="AI53" s="11">
        <f>SUMIF(AA28:AA51,"=57014138",V28:V51)</f>
        <v>0</v>
      </c>
      <c r="AJ53" s="11">
        <f>ROUND(SUMIF(AA28:AA51,"=57014138",W28:W51),2)</f>
        <v>0</v>
      </c>
      <c r="AK53" s="11">
        <f>ROUND(SUMIF(AA28:AA51,"=57014138",X28:X51),2)</f>
        <v>9110.84</v>
      </c>
      <c r="AL53" s="11">
        <f>ROUND(SUMIF(AA28:AA51,"=57014138",Y28:Y51),2)</f>
        <v>4733.93</v>
      </c>
      <c r="AM53" s="11"/>
      <c r="AN53" s="11"/>
      <c r="AO53" s="11">
        <f t="shared" ref="AO53:BD53" si="61">ROUND(BX53,2)</f>
        <v>0</v>
      </c>
      <c r="AP53" s="11">
        <f t="shared" si="61"/>
        <v>0</v>
      </c>
      <c r="AQ53" s="11">
        <f t="shared" si="61"/>
        <v>0</v>
      </c>
      <c r="AR53" s="11">
        <f t="shared" si="61"/>
        <v>24018.55</v>
      </c>
      <c r="AS53" s="11">
        <f t="shared" si="61"/>
        <v>92.44</v>
      </c>
      <c r="AT53" s="11">
        <f t="shared" si="61"/>
        <v>23926.11</v>
      </c>
      <c r="AU53" s="11">
        <f t="shared" si="61"/>
        <v>0</v>
      </c>
      <c r="AV53" s="11">
        <f t="shared" si="61"/>
        <v>0</v>
      </c>
      <c r="AW53" s="11">
        <f t="shared" si="61"/>
        <v>0</v>
      </c>
      <c r="AX53" s="11">
        <f t="shared" si="61"/>
        <v>0</v>
      </c>
      <c r="AY53" s="11">
        <f t="shared" si="61"/>
        <v>0</v>
      </c>
      <c r="AZ53" s="11">
        <f t="shared" si="61"/>
        <v>0</v>
      </c>
      <c r="BA53" s="11">
        <f t="shared" si="61"/>
        <v>0</v>
      </c>
      <c r="BB53" s="11">
        <f t="shared" si="61"/>
        <v>0</v>
      </c>
      <c r="BC53" s="11">
        <f t="shared" si="61"/>
        <v>0</v>
      </c>
      <c r="BD53" s="11">
        <f t="shared" si="61"/>
        <v>0</v>
      </c>
      <c r="BE53" s="11"/>
      <c r="BF53" s="11"/>
      <c r="BG53" s="11"/>
      <c r="BH53" s="11"/>
      <c r="BI53" s="11"/>
      <c r="BJ53" s="11"/>
      <c r="BK53" s="11"/>
      <c r="BL53" s="11"/>
      <c r="BM53" s="11"/>
      <c r="BN53" s="11"/>
      <c r="BO53" s="11"/>
      <c r="BP53" s="11"/>
      <c r="BQ53" s="11"/>
      <c r="BR53" s="11"/>
      <c r="BS53" s="11"/>
      <c r="BT53" s="11"/>
      <c r="BU53" s="11"/>
      <c r="BV53" s="11"/>
      <c r="BW53" s="11"/>
      <c r="BX53" s="11">
        <f>ROUND(SUMIF(AA28:AA51,"=57014138",FQ28:FQ51),2)</f>
        <v>0</v>
      </c>
      <c r="BY53" s="11">
        <f>ROUND(SUMIF(AA28:AA51,"=57014138",FR28:FR51),2)</f>
        <v>0</v>
      </c>
      <c r="BZ53" s="11">
        <f>ROUND(SUMIF(AA28:AA51,"=57014138",GL28:GL51),2)</f>
        <v>0</v>
      </c>
      <c r="CA53" s="11">
        <f>ROUND(SUMIF(AA28:AA51,"=57014138",GM28:GM51),2)</f>
        <v>24018.55</v>
      </c>
      <c r="CB53" s="11">
        <f>ROUND(SUMIF(AA28:AA51,"=57014138",GN28:GN51),2)</f>
        <v>92.44</v>
      </c>
      <c r="CC53" s="11">
        <f>ROUND(SUMIF(AA28:AA51,"=57014138",GO28:GO51),2)</f>
        <v>23926.11</v>
      </c>
      <c r="CD53" s="11">
        <f>ROUND(SUMIF(AA28:AA51,"=57014138",GP28:GP51),2)</f>
        <v>0</v>
      </c>
      <c r="CE53" s="11">
        <f>AC53-BX53</f>
        <v>0</v>
      </c>
      <c r="CF53" s="11">
        <f>AC53-BY53</f>
        <v>0</v>
      </c>
      <c r="CG53" s="11">
        <f>BX53-BZ53</f>
        <v>0</v>
      </c>
      <c r="CH53" s="11">
        <f>AC53-BX53-BY53+BZ53</f>
        <v>0</v>
      </c>
      <c r="CI53" s="11">
        <f>BY53-BZ53</f>
        <v>0</v>
      </c>
      <c r="CJ53" s="11">
        <f>ROUND(SUMIF(AA28:AA51,"=57014138",GX28:GX51),2)</f>
        <v>0</v>
      </c>
      <c r="CK53" s="11">
        <f>ROUND(SUMIF(AA28:AA51,"=57014138",GY28:GY51),2)</f>
        <v>0</v>
      </c>
      <c r="CL53" s="11">
        <f>ROUND(SUMIF(AA28:AA51,"=57014138",GZ28:GZ51),2)</f>
        <v>0</v>
      </c>
      <c r="CM53" s="11">
        <f>ROUND(SUMIF(AA28:AA51,"=57014138",HD28:HD51),2)</f>
        <v>0</v>
      </c>
      <c r="CN53" s="11"/>
      <c r="CO53" s="11"/>
      <c r="CP53" s="11"/>
      <c r="CQ53" s="11"/>
      <c r="CR53" s="11"/>
      <c r="CS53" s="11"/>
      <c r="CT53" s="11"/>
      <c r="CU53" s="11"/>
      <c r="CV53" s="11"/>
      <c r="CW53" s="11"/>
      <c r="CX53" s="11"/>
      <c r="CY53" s="11"/>
      <c r="CZ53" s="11"/>
      <c r="DA53" s="11"/>
      <c r="DB53" s="11"/>
      <c r="DC53" s="11"/>
      <c r="DD53" s="11"/>
      <c r="DE53" s="11"/>
      <c r="DF53" s="11"/>
      <c r="DG53" s="12">
        <f t="shared" ref="DG53:DL53" si="62">ROUND(DT53,2)</f>
        <v>566144.05000000005</v>
      </c>
      <c r="DH53" s="12">
        <f t="shared" si="62"/>
        <v>0</v>
      </c>
      <c r="DI53" s="12">
        <f t="shared" si="62"/>
        <v>1768.95</v>
      </c>
      <c r="DJ53" s="12">
        <f t="shared" si="62"/>
        <v>238.92</v>
      </c>
      <c r="DK53" s="12">
        <f t="shared" si="62"/>
        <v>564375.1</v>
      </c>
      <c r="DL53" s="12">
        <f t="shared" si="62"/>
        <v>0</v>
      </c>
      <c r="DM53" s="12">
        <f>DZ53</f>
        <v>836.40380915999981</v>
      </c>
      <c r="DN53" s="12">
        <f>EA53</f>
        <v>0</v>
      </c>
      <c r="DO53" s="12">
        <f>ROUND(EB53,2)</f>
        <v>0</v>
      </c>
      <c r="DP53" s="12">
        <f>ROUND(EC53,2)</f>
        <v>513395.89</v>
      </c>
      <c r="DQ53" s="12">
        <f>ROUND(ED53,2)</f>
        <v>266756.52</v>
      </c>
      <c r="DR53" s="12"/>
      <c r="DS53" s="12"/>
      <c r="DT53" s="12">
        <f>ROUND(SUMIF(AA28:AA51,"=57014140",O28:O51),2)</f>
        <v>566144.05000000005</v>
      </c>
      <c r="DU53" s="12">
        <f>ROUND(SUMIF(AA28:AA51,"=57014140",P28:P51),2)</f>
        <v>0</v>
      </c>
      <c r="DV53" s="12">
        <f>ROUND(SUMIF(AA28:AA51,"=57014140",Q28:Q51),2)</f>
        <v>1768.95</v>
      </c>
      <c r="DW53" s="12">
        <f>ROUND(SUMIF(AA28:AA51,"=57014140",R28:R51),2)</f>
        <v>238.92</v>
      </c>
      <c r="DX53" s="12">
        <f>ROUND(SUMIF(AA28:AA51,"=57014140",S28:S51),2)</f>
        <v>564375.1</v>
      </c>
      <c r="DY53" s="12">
        <f>ROUND(SUMIF(AA28:AA51,"=57014140",T28:T51),2)</f>
        <v>0</v>
      </c>
      <c r="DZ53" s="12">
        <f>SUMIF(AA28:AA51,"=57014140",U28:U51)</f>
        <v>836.40380915999981</v>
      </c>
      <c r="EA53" s="12">
        <f>SUMIF(AA28:AA51,"=57014140",V28:V51)</f>
        <v>0</v>
      </c>
      <c r="EB53" s="12">
        <f>ROUND(SUMIF(AA28:AA51,"=57014140",W28:W51),2)</f>
        <v>0</v>
      </c>
      <c r="EC53" s="12">
        <f>ROUND(SUMIF(AA28:AA51,"=57014140",X28:X51),2)</f>
        <v>513395.89</v>
      </c>
      <c r="ED53" s="12">
        <f>ROUND(SUMIF(AA28:AA51,"=57014140",Y28:Y51),2)</f>
        <v>266756.52</v>
      </c>
      <c r="EE53" s="12"/>
      <c r="EF53" s="12"/>
      <c r="EG53" s="12">
        <f t="shared" ref="EG53:EV53" si="63">ROUND(FP53,2)</f>
        <v>0</v>
      </c>
      <c r="EH53" s="12">
        <f t="shared" si="63"/>
        <v>0</v>
      </c>
      <c r="EI53" s="12">
        <f t="shared" si="63"/>
        <v>0</v>
      </c>
      <c r="EJ53" s="12">
        <f t="shared" si="63"/>
        <v>1346296.46</v>
      </c>
      <c r="EK53" s="12">
        <f t="shared" si="63"/>
        <v>5169.33</v>
      </c>
      <c r="EL53" s="12">
        <f t="shared" si="63"/>
        <v>1341127.1299999999</v>
      </c>
      <c r="EM53" s="12">
        <f t="shared" si="63"/>
        <v>0</v>
      </c>
      <c r="EN53" s="12">
        <f t="shared" si="63"/>
        <v>0</v>
      </c>
      <c r="EO53" s="12">
        <f t="shared" si="63"/>
        <v>0</v>
      </c>
      <c r="EP53" s="12">
        <f t="shared" si="63"/>
        <v>0</v>
      </c>
      <c r="EQ53" s="12">
        <f t="shared" si="63"/>
        <v>0</v>
      </c>
      <c r="ER53" s="12">
        <f t="shared" si="63"/>
        <v>0</v>
      </c>
      <c r="ES53" s="12">
        <f t="shared" si="63"/>
        <v>0</v>
      </c>
      <c r="ET53" s="12">
        <f t="shared" si="63"/>
        <v>0</v>
      </c>
      <c r="EU53" s="12">
        <f t="shared" si="63"/>
        <v>0</v>
      </c>
      <c r="EV53" s="12">
        <f t="shared" si="63"/>
        <v>0</v>
      </c>
      <c r="EW53" s="12"/>
      <c r="EX53" s="12"/>
      <c r="EY53" s="12"/>
      <c r="EZ53" s="12"/>
      <c r="FA53" s="12"/>
      <c r="FB53" s="12"/>
      <c r="FC53" s="12"/>
      <c r="FD53" s="12"/>
      <c r="FE53" s="12"/>
      <c r="FF53" s="12"/>
      <c r="FG53" s="12"/>
      <c r="FH53" s="12"/>
      <c r="FI53" s="12"/>
      <c r="FJ53" s="12"/>
      <c r="FK53" s="12"/>
      <c r="FL53" s="12"/>
      <c r="FM53" s="12"/>
      <c r="FN53" s="12"/>
      <c r="FO53" s="12"/>
      <c r="FP53" s="12">
        <f>ROUND(SUMIF(AA28:AA51,"=57014140",FQ28:FQ51),2)</f>
        <v>0</v>
      </c>
      <c r="FQ53" s="12">
        <f>ROUND(SUMIF(AA28:AA51,"=57014140",FR28:FR51),2)</f>
        <v>0</v>
      </c>
      <c r="FR53" s="12">
        <f>ROUND(SUMIF(AA28:AA51,"=57014140",GL28:GL51),2)</f>
        <v>0</v>
      </c>
      <c r="FS53" s="12">
        <f>ROUND(SUMIF(AA28:AA51,"=57014140",GM28:GM51),2)</f>
        <v>1346296.46</v>
      </c>
      <c r="FT53" s="12">
        <f>ROUND(SUMIF(AA28:AA51,"=57014140",GN28:GN51),2)</f>
        <v>5169.33</v>
      </c>
      <c r="FU53" s="12">
        <f>ROUND(SUMIF(AA28:AA51,"=57014140",GO28:GO51),2)</f>
        <v>1341127.1299999999</v>
      </c>
      <c r="FV53" s="12">
        <f>ROUND(SUMIF(AA28:AA51,"=57014140",GP28:GP51),2)</f>
        <v>0</v>
      </c>
      <c r="FW53" s="12">
        <f>DU53-FP53</f>
        <v>0</v>
      </c>
      <c r="FX53" s="12">
        <f>DU53-FQ53</f>
        <v>0</v>
      </c>
      <c r="FY53" s="12">
        <f>FP53-FR53</f>
        <v>0</v>
      </c>
      <c r="FZ53" s="12">
        <f>DU53-FP53-FQ53+FR53</f>
        <v>0</v>
      </c>
      <c r="GA53" s="12">
        <f>FQ53-FR53</f>
        <v>0</v>
      </c>
      <c r="GB53" s="12">
        <f>ROUND(SUMIF(AA28:AA51,"=57014140",GX28:GX51),2)</f>
        <v>0</v>
      </c>
      <c r="GC53" s="12">
        <f>ROUND(SUMIF(AA28:AA51,"=57014140",GY28:GY51),2)</f>
        <v>0</v>
      </c>
      <c r="GD53" s="12">
        <f>ROUND(SUMIF(AA28:AA51,"=57014140",GZ28:GZ51),2)</f>
        <v>0</v>
      </c>
      <c r="GE53" s="12">
        <f>ROUND(SUMIF(AA28:AA51,"=57014140",HD28:HD51),2)</f>
        <v>0</v>
      </c>
      <c r="GF53" s="12"/>
      <c r="GG53" s="12"/>
      <c r="GH53" s="12"/>
      <c r="GI53" s="12"/>
      <c r="GJ53" s="12"/>
      <c r="GK53" s="12"/>
      <c r="GL53" s="12"/>
      <c r="GM53" s="12"/>
      <c r="GN53" s="12"/>
      <c r="GO53" s="12"/>
      <c r="GP53" s="12"/>
      <c r="GQ53" s="12"/>
      <c r="GR53" s="12"/>
      <c r="GS53" s="12"/>
      <c r="GT53" s="12"/>
      <c r="GU53" s="12"/>
      <c r="GV53" s="12"/>
      <c r="GW53" s="12"/>
      <c r="GX53" s="12">
        <v>0</v>
      </c>
    </row>
    <row r="55" spans="1:255" ht="13" x14ac:dyDescent="0.3">
      <c r="A55" s="13">
        <v>50</v>
      </c>
      <c r="B55" s="13">
        <v>0</v>
      </c>
      <c r="C55" s="13">
        <v>0</v>
      </c>
      <c r="D55" s="13">
        <v>1</v>
      </c>
      <c r="E55" s="13">
        <v>201</v>
      </c>
      <c r="F55" s="13">
        <f>ROUND(Source!O53,O55)</f>
        <v>10173.780000000001</v>
      </c>
      <c r="G55" s="13" t="s">
        <v>92</v>
      </c>
      <c r="H55" s="13" t="s">
        <v>93</v>
      </c>
      <c r="I55" s="13"/>
      <c r="J55" s="13"/>
      <c r="K55" s="13">
        <v>201</v>
      </c>
      <c r="L55" s="13">
        <v>1</v>
      </c>
      <c r="M55" s="13">
        <v>3</v>
      </c>
      <c r="N55" s="13" t="s">
        <v>3</v>
      </c>
      <c r="O55" s="13">
        <v>2</v>
      </c>
      <c r="P55" s="13">
        <f>ROUND(Source!DG53,O55)</f>
        <v>566144.05000000005</v>
      </c>
      <c r="Q55" s="13"/>
      <c r="R55" s="13"/>
      <c r="S55" s="13"/>
      <c r="T55" s="13"/>
      <c r="U55" s="13"/>
      <c r="V55" s="13"/>
      <c r="W55" s="13">
        <v>10173.780000000001</v>
      </c>
      <c r="X55" s="13">
        <v>1</v>
      </c>
      <c r="Y55" s="13">
        <v>10173.780000000001</v>
      </c>
      <c r="Z55" s="13">
        <v>566144.05000000005</v>
      </c>
      <c r="AA55" s="13">
        <v>1</v>
      </c>
      <c r="AB55" s="13">
        <v>566144.05000000005</v>
      </c>
    </row>
    <row r="56" spans="1:255" ht="13" x14ac:dyDescent="0.3">
      <c r="A56" s="13">
        <v>50</v>
      </c>
      <c r="B56" s="13">
        <v>0</v>
      </c>
      <c r="C56" s="13">
        <v>0</v>
      </c>
      <c r="D56" s="13">
        <v>1</v>
      </c>
      <c r="E56" s="13">
        <v>202</v>
      </c>
      <c r="F56" s="13">
        <f>ROUND(Source!P53,O56)</f>
        <v>0</v>
      </c>
      <c r="G56" s="13" t="s">
        <v>94</v>
      </c>
      <c r="H56" s="13" t="s">
        <v>95</v>
      </c>
      <c r="I56" s="13"/>
      <c r="J56" s="13"/>
      <c r="K56" s="13">
        <v>202</v>
      </c>
      <c r="L56" s="13">
        <v>2</v>
      </c>
      <c r="M56" s="13">
        <v>3</v>
      </c>
      <c r="N56" s="13" t="s">
        <v>3</v>
      </c>
      <c r="O56" s="13">
        <v>2</v>
      </c>
      <c r="P56" s="13">
        <f>ROUND(Source!DH53,O56)</f>
        <v>0</v>
      </c>
      <c r="Q56" s="13"/>
      <c r="R56" s="13"/>
      <c r="S56" s="13"/>
      <c r="T56" s="13"/>
      <c r="U56" s="13"/>
      <c r="V56" s="13"/>
      <c r="W56" s="13">
        <v>0</v>
      </c>
      <c r="X56" s="13">
        <v>1</v>
      </c>
      <c r="Y56" s="13">
        <v>0</v>
      </c>
      <c r="Z56" s="13">
        <v>0</v>
      </c>
      <c r="AA56" s="13">
        <v>1</v>
      </c>
      <c r="AB56" s="13">
        <v>0</v>
      </c>
    </row>
    <row r="57" spans="1:255" ht="13" x14ac:dyDescent="0.3">
      <c r="A57" s="13">
        <v>50</v>
      </c>
      <c r="B57" s="13">
        <v>0</v>
      </c>
      <c r="C57" s="13">
        <v>0</v>
      </c>
      <c r="D57" s="13">
        <v>1</v>
      </c>
      <c r="E57" s="13">
        <v>222</v>
      </c>
      <c r="F57" s="13">
        <f>ROUND(Source!AO53,O57)</f>
        <v>0</v>
      </c>
      <c r="G57" s="13" t="s">
        <v>96</v>
      </c>
      <c r="H57" s="13" t="s">
        <v>97</v>
      </c>
      <c r="I57" s="13"/>
      <c r="J57" s="13"/>
      <c r="K57" s="13">
        <v>222</v>
      </c>
      <c r="L57" s="13">
        <v>3</v>
      </c>
      <c r="M57" s="13">
        <v>3</v>
      </c>
      <c r="N57" s="13" t="s">
        <v>3</v>
      </c>
      <c r="O57" s="13">
        <v>2</v>
      </c>
      <c r="P57" s="13">
        <f>ROUND(Source!EG53,O57)</f>
        <v>0</v>
      </c>
      <c r="Q57" s="13"/>
      <c r="R57" s="13"/>
      <c r="S57" s="13"/>
      <c r="T57" s="13"/>
      <c r="U57" s="13"/>
      <c r="V57" s="13"/>
      <c r="W57" s="13">
        <v>0</v>
      </c>
      <c r="X57" s="13">
        <v>1</v>
      </c>
      <c r="Y57" s="13">
        <v>0</v>
      </c>
      <c r="Z57" s="13">
        <v>0</v>
      </c>
      <c r="AA57" s="13">
        <v>1</v>
      </c>
      <c r="AB57" s="13">
        <v>0</v>
      </c>
    </row>
    <row r="58" spans="1:255" ht="13" x14ac:dyDescent="0.3">
      <c r="A58" s="13">
        <v>50</v>
      </c>
      <c r="B58" s="13">
        <v>0</v>
      </c>
      <c r="C58" s="13">
        <v>0</v>
      </c>
      <c r="D58" s="13">
        <v>1</v>
      </c>
      <c r="E58" s="13">
        <v>225</v>
      </c>
      <c r="F58" s="13">
        <f>ROUND(Source!AV53,O58)</f>
        <v>0</v>
      </c>
      <c r="G58" s="13" t="s">
        <v>98</v>
      </c>
      <c r="H58" s="13" t="s">
        <v>99</v>
      </c>
      <c r="I58" s="13"/>
      <c r="J58" s="13"/>
      <c r="K58" s="13">
        <v>225</v>
      </c>
      <c r="L58" s="13">
        <v>4</v>
      </c>
      <c r="M58" s="13">
        <v>3</v>
      </c>
      <c r="N58" s="13" t="s">
        <v>3</v>
      </c>
      <c r="O58" s="13">
        <v>2</v>
      </c>
      <c r="P58" s="13">
        <f>ROUND(Source!EN53,O58)</f>
        <v>0</v>
      </c>
      <c r="Q58" s="13"/>
      <c r="R58" s="13"/>
      <c r="S58" s="13"/>
      <c r="T58" s="13"/>
      <c r="U58" s="13"/>
      <c r="V58" s="13"/>
      <c r="W58" s="13">
        <v>0</v>
      </c>
      <c r="X58" s="13">
        <v>1</v>
      </c>
      <c r="Y58" s="13">
        <v>0</v>
      </c>
      <c r="Z58" s="13">
        <v>0</v>
      </c>
      <c r="AA58" s="13">
        <v>1</v>
      </c>
      <c r="AB58" s="13">
        <v>0</v>
      </c>
    </row>
    <row r="59" spans="1:255" ht="13" x14ac:dyDescent="0.3">
      <c r="A59" s="13">
        <v>50</v>
      </c>
      <c r="B59" s="13">
        <v>0</v>
      </c>
      <c r="C59" s="13">
        <v>0</v>
      </c>
      <c r="D59" s="13">
        <v>1</v>
      </c>
      <c r="E59" s="13">
        <v>226</v>
      </c>
      <c r="F59" s="13">
        <f>ROUND(Source!AW53,O59)</f>
        <v>0</v>
      </c>
      <c r="G59" s="13" t="s">
        <v>100</v>
      </c>
      <c r="H59" s="13" t="s">
        <v>101</v>
      </c>
      <c r="I59" s="13"/>
      <c r="J59" s="13"/>
      <c r="K59" s="13">
        <v>226</v>
      </c>
      <c r="L59" s="13">
        <v>5</v>
      </c>
      <c r="M59" s="13">
        <v>3</v>
      </c>
      <c r="N59" s="13" t="s">
        <v>3</v>
      </c>
      <c r="O59" s="13">
        <v>2</v>
      </c>
      <c r="P59" s="13">
        <f>ROUND(Source!EO53,O59)</f>
        <v>0</v>
      </c>
      <c r="Q59" s="13"/>
      <c r="R59" s="13"/>
      <c r="S59" s="13"/>
      <c r="T59" s="13"/>
      <c r="U59" s="13"/>
      <c r="V59" s="13"/>
      <c r="W59" s="13">
        <v>0</v>
      </c>
      <c r="X59" s="13">
        <v>1</v>
      </c>
      <c r="Y59" s="13">
        <v>0</v>
      </c>
      <c r="Z59" s="13">
        <v>0</v>
      </c>
      <c r="AA59" s="13">
        <v>1</v>
      </c>
      <c r="AB59" s="13">
        <v>0</v>
      </c>
    </row>
    <row r="60" spans="1:255" ht="13" x14ac:dyDescent="0.3">
      <c r="A60" s="13">
        <v>50</v>
      </c>
      <c r="B60" s="13">
        <v>0</v>
      </c>
      <c r="C60" s="13">
        <v>0</v>
      </c>
      <c r="D60" s="13">
        <v>1</v>
      </c>
      <c r="E60" s="13">
        <v>227</v>
      </c>
      <c r="F60" s="13">
        <f>ROUND(Source!AX53,O60)</f>
        <v>0</v>
      </c>
      <c r="G60" s="13" t="s">
        <v>102</v>
      </c>
      <c r="H60" s="13" t="s">
        <v>103</v>
      </c>
      <c r="I60" s="13"/>
      <c r="J60" s="13"/>
      <c r="K60" s="13">
        <v>227</v>
      </c>
      <c r="L60" s="13">
        <v>6</v>
      </c>
      <c r="M60" s="13">
        <v>3</v>
      </c>
      <c r="N60" s="13" t="s">
        <v>3</v>
      </c>
      <c r="O60" s="13">
        <v>2</v>
      </c>
      <c r="P60" s="13">
        <f>ROUND(Source!EP53,O60)</f>
        <v>0</v>
      </c>
      <c r="Q60" s="13"/>
      <c r="R60" s="13"/>
      <c r="S60" s="13"/>
      <c r="T60" s="13"/>
      <c r="U60" s="13"/>
      <c r="V60" s="13"/>
      <c r="W60" s="13">
        <v>0</v>
      </c>
      <c r="X60" s="13">
        <v>1</v>
      </c>
      <c r="Y60" s="13">
        <v>0</v>
      </c>
      <c r="Z60" s="13">
        <v>0</v>
      </c>
      <c r="AA60" s="13">
        <v>1</v>
      </c>
      <c r="AB60" s="13">
        <v>0</v>
      </c>
    </row>
    <row r="61" spans="1:255" ht="13" x14ac:dyDescent="0.3">
      <c r="A61" s="13">
        <v>50</v>
      </c>
      <c r="B61" s="13">
        <v>0</v>
      </c>
      <c r="C61" s="13">
        <v>0</v>
      </c>
      <c r="D61" s="13">
        <v>1</v>
      </c>
      <c r="E61" s="13">
        <v>228</v>
      </c>
      <c r="F61" s="13">
        <f>ROUND(Source!AY53,O61)</f>
        <v>0</v>
      </c>
      <c r="G61" s="13" t="s">
        <v>104</v>
      </c>
      <c r="H61" s="13" t="s">
        <v>105</v>
      </c>
      <c r="I61" s="13"/>
      <c r="J61" s="13"/>
      <c r="K61" s="13">
        <v>228</v>
      </c>
      <c r="L61" s="13">
        <v>7</v>
      </c>
      <c r="M61" s="13">
        <v>3</v>
      </c>
      <c r="N61" s="13" t="s">
        <v>3</v>
      </c>
      <c r="O61" s="13">
        <v>2</v>
      </c>
      <c r="P61" s="13">
        <f>ROUND(Source!EQ53,O61)</f>
        <v>0</v>
      </c>
      <c r="Q61" s="13"/>
      <c r="R61" s="13"/>
      <c r="S61" s="13"/>
      <c r="T61" s="13"/>
      <c r="U61" s="13"/>
      <c r="V61" s="13"/>
      <c r="W61" s="13">
        <v>0</v>
      </c>
      <c r="X61" s="13">
        <v>1</v>
      </c>
      <c r="Y61" s="13">
        <v>0</v>
      </c>
      <c r="Z61" s="13">
        <v>0</v>
      </c>
      <c r="AA61" s="13">
        <v>1</v>
      </c>
      <c r="AB61" s="13">
        <v>0</v>
      </c>
    </row>
    <row r="62" spans="1:255" ht="13" x14ac:dyDescent="0.3">
      <c r="A62" s="13">
        <v>50</v>
      </c>
      <c r="B62" s="13">
        <v>0</v>
      </c>
      <c r="C62" s="13">
        <v>0</v>
      </c>
      <c r="D62" s="13">
        <v>1</v>
      </c>
      <c r="E62" s="13">
        <v>216</v>
      </c>
      <c r="F62" s="13">
        <f>ROUND(Source!AP53,O62)</f>
        <v>0</v>
      </c>
      <c r="G62" s="13" t="s">
        <v>106</v>
      </c>
      <c r="H62" s="13" t="s">
        <v>107</v>
      </c>
      <c r="I62" s="13"/>
      <c r="J62" s="13"/>
      <c r="K62" s="13">
        <v>216</v>
      </c>
      <c r="L62" s="13">
        <v>8</v>
      </c>
      <c r="M62" s="13">
        <v>3</v>
      </c>
      <c r="N62" s="13" t="s">
        <v>3</v>
      </c>
      <c r="O62" s="13">
        <v>2</v>
      </c>
      <c r="P62" s="13">
        <f>ROUND(Source!EH53,O62)</f>
        <v>0</v>
      </c>
      <c r="Q62" s="13"/>
      <c r="R62" s="13"/>
      <c r="S62" s="13"/>
      <c r="T62" s="13"/>
      <c r="U62" s="13"/>
      <c r="V62" s="13"/>
      <c r="W62" s="13">
        <v>0</v>
      </c>
      <c r="X62" s="13">
        <v>1</v>
      </c>
      <c r="Y62" s="13">
        <v>0</v>
      </c>
      <c r="Z62" s="13">
        <v>0</v>
      </c>
      <c r="AA62" s="13">
        <v>1</v>
      </c>
      <c r="AB62" s="13">
        <v>0</v>
      </c>
    </row>
    <row r="63" spans="1:255" ht="13" x14ac:dyDescent="0.3">
      <c r="A63" s="13">
        <v>50</v>
      </c>
      <c r="B63" s="13">
        <v>0</v>
      </c>
      <c r="C63" s="13">
        <v>0</v>
      </c>
      <c r="D63" s="13">
        <v>1</v>
      </c>
      <c r="E63" s="13">
        <v>223</v>
      </c>
      <c r="F63" s="13">
        <f>ROUND(Source!AQ53,O63)</f>
        <v>0</v>
      </c>
      <c r="G63" s="13" t="s">
        <v>108</v>
      </c>
      <c r="H63" s="13" t="s">
        <v>109</v>
      </c>
      <c r="I63" s="13"/>
      <c r="J63" s="13"/>
      <c r="K63" s="13">
        <v>223</v>
      </c>
      <c r="L63" s="13">
        <v>9</v>
      </c>
      <c r="M63" s="13">
        <v>3</v>
      </c>
      <c r="N63" s="13" t="s">
        <v>3</v>
      </c>
      <c r="O63" s="13">
        <v>2</v>
      </c>
      <c r="P63" s="13">
        <f>ROUND(Source!EI53,O63)</f>
        <v>0</v>
      </c>
      <c r="Q63" s="13"/>
      <c r="R63" s="13"/>
      <c r="S63" s="13"/>
      <c r="T63" s="13"/>
      <c r="U63" s="13"/>
      <c r="V63" s="13"/>
      <c r="W63" s="13">
        <v>0</v>
      </c>
      <c r="X63" s="13">
        <v>1</v>
      </c>
      <c r="Y63" s="13">
        <v>0</v>
      </c>
      <c r="Z63" s="13">
        <v>0</v>
      </c>
      <c r="AA63" s="13">
        <v>1</v>
      </c>
      <c r="AB63" s="13">
        <v>0</v>
      </c>
    </row>
    <row r="64" spans="1:255" ht="13" x14ac:dyDescent="0.3">
      <c r="A64" s="13">
        <v>50</v>
      </c>
      <c r="B64" s="13">
        <v>0</v>
      </c>
      <c r="C64" s="13">
        <v>0</v>
      </c>
      <c r="D64" s="13">
        <v>1</v>
      </c>
      <c r="E64" s="13">
        <v>229</v>
      </c>
      <c r="F64" s="13">
        <f>ROUND(Source!AZ53,O64)</f>
        <v>0</v>
      </c>
      <c r="G64" s="13" t="s">
        <v>110</v>
      </c>
      <c r="H64" s="13" t="s">
        <v>111</v>
      </c>
      <c r="I64" s="13"/>
      <c r="J64" s="13"/>
      <c r="K64" s="13">
        <v>229</v>
      </c>
      <c r="L64" s="13">
        <v>10</v>
      </c>
      <c r="M64" s="13">
        <v>3</v>
      </c>
      <c r="N64" s="13" t="s">
        <v>3</v>
      </c>
      <c r="O64" s="13">
        <v>2</v>
      </c>
      <c r="P64" s="13">
        <f>ROUND(Source!ER53,O64)</f>
        <v>0</v>
      </c>
      <c r="Q64" s="13"/>
      <c r="R64" s="13"/>
      <c r="S64" s="13"/>
      <c r="T64" s="13"/>
      <c r="U64" s="13"/>
      <c r="V64" s="13"/>
      <c r="W64" s="13">
        <v>0</v>
      </c>
      <c r="X64" s="13">
        <v>1</v>
      </c>
      <c r="Y64" s="13">
        <v>0</v>
      </c>
      <c r="Z64" s="13">
        <v>0</v>
      </c>
      <c r="AA64" s="13">
        <v>1</v>
      </c>
      <c r="AB64" s="13">
        <v>0</v>
      </c>
    </row>
    <row r="65" spans="1:28" ht="13" x14ac:dyDescent="0.3">
      <c r="A65" s="13">
        <v>50</v>
      </c>
      <c r="B65" s="13">
        <v>0</v>
      </c>
      <c r="C65" s="13">
        <v>0</v>
      </c>
      <c r="D65" s="13">
        <v>1</v>
      </c>
      <c r="E65" s="13">
        <v>203</v>
      </c>
      <c r="F65" s="13">
        <f>ROUND(Source!Q53,O65)</f>
        <v>158.25</v>
      </c>
      <c r="G65" s="13" t="s">
        <v>112</v>
      </c>
      <c r="H65" s="13" t="s">
        <v>113</v>
      </c>
      <c r="I65" s="13"/>
      <c r="J65" s="13"/>
      <c r="K65" s="13">
        <v>203</v>
      </c>
      <c r="L65" s="13">
        <v>11</v>
      </c>
      <c r="M65" s="13">
        <v>3</v>
      </c>
      <c r="N65" s="13" t="s">
        <v>3</v>
      </c>
      <c r="O65" s="13">
        <v>2</v>
      </c>
      <c r="P65" s="13">
        <f>ROUND(Source!DI53,O65)</f>
        <v>1768.95</v>
      </c>
      <c r="Q65" s="13"/>
      <c r="R65" s="13"/>
      <c r="S65" s="13"/>
      <c r="T65" s="13"/>
      <c r="U65" s="13"/>
      <c r="V65" s="13"/>
      <c r="W65" s="13">
        <v>158.25</v>
      </c>
      <c r="X65" s="13">
        <v>1</v>
      </c>
      <c r="Y65" s="13">
        <v>158.25</v>
      </c>
      <c r="Z65" s="13">
        <v>1768.95</v>
      </c>
      <c r="AA65" s="13">
        <v>1</v>
      </c>
      <c r="AB65" s="13">
        <v>1768.95</v>
      </c>
    </row>
    <row r="66" spans="1:28" ht="13" x14ac:dyDescent="0.3">
      <c r="A66" s="13">
        <v>50</v>
      </c>
      <c r="B66" s="13">
        <v>0</v>
      </c>
      <c r="C66" s="13">
        <v>0</v>
      </c>
      <c r="D66" s="13">
        <v>1</v>
      </c>
      <c r="E66" s="13">
        <v>231</v>
      </c>
      <c r="F66" s="13">
        <f>ROUND(Source!BB53,O66)</f>
        <v>0</v>
      </c>
      <c r="G66" s="13" t="s">
        <v>114</v>
      </c>
      <c r="H66" s="13" t="s">
        <v>115</v>
      </c>
      <c r="I66" s="13"/>
      <c r="J66" s="13"/>
      <c r="K66" s="13">
        <v>231</v>
      </c>
      <c r="L66" s="13">
        <v>12</v>
      </c>
      <c r="M66" s="13">
        <v>3</v>
      </c>
      <c r="N66" s="13" t="s">
        <v>3</v>
      </c>
      <c r="O66" s="13">
        <v>2</v>
      </c>
      <c r="P66" s="13">
        <f>ROUND(Source!ET53,O66)</f>
        <v>0</v>
      </c>
      <c r="Q66" s="13"/>
      <c r="R66" s="13"/>
      <c r="S66" s="13"/>
      <c r="T66" s="13"/>
      <c r="U66" s="13"/>
      <c r="V66" s="13"/>
      <c r="W66" s="13">
        <v>0</v>
      </c>
      <c r="X66" s="13">
        <v>1</v>
      </c>
      <c r="Y66" s="13">
        <v>0</v>
      </c>
      <c r="Z66" s="13">
        <v>0</v>
      </c>
      <c r="AA66" s="13">
        <v>1</v>
      </c>
      <c r="AB66" s="13">
        <v>0</v>
      </c>
    </row>
    <row r="67" spans="1:28" ht="13" x14ac:dyDescent="0.3">
      <c r="A67" s="13">
        <v>50</v>
      </c>
      <c r="B67" s="13">
        <v>0</v>
      </c>
      <c r="C67" s="13">
        <v>0</v>
      </c>
      <c r="D67" s="13">
        <v>1</v>
      </c>
      <c r="E67" s="13">
        <v>204</v>
      </c>
      <c r="F67" s="13">
        <f>ROUND(Source!R53,O67)</f>
        <v>4.24</v>
      </c>
      <c r="G67" s="13" t="s">
        <v>116</v>
      </c>
      <c r="H67" s="13" t="s">
        <v>117</v>
      </c>
      <c r="I67" s="13"/>
      <c r="J67" s="13"/>
      <c r="K67" s="13">
        <v>204</v>
      </c>
      <c r="L67" s="13">
        <v>13</v>
      </c>
      <c r="M67" s="13">
        <v>3</v>
      </c>
      <c r="N67" s="13" t="s">
        <v>3</v>
      </c>
      <c r="O67" s="13">
        <v>2</v>
      </c>
      <c r="P67" s="13">
        <f>ROUND(Source!DJ53,O67)</f>
        <v>238.92</v>
      </c>
      <c r="Q67" s="13"/>
      <c r="R67" s="13"/>
      <c r="S67" s="13"/>
      <c r="T67" s="13"/>
      <c r="U67" s="13"/>
      <c r="V67" s="13"/>
      <c r="W67" s="13">
        <v>4.24</v>
      </c>
      <c r="X67" s="13">
        <v>1</v>
      </c>
      <c r="Y67" s="13">
        <v>4.24</v>
      </c>
      <c r="Z67" s="13">
        <v>238.92</v>
      </c>
      <c r="AA67" s="13">
        <v>1</v>
      </c>
      <c r="AB67" s="13">
        <v>238.92</v>
      </c>
    </row>
    <row r="68" spans="1:28" ht="13" x14ac:dyDescent="0.3">
      <c r="A68" s="13">
        <v>50</v>
      </c>
      <c r="B68" s="13">
        <v>0</v>
      </c>
      <c r="C68" s="13">
        <v>0</v>
      </c>
      <c r="D68" s="13">
        <v>1</v>
      </c>
      <c r="E68" s="13">
        <v>205</v>
      </c>
      <c r="F68" s="13">
        <f>ROUND(Source!S53,O68)</f>
        <v>10015.530000000001</v>
      </c>
      <c r="G68" s="13" t="s">
        <v>118</v>
      </c>
      <c r="H68" s="13" t="s">
        <v>119</v>
      </c>
      <c r="I68" s="13"/>
      <c r="J68" s="13"/>
      <c r="K68" s="13">
        <v>205</v>
      </c>
      <c r="L68" s="13">
        <v>14</v>
      </c>
      <c r="M68" s="13">
        <v>3</v>
      </c>
      <c r="N68" s="13" t="s">
        <v>3</v>
      </c>
      <c r="O68" s="13">
        <v>2</v>
      </c>
      <c r="P68" s="13">
        <f>ROUND(Source!DK53,O68)</f>
        <v>564375.1</v>
      </c>
      <c r="Q68" s="13"/>
      <c r="R68" s="13"/>
      <c r="S68" s="13"/>
      <c r="T68" s="13"/>
      <c r="U68" s="13"/>
      <c r="V68" s="13"/>
      <c r="W68" s="13">
        <v>10015.530000000001</v>
      </c>
      <c r="X68" s="13">
        <v>1</v>
      </c>
      <c r="Y68" s="13">
        <v>10015.530000000001</v>
      </c>
      <c r="Z68" s="13">
        <v>564375.1</v>
      </c>
      <c r="AA68" s="13">
        <v>1</v>
      </c>
      <c r="AB68" s="13">
        <v>564375.1</v>
      </c>
    </row>
    <row r="69" spans="1:28" ht="13" x14ac:dyDescent="0.3">
      <c r="A69" s="13">
        <v>50</v>
      </c>
      <c r="B69" s="13">
        <v>0</v>
      </c>
      <c r="C69" s="13">
        <v>0</v>
      </c>
      <c r="D69" s="13">
        <v>1</v>
      </c>
      <c r="E69" s="13">
        <v>232</v>
      </c>
      <c r="F69" s="13">
        <f>ROUND(Source!BC53,O69)</f>
        <v>0</v>
      </c>
      <c r="G69" s="13" t="s">
        <v>120</v>
      </c>
      <c r="H69" s="13" t="s">
        <v>121</v>
      </c>
      <c r="I69" s="13"/>
      <c r="J69" s="13"/>
      <c r="K69" s="13">
        <v>232</v>
      </c>
      <c r="L69" s="13">
        <v>15</v>
      </c>
      <c r="M69" s="13">
        <v>3</v>
      </c>
      <c r="N69" s="13" t="s">
        <v>3</v>
      </c>
      <c r="O69" s="13">
        <v>2</v>
      </c>
      <c r="P69" s="13">
        <f>ROUND(Source!EU53,O69)</f>
        <v>0</v>
      </c>
      <c r="Q69" s="13"/>
      <c r="R69" s="13"/>
      <c r="S69" s="13"/>
      <c r="T69" s="13"/>
      <c r="U69" s="13"/>
      <c r="V69" s="13"/>
      <c r="W69" s="13">
        <v>0</v>
      </c>
      <c r="X69" s="13">
        <v>1</v>
      </c>
      <c r="Y69" s="13">
        <v>0</v>
      </c>
      <c r="Z69" s="13">
        <v>0</v>
      </c>
      <c r="AA69" s="13">
        <v>1</v>
      </c>
      <c r="AB69" s="13">
        <v>0</v>
      </c>
    </row>
    <row r="70" spans="1:28" ht="13" x14ac:dyDescent="0.3">
      <c r="A70" s="13">
        <v>50</v>
      </c>
      <c r="B70" s="13">
        <v>0</v>
      </c>
      <c r="C70" s="13">
        <v>0</v>
      </c>
      <c r="D70" s="13">
        <v>1</v>
      </c>
      <c r="E70" s="13">
        <v>214</v>
      </c>
      <c r="F70" s="13">
        <f>ROUND(Source!AS53,O70)</f>
        <v>92.44</v>
      </c>
      <c r="G70" s="13" t="s">
        <v>122</v>
      </c>
      <c r="H70" s="13" t="s">
        <v>123</v>
      </c>
      <c r="I70" s="13"/>
      <c r="J70" s="13"/>
      <c r="K70" s="13">
        <v>214</v>
      </c>
      <c r="L70" s="13">
        <v>16</v>
      </c>
      <c r="M70" s="13">
        <v>3</v>
      </c>
      <c r="N70" s="13" t="s">
        <v>3</v>
      </c>
      <c r="O70" s="13">
        <v>2</v>
      </c>
      <c r="P70" s="13">
        <f>ROUND(Source!EK53,O70)</f>
        <v>5169.33</v>
      </c>
      <c r="Q70" s="13"/>
      <c r="R70" s="13"/>
      <c r="S70" s="13"/>
      <c r="T70" s="13"/>
      <c r="U70" s="13"/>
      <c r="V70" s="13"/>
      <c r="W70" s="13">
        <v>92.44</v>
      </c>
      <c r="X70" s="13">
        <v>1</v>
      </c>
      <c r="Y70" s="13">
        <v>92.44</v>
      </c>
      <c r="Z70" s="13">
        <v>5169.33</v>
      </c>
      <c r="AA70" s="13">
        <v>1</v>
      </c>
      <c r="AB70" s="13">
        <v>5169.33</v>
      </c>
    </row>
    <row r="71" spans="1:28" ht="13" x14ac:dyDescent="0.3">
      <c r="A71" s="13">
        <v>50</v>
      </c>
      <c r="B71" s="13">
        <v>0</v>
      </c>
      <c r="C71" s="13">
        <v>0</v>
      </c>
      <c r="D71" s="13">
        <v>1</v>
      </c>
      <c r="E71" s="13">
        <v>215</v>
      </c>
      <c r="F71" s="13">
        <f>ROUND(Source!AT53,O71)</f>
        <v>23926.11</v>
      </c>
      <c r="G71" s="13" t="s">
        <v>124</v>
      </c>
      <c r="H71" s="13" t="s">
        <v>125</v>
      </c>
      <c r="I71" s="13"/>
      <c r="J71" s="13"/>
      <c r="K71" s="13">
        <v>215</v>
      </c>
      <c r="L71" s="13">
        <v>17</v>
      </c>
      <c r="M71" s="13">
        <v>3</v>
      </c>
      <c r="N71" s="13" t="s">
        <v>3</v>
      </c>
      <c r="O71" s="13">
        <v>2</v>
      </c>
      <c r="P71" s="13">
        <f>ROUND(Source!EL53,O71)</f>
        <v>1341127.1299999999</v>
      </c>
      <c r="Q71" s="13"/>
      <c r="R71" s="13"/>
      <c r="S71" s="13"/>
      <c r="T71" s="13"/>
      <c r="U71" s="13"/>
      <c r="V71" s="13"/>
      <c r="W71" s="13">
        <v>23926.11</v>
      </c>
      <c r="X71" s="13">
        <v>1</v>
      </c>
      <c r="Y71" s="13">
        <v>23926.11</v>
      </c>
      <c r="Z71" s="13">
        <v>1341127.1299999999</v>
      </c>
      <c r="AA71" s="13">
        <v>1</v>
      </c>
      <c r="AB71" s="13">
        <v>1341127.1299999999</v>
      </c>
    </row>
    <row r="72" spans="1:28" ht="13" x14ac:dyDescent="0.3">
      <c r="A72" s="13">
        <v>50</v>
      </c>
      <c r="B72" s="13">
        <v>0</v>
      </c>
      <c r="C72" s="13">
        <v>0</v>
      </c>
      <c r="D72" s="13">
        <v>1</v>
      </c>
      <c r="E72" s="13">
        <v>217</v>
      </c>
      <c r="F72" s="13">
        <f>ROUND(Source!AU53,O72)</f>
        <v>0</v>
      </c>
      <c r="G72" s="13" t="s">
        <v>126</v>
      </c>
      <c r="H72" s="13" t="s">
        <v>127</v>
      </c>
      <c r="I72" s="13"/>
      <c r="J72" s="13"/>
      <c r="K72" s="13">
        <v>217</v>
      </c>
      <c r="L72" s="13">
        <v>18</v>
      </c>
      <c r="M72" s="13">
        <v>3</v>
      </c>
      <c r="N72" s="13" t="s">
        <v>3</v>
      </c>
      <c r="O72" s="13">
        <v>2</v>
      </c>
      <c r="P72" s="13">
        <f>ROUND(Source!EM53,O72)</f>
        <v>0</v>
      </c>
      <c r="Q72" s="13"/>
      <c r="R72" s="13"/>
      <c r="S72" s="13"/>
      <c r="T72" s="13"/>
      <c r="U72" s="13"/>
      <c r="V72" s="13"/>
      <c r="W72" s="13">
        <v>0</v>
      </c>
      <c r="X72" s="13">
        <v>1</v>
      </c>
      <c r="Y72" s="13">
        <v>0</v>
      </c>
      <c r="Z72" s="13">
        <v>0</v>
      </c>
      <c r="AA72" s="13">
        <v>1</v>
      </c>
      <c r="AB72" s="13">
        <v>0</v>
      </c>
    </row>
    <row r="73" spans="1:28" ht="13" x14ac:dyDescent="0.3">
      <c r="A73" s="13">
        <v>50</v>
      </c>
      <c r="B73" s="13">
        <v>0</v>
      </c>
      <c r="C73" s="13">
        <v>0</v>
      </c>
      <c r="D73" s="13">
        <v>1</v>
      </c>
      <c r="E73" s="13">
        <v>230</v>
      </c>
      <c r="F73" s="13">
        <f>ROUND(Source!BA53,O73)</f>
        <v>0</v>
      </c>
      <c r="G73" s="13" t="s">
        <v>128</v>
      </c>
      <c r="H73" s="13" t="s">
        <v>129</v>
      </c>
      <c r="I73" s="13"/>
      <c r="J73" s="13"/>
      <c r="K73" s="13">
        <v>230</v>
      </c>
      <c r="L73" s="13">
        <v>19</v>
      </c>
      <c r="M73" s="13">
        <v>3</v>
      </c>
      <c r="N73" s="13" t="s">
        <v>3</v>
      </c>
      <c r="O73" s="13">
        <v>2</v>
      </c>
      <c r="P73" s="13">
        <f>ROUND(Source!ES53,O73)</f>
        <v>0</v>
      </c>
      <c r="Q73" s="13"/>
      <c r="R73" s="13"/>
      <c r="S73" s="13"/>
      <c r="T73" s="13"/>
      <c r="U73" s="13"/>
      <c r="V73" s="13"/>
      <c r="W73" s="13">
        <v>0</v>
      </c>
      <c r="X73" s="13">
        <v>1</v>
      </c>
      <c r="Y73" s="13">
        <v>0</v>
      </c>
      <c r="Z73" s="13">
        <v>0</v>
      </c>
      <c r="AA73" s="13">
        <v>1</v>
      </c>
      <c r="AB73" s="13">
        <v>0</v>
      </c>
    </row>
    <row r="74" spans="1:28" ht="13" x14ac:dyDescent="0.3">
      <c r="A74" s="13">
        <v>50</v>
      </c>
      <c r="B74" s="13">
        <v>0</v>
      </c>
      <c r="C74" s="13">
        <v>0</v>
      </c>
      <c r="D74" s="13">
        <v>1</v>
      </c>
      <c r="E74" s="13">
        <v>206</v>
      </c>
      <c r="F74" s="13">
        <f>ROUND(Source!T53,O74)</f>
        <v>0</v>
      </c>
      <c r="G74" s="13" t="s">
        <v>130</v>
      </c>
      <c r="H74" s="13" t="s">
        <v>131</v>
      </c>
      <c r="I74" s="13"/>
      <c r="J74" s="13"/>
      <c r="K74" s="13">
        <v>206</v>
      </c>
      <c r="L74" s="13">
        <v>20</v>
      </c>
      <c r="M74" s="13">
        <v>3</v>
      </c>
      <c r="N74" s="13" t="s">
        <v>3</v>
      </c>
      <c r="O74" s="13">
        <v>2</v>
      </c>
      <c r="P74" s="13">
        <f>ROUND(Source!DL53,O74)</f>
        <v>0</v>
      </c>
      <c r="Q74" s="13"/>
      <c r="R74" s="13"/>
      <c r="S74" s="13"/>
      <c r="T74" s="13"/>
      <c r="U74" s="13"/>
      <c r="V74" s="13"/>
      <c r="W74" s="13">
        <v>0</v>
      </c>
      <c r="X74" s="13">
        <v>1</v>
      </c>
      <c r="Y74" s="13">
        <v>0</v>
      </c>
      <c r="Z74" s="13">
        <v>0</v>
      </c>
      <c r="AA74" s="13">
        <v>1</v>
      </c>
      <c r="AB74" s="13">
        <v>0</v>
      </c>
    </row>
    <row r="75" spans="1:28" ht="13" x14ac:dyDescent="0.3">
      <c r="A75" s="13">
        <v>50</v>
      </c>
      <c r="B75" s="13">
        <v>0</v>
      </c>
      <c r="C75" s="13">
        <v>0</v>
      </c>
      <c r="D75" s="13">
        <v>1</v>
      </c>
      <c r="E75" s="13">
        <v>207</v>
      </c>
      <c r="F75" s="13">
        <f>Source!U53</f>
        <v>836.40380915999981</v>
      </c>
      <c r="G75" s="13" t="s">
        <v>132</v>
      </c>
      <c r="H75" s="13" t="s">
        <v>133</v>
      </c>
      <c r="I75" s="13"/>
      <c r="J75" s="13"/>
      <c r="K75" s="13">
        <v>207</v>
      </c>
      <c r="L75" s="13">
        <v>21</v>
      </c>
      <c r="M75" s="13">
        <v>3</v>
      </c>
      <c r="N75" s="13" t="s">
        <v>3</v>
      </c>
      <c r="O75" s="13">
        <v>-1</v>
      </c>
      <c r="P75" s="13">
        <f>Source!DM53</f>
        <v>836.40380915999981</v>
      </c>
      <c r="Q75" s="13"/>
      <c r="R75" s="13"/>
      <c r="S75" s="13"/>
      <c r="T75" s="13"/>
      <c r="U75" s="13"/>
      <c r="V75" s="13"/>
      <c r="W75" s="13">
        <v>836.40380916000004</v>
      </c>
      <c r="X75" s="13">
        <v>1</v>
      </c>
      <c r="Y75" s="13">
        <v>836.40380916000004</v>
      </c>
      <c r="Z75" s="13">
        <v>836.40380916000004</v>
      </c>
      <c r="AA75" s="13">
        <v>1</v>
      </c>
      <c r="AB75" s="13">
        <v>836.40380916000004</v>
      </c>
    </row>
    <row r="76" spans="1:28" ht="13" x14ac:dyDescent="0.3">
      <c r="A76" s="13">
        <v>50</v>
      </c>
      <c r="B76" s="13">
        <v>0</v>
      </c>
      <c r="C76" s="13">
        <v>0</v>
      </c>
      <c r="D76" s="13">
        <v>1</v>
      </c>
      <c r="E76" s="13">
        <v>208</v>
      </c>
      <c r="F76" s="13">
        <f>Source!V53</f>
        <v>0</v>
      </c>
      <c r="G76" s="13" t="s">
        <v>134</v>
      </c>
      <c r="H76" s="13" t="s">
        <v>135</v>
      </c>
      <c r="I76" s="13"/>
      <c r="J76" s="13"/>
      <c r="K76" s="13">
        <v>208</v>
      </c>
      <c r="L76" s="13">
        <v>22</v>
      </c>
      <c r="M76" s="13">
        <v>3</v>
      </c>
      <c r="N76" s="13" t="s">
        <v>3</v>
      </c>
      <c r="O76" s="13">
        <v>-1</v>
      </c>
      <c r="P76" s="13">
        <f>Source!DN53</f>
        <v>0</v>
      </c>
      <c r="Q76" s="13"/>
      <c r="R76" s="13"/>
      <c r="S76" s="13"/>
      <c r="T76" s="13"/>
      <c r="U76" s="13"/>
      <c r="V76" s="13"/>
      <c r="W76" s="13">
        <v>0</v>
      </c>
      <c r="X76" s="13">
        <v>1</v>
      </c>
      <c r="Y76" s="13">
        <v>0</v>
      </c>
      <c r="Z76" s="13">
        <v>0</v>
      </c>
      <c r="AA76" s="13">
        <v>1</v>
      </c>
      <c r="AB76" s="13">
        <v>0</v>
      </c>
    </row>
    <row r="77" spans="1:28" ht="13" x14ac:dyDescent="0.3">
      <c r="A77" s="13">
        <v>50</v>
      </c>
      <c r="B77" s="13">
        <v>0</v>
      </c>
      <c r="C77" s="13">
        <v>0</v>
      </c>
      <c r="D77" s="13">
        <v>1</v>
      </c>
      <c r="E77" s="13">
        <v>209</v>
      </c>
      <c r="F77" s="13">
        <f>ROUND(Source!W53,O77)</f>
        <v>0</v>
      </c>
      <c r="G77" s="13" t="s">
        <v>136</v>
      </c>
      <c r="H77" s="13" t="s">
        <v>137</v>
      </c>
      <c r="I77" s="13"/>
      <c r="J77" s="13"/>
      <c r="K77" s="13">
        <v>209</v>
      </c>
      <c r="L77" s="13">
        <v>23</v>
      </c>
      <c r="M77" s="13">
        <v>3</v>
      </c>
      <c r="N77" s="13" t="s">
        <v>3</v>
      </c>
      <c r="O77" s="13">
        <v>2</v>
      </c>
      <c r="P77" s="13">
        <f>ROUND(Source!DO53,O77)</f>
        <v>0</v>
      </c>
      <c r="Q77" s="13"/>
      <c r="R77" s="13"/>
      <c r="S77" s="13"/>
      <c r="T77" s="13"/>
      <c r="U77" s="13"/>
      <c r="V77" s="13"/>
      <c r="W77" s="13">
        <v>0</v>
      </c>
      <c r="X77" s="13">
        <v>1</v>
      </c>
      <c r="Y77" s="13">
        <v>0</v>
      </c>
      <c r="Z77" s="13">
        <v>0</v>
      </c>
      <c r="AA77" s="13">
        <v>1</v>
      </c>
      <c r="AB77" s="13">
        <v>0</v>
      </c>
    </row>
    <row r="78" spans="1:28" ht="13" x14ac:dyDescent="0.3">
      <c r="A78" s="13">
        <v>50</v>
      </c>
      <c r="B78" s="13">
        <v>0</v>
      </c>
      <c r="C78" s="13">
        <v>0</v>
      </c>
      <c r="D78" s="13">
        <v>1</v>
      </c>
      <c r="E78" s="13">
        <v>233</v>
      </c>
      <c r="F78" s="13">
        <f>ROUND(Source!BD53,O78)</f>
        <v>0</v>
      </c>
      <c r="G78" s="13" t="s">
        <v>138</v>
      </c>
      <c r="H78" s="13" t="s">
        <v>139</v>
      </c>
      <c r="I78" s="13"/>
      <c r="J78" s="13"/>
      <c r="K78" s="13">
        <v>233</v>
      </c>
      <c r="L78" s="13">
        <v>24</v>
      </c>
      <c r="M78" s="13">
        <v>3</v>
      </c>
      <c r="N78" s="13" t="s">
        <v>3</v>
      </c>
      <c r="O78" s="13">
        <v>2</v>
      </c>
      <c r="P78" s="13">
        <f>ROUND(Source!EV53,O78)</f>
        <v>0</v>
      </c>
      <c r="Q78" s="13"/>
      <c r="R78" s="13"/>
      <c r="S78" s="13"/>
      <c r="T78" s="13"/>
      <c r="U78" s="13"/>
      <c r="V78" s="13"/>
      <c r="W78" s="13">
        <v>0</v>
      </c>
      <c r="X78" s="13">
        <v>1</v>
      </c>
      <c r="Y78" s="13">
        <v>0</v>
      </c>
      <c r="Z78" s="13">
        <v>0</v>
      </c>
      <c r="AA78" s="13">
        <v>1</v>
      </c>
      <c r="AB78" s="13">
        <v>0</v>
      </c>
    </row>
    <row r="79" spans="1:28" ht="13" x14ac:dyDescent="0.3">
      <c r="A79" s="13">
        <v>50</v>
      </c>
      <c r="B79" s="13">
        <v>0</v>
      </c>
      <c r="C79" s="13">
        <v>0</v>
      </c>
      <c r="D79" s="13">
        <v>1</v>
      </c>
      <c r="E79" s="13">
        <v>210</v>
      </c>
      <c r="F79" s="13">
        <f>ROUND(Source!X53,O79)</f>
        <v>9110.84</v>
      </c>
      <c r="G79" s="13" t="s">
        <v>140</v>
      </c>
      <c r="H79" s="13" t="s">
        <v>141</v>
      </c>
      <c r="I79" s="13"/>
      <c r="J79" s="13"/>
      <c r="K79" s="13">
        <v>210</v>
      </c>
      <c r="L79" s="13">
        <v>25</v>
      </c>
      <c r="M79" s="13">
        <v>3</v>
      </c>
      <c r="N79" s="13" t="s">
        <v>3</v>
      </c>
      <c r="O79" s="13">
        <v>2</v>
      </c>
      <c r="P79" s="13">
        <f>ROUND(Source!DP53,O79)</f>
        <v>513395.89</v>
      </c>
      <c r="Q79" s="13"/>
      <c r="R79" s="13"/>
      <c r="S79" s="13"/>
      <c r="T79" s="13"/>
      <c r="U79" s="13"/>
      <c r="V79" s="13"/>
      <c r="W79" s="13">
        <v>9110.84</v>
      </c>
      <c r="X79" s="13">
        <v>1</v>
      </c>
      <c r="Y79" s="13">
        <v>9110.84</v>
      </c>
      <c r="Z79" s="13">
        <v>513395.89</v>
      </c>
      <c r="AA79" s="13">
        <v>1</v>
      </c>
      <c r="AB79" s="13">
        <v>513395.89</v>
      </c>
    </row>
    <row r="80" spans="1:28" ht="13" x14ac:dyDescent="0.3">
      <c r="A80" s="13">
        <v>50</v>
      </c>
      <c r="B80" s="13">
        <v>0</v>
      </c>
      <c r="C80" s="13">
        <v>0</v>
      </c>
      <c r="D80" s="13">
        <v>1</v>
      </c>
      <c r="E80" s="13">
        <v>211</v>
      </c>
      <c r="F80" s="13">
        <f>ROUND(Source!Y53,O80)</f>
        <v>4733.93</v>
      </c>
      <c r="G80" s="13" t="s">
        <v>142</v>
      </c>
      <c r="H80" s="13" t="s">
        <v>143</v>
      </c>
      <c r="I80" s="13"/>
      <c r="J80" s="13"/>
      <c r="K80" s="13">
        <v>211</v>
      </c>
      <c r="L80" s="13">
        <v>26</v>
      </c>
      <c r="M80" s="13">
        <v>3</v>
      </c>
      <c r="N80" s="13" t="s">
        <v>3</v>
      </c>
      <c r="O80" s="13">
        <v>2</v>
      </c>
      <c r="P80" s="13">
        <f>ROUND(Source!DQ53,O80)</f>
        <v>266756.52</v>
      </c>
      <c r="Q80" s="13"/>
      <c r="R80" s="13"/>
      <c r="S80" s="13"/>
      <c r="T80" s="13"/>
      <c r="U80" s="13"/>
      <c r="V80" s="13"/>
      <c r="W80" s="13">
        <v>4733.93</v>
      </c>
      <c r="X80" s="13">
        <v>1</v>
      </c>
      <c r="Y80" s="13">
        <v>4733.93</v>
      </c>
      <c r="Z80" s="13">
        <v>266756.52</v>
      </c>
      <c r="AA80" s="13">
        <v>1</v>
      </c>
      <c r="AB80" s="13">
        <v>266756.52</v>
      </c>
    </row>
    <row r="81" spans="1:255" ht="13" x14ac:dyDescent="0.3">
      <c r="A81" s="13">
        <v>50</v>
      </c>
      <c r="B81" s="13">
        <v>0</v>
      </c>
      <c r="C81" s="13">
        <v>0</v>
      </c>
      <c r="D81" s="13">
        <v>1</v>
      </c>
      <c r="E81" s="13">
        <v>224</v>
      </c>
      <c r="F81" s="13">
        <f>ROUND(Source!AR53,O81)</f>
        <v>24018.55</v>
      </c>
      <c r="G81" s="13" t="s">
        <v>144</v>
      </c>
      <c r="H81" s="13" t="s">
        <v>145</v>
      </c>
      <c r="I81" s="13"/>
      <c r="J81" s="13"/>
      <c r="K81" s="13">
        <v>224</v>
      </c>
      <c r="L81" s="13">
        <v>27</v>
      </c>
      <c r="M81" s="13">
        <v>3</v>
      </c>
      <c r="N81" s="13" t="s">
        <v>3</v>
      </c>
      <c r="O81" s="13">
        <v>2</v>
      </c>
      <c r="P81" s="13">
        <f>ROUND(Source!EJ53,O81)</f>
        <v>1346296.46</v>
      </c>
      <c r="Q81" s="13"/>
      <c r="R81" s="13"/>
      <c r="S81" s="13"/>
      <c r="T81" s="13"/>
      <c r="U81" s="13"/>
      <c r="V81" s="13"/>
      <c r="W81" s="13">
        <v>24018.55</v>
      </c>
      <c r="X81" s="13">
        <v>1</v>
      </c>
      <c r="Y81" s="13">
        <v>24018.55</v>
      </c>
      <c r="Z81" s="13">
        <v>1346296.46</v>
      </c>
      <c r="AA81" s="13">
        <v>1</v>
      </c>
      <c r="AB81" s="13">
        <v>1346296.46</v>
      </c>
    </row>
    <row r="83" spans="1:255" ht="13" x14ac:dyDescent="0.3">
      <c r="A83" s="10">
        <v>4</v>
      </c>
      <c r="B83" s="10">
        <v>1</v>
      </c>
      <c r="C83" s="10"/>
      <c r="D83" s="10">
        <f>ROW(A152)</f>
        <v>152</v>
      </c>
      <c r="E83" s="10"/>
      <c r="F83" s="10" t="s">
        <v>3</v>
      </c>
      <c r="G83" s="10" t="s">
        <v>146</v>
      </c>
      <c r="H83" s="10" t="s">
        <v>3</v>
      </c>
      <c r="I83" s="10">
        <v>0</v>
      </c>
      <c r="J83" s="10"/>
      <c r="K83" s="10">
        <v>-1</v>
      </c>
      <c r="L83" s="10"/>
      <c r="M83" s="10" t="s">
        <v>3</v>
      </c>
      <c r="N83" s="10"/>
      <c r="O83" s="10"/>
      <c r="P83" s="10"/>
      <c r="Q83" s="10"/>
      <c r="R83" s="10"/>
      <c r="S83" s="10">
        <v>0</v>
      </c>
      <c r="T83" s="10">
        <v>0</v>
      </c>
      <c r="U83" s="10" t="s">
        <v>3</v>
      </c>
      <c r="V83" s="10">
        <v>2</v>
      </c>
      <c r="W83" s="10"/>
      <c r="X83" s="10"/>
      <c r="Y83" s="10"/>
      <c r="Z83" s="10"/>
      <c r="AA83" s="10"/>
      <c r="AB83" s="10" t="s">
        <v>3</v>
      </c>
      <c r="AC83" s="10" t="s">
        <v>3</v>
      </c>
      <c r="AD83" s="10" t="s">
        <v>3</v>
      </c>
      <c r="AE83" s="10" t="s">
        <v>3</v>
      </c>
      <c r="AF83" s="10" t="s">
        <v>3</v>
      </c>
      <c r="AG83" s="10" t="s">
        <v>3</v>
      </c>
      <c r="AH83" s="10"/>
      <c r="AI83" s="10"/>
      <c r="AJ83" s="10"/>
      <c r="AK83" s="10"/>
      <c r="AL83" s="10"/>
      <c r="AM83" s="10"/>
      <c r="AN83" s="10"/>
      <c r="AO83" s="10"/>
      <c r="AP83" s="10" t="s">
        <v>3</v>
      </c>
      <c r="AQ83" s="10" t="s">
        <v>3</v>
      </c>
      <c r="AR83" s="10" t="s">
        <v>3</v>
      </c>
      <c r="AS83" s="10"/>
      <c r="AT83" s="10"/>
      <c r="AU83" s="10"/>
      <c r="AV83" s="10"/>
      <c r="AW83" s="10"/>
      <c r="AX83" s="10"/>
      <c r="AY83" s="10"/>
      <c r="AZ83" s="10" t="s">
        <v>3</v>
      </c>
      <c r="BA83" s="10"/>
      <c r="BB83" s="10" t="s">
        <v>3</v>
      </c>
      <c r="BC83" s="10" t="s">
        <v>3</v>
      </c>
      <c r="BD83" s="10" t="s">
        <v>3</v>
      </c>
      <c r="BE83" s="10" t="s">
        <v>3</v>
      </c>
      <c r="BF83" s="10" t="s">
        <v>3</v>
      </c>
      <c r="BG83" s="10" t="s">
        <v>3</v>
      </c>
      <c r="BH83" s="10" t="s">
        <v>3</v>
      </c>
      <c r="BI83" s="10" t="s">
        <v>3</v>
      </c>
      <c r="BJ83" s="10" t="s">
        <v>3</v>
      </c>
      <c r="BK83" s="10" t="s">
        <v>3</v>
      </c>
      <c r="BL83" s="10" t="s">
        <v>3</v>
      </c>
      <c r="BM83" s="10" t="s">
        <v>3</v>
      </c>
      <c r="BN83" s="10" t="s">
        <v>3</v>
      </c>
      <c r="BO83" s="10" t="s">
        <v>3</v>
      </c>
      <c r="BP83" s="10" t="s">
        <v>3</v>
      </c>
      <c r="BQ83" s="10"/>
      <c r="BR83" s="10"/>
      <c r="BS83" s="10"/>
      <c r="BT83" s="10"/>
      <c r="BU83" s="10"/>
      <c r="BV83" s="10"/>
      <c r="BW83" s="10"/>
      <c r="BX83" s="10">
        <v>0</v>
      </c>
      <c r="BY83" s="10"/>
      <c r="BZ83" s="10"/>
      <c r="CA83" s="10"/>
      <c r="CB83" s="10"/>
      <c r="CC83" s="10"/>
      <c r="CD83" s="10"/>
      <c r="CE83" s="10"/>
      <c r="CF83" s="10"/>
      <c r="CG83" s="10"/>
      <c r="CH83" s="10"/>
      <c r="CI83" s="10"/>
      <c r="CJ83" s="10">
        <v>0</v>
      </c>
    </row>
    <row r="85" spans="1:255" ht="13" x14ac:dyDescent="0.3">
      <c r="A85" s="11">
        <v>52</v>
      </c>
      <c r="B85" s="11">
        <f t="shared" ref="B85:G85" si="64">B152</f>
        <v>1</v>
      </c>
      <c r="C85" s="11">
        <f t="shared" si="64"/>
        <v>4</v>
      </c>
      <c r="D85" s="11">
        <f t="shared" si="64"/>
        <v>83</v>
      </c>
      <c r="E85" s="11">
        <f t="shared" si="64"/>
        <v>0</v>
      </c>
      <c r="F85" s="11" t="str">
        <f t="shared" si="64"/>
        <v/>
      </c>
      <c r="G85" s="11" t="str">
        <f t="shared" si="64"/>
        <v>Центральное оборудование системы</v>
      </c>
      <c r="H85" s="11"/>
      <c r="I85" s="11"/>
      <c r="J85" s="11"/>
      <c r="K85" s="11"/>
      <c r="L85" s="11"/>
      <c r="M85" s="11"/>
      <c r="N85" s="11"/>
      <c r="O85" s="11">
        <f t="shared" ref="O85:AT85" si="65">O152</f>
        <v>109193.04</v>
      </c>
      <c r="P85" s="11">
        <f t="shared" si="65"/>
        <v>108372.57</v>
      </c>
      <c r="Q85" s="11">
        <f t="shared" si="65"/>
        <v>115.9</v>
      </c>
      <c r="R85" s="11">
        <f t="shared" si="65"/>
        <v>12.56</v>
      </c>
      <c r="S85" s="11">
        <f t="shared" si="65"/>
        <v>704.57</v>
      </c>
      <c r="T85" s="11">
        <f t="shared" si="65"/>
        <v>0</v>
      </c>
      <c r="U85" s="11">
        <f t="shared" si="65"/>
        <v>55.83441599999999</v>
      </c>
      <c r="V85" s="11">
        <f t="shared" si="65"/>
        <v>0</v>
      </c>
      <c r="W85" s="11">
        <f t="shared" si="65"/>
        <v>0</v>
      </c>
      <c r="X85" s="11">
        <f t="shared" si="65"/>
        <v>645.41999999999996</v>
      </c>
      <c r="Y85" s="11">
        <f t="shared" si="65"/>
        <v>329.87</v>
      </c>
      <c r="Z85" s="11">
        <f t="shared" si="65"/>
        <v>0</v>
      </c>
      <c r="AA85" s="11">
        <f t="shared" si="65"/>
        <v>0</v>
      </c>
      <c r="AB85" s="11">
        <f t="shared" si="65"/>
        <v>109193.04</v>
      </c>
      <c r="AC85" s="11">
        <f t="shared" si="65"/>
        <v>108372.57</v>
      </c>
      <c r="AD85" s="11">
        <f t="shared" si="65"/>
        <v>115.9</v>
      </c>
      <c r="AE85" s="11">
        <f t="shared" si="65"/>
        <v>12.56</v>
      </c>
      <c r="AF85" s="11">
        <f t="shared" si="65"/>
        <v>704.57</v>
      </c>
      <c r="AG85" s="11">
        <f t="shared" si="65"/>
        <v>0</v>
      </c>
      <c r="AH85" s="11">
        <f t="shared" si="65"/>
        <v>55.83441599999999</v>
      </c>
      <c r="AI85" s="11">
        <f t="shared" si="65"/>
        <v>0</v>
      </c>
      <c r="AJ85" s="11">
        <f t="shared" si="65"/>
        <v>0</v>
      </c>
      <c r="AK85" s="11">
        <f t="shared" si="65"/>
        <v>645.41999999999996</v>
      </c>
      <c r="AL85" s="11">
        <f t="shared" si="65"/>
        <v>329.87</v>
      </c>
      <c r="AM85" s="11">
        <f t="shared" si="65"/>
        <v>0</v>
      </c>
      <c r="AN85" s="11">
        <f t="shared" si="65"/>
        <v>0</v>
      </c>
      <c r="AO85" s="11">
        <f t="shared" si="65"/>
        <v>0</v>
      </c>
      <c r="AP85" s="11">
        <f t="shared" si="65"/>
        <v>108319.21</v>
      </c>
      <c r="AQ85" s="11">
        <f t="shared" si="65"/>
        <v>0</v>
      </c>
      <c r="AR85" s="11">
        <f t="shared" si="65"/>
        <v>110168.33</v>
      </c>
      <c r="AS85" s="11">
        <f t="shared" si="65"/>
        <v>0</v>
      </c>
      <c r="AT85" s="11">
        <f t="shared" si="65"/>
        <v>1849.12</v>
      </c>
      <c r="AU85" s="11">
        <f t="shared" ref="AU85:BZ85" si="66">AU152</f>
        <v>0</v>
      </c>
      <c r="AV85" s="11">
        <f t="shared" si="66"/>
        <v>108372.57</v>
      </c>
      <c r="AW85" s="11">
        <f t="shared" si="66"/>
        <v>53.36</v>
      </c>
      <c r="AX85" s="11">
        <f t="shared" si="66"/>
        <v>0</v>
      </c>
      <c r="AY85" s="11">
        <f t="shared" si="66"/>
        <v>53.36</v>
      </c>
      <c r="AZ85" s="11">
        <f t="shared" si="66"/>
        <v>108319.21</v>
      </c>
      <c r="BA85" s="11">
        <f t="shared" si="66"/>
        <v>0</v>
      </c>
      <c r="BB85" s="11">
        <f t="shared" si="66"/>
        <v>0</v>
      </c>
      <c r="BC85" s="11">
        <f t="shared" si="66"/>
        <v>0</v>
      </c>
      <c r="BD85" s="11">
        <f t="shared" si="66"/>
        <v>0</v>
      </c>
      <c r="BE85" s="11">
        <f t="shared" si="66"/>
        <v>0</v>
      </c>
      <c r="BF85" s="11">
        <f t="shared" si="66"/>
        <v>0</v>
      </c>
      <c r="BG85" s="11">
        <f t="shared" si="66"/>
        <v>0</v>
      </c>
      <c r="BH85" s="11">
        <f t="shared" si="66"/>
        <v>0</v>
      </c>
      <c r="BI85" s="11">
        <f t="shared" si="66"/>
        <v>0</v>
      </c>
      <c r="BJ85" s="11">
        <f t="shared" si="66"/>
        <v>0</v>
      </c>
      <c r="BK85" s="11">
        <f t="shared" si="66"/>
        <v>0</v>
      </c>
      <c r="BL85" s="11">
        <f t="shared" si="66"/>
        <v>0</v>
      </c>
      <c r="BM85" s="11">
        <f t="shared" si="66"/>
        <v>0</v>
      </c>
      <c r="BN85" s="11">
        <f t="shared" si="66"/>
        <v>0</v>
      </c>
      <c r="BO85" s="11">
        <f t="shared" si="66"/>
        <v>0</v>
      </c>
      <c r="BP85" s="11">
        <f t="shared" si="66"/>
        <v>0</v>
      </c>
      <c r="BQ85" s="11">
        <f t="shared" si="66"/>
        <v>0</v>
      </c>
      <c r="BR85" s="11">
        <f t="shared" si="66"/>
        <v>0</v>
      </c>
      <c r="BS85" s="11">
        <f t="shared" si="66"/>
        <v>0</v>
      </c>
      <c r="BT85" s="11">
        <f t="shared" si="66"/>
        <v>0</v>
      </c>
      <c r="BU85" s="11">
        <f t="shared" si="66"/>
        <v>0</v>
      </c>
      <c r="BV85" s="11">
        <f t="shared" si="66"/>
        <v>0</v>
      </c>
      <c r="BW85" s="11">
        <f t="shared" si="66"/>
        <v>0</v>
      </c>
      <c r="BX85" s="11">
        <f t="shared" si="66"/>
        <v>0</v>
      </c>
      <c r="BY85" s="11">
        <f t="shared" si="66"/>
        <v>108319.21</v>
      </c>
      <c r="BZ85" s="11">
        <f t="shared" si="66"/>
        <v>0</v>
      </c>
      <c r="CA85" s="11">
        <f t="shared" ref="CA85:DF85" si="67">CA152</f>
        <v>110168.33</v>
      </c>
      <c r="CB85" s="11">
        <f t="shared" si="67"/>
        <v>0</v>
      </c>
      <c r="CC85" s="11">
        <f t="shared" si="67"/>
        <v>1849.12</v>
      </c>
      <c r="CD85" s="11">
        <f t="shared" si="67"/>
        <v>0</v>
      </c>
      <c r="CE85" s="11">
        <f t="shared" si="67"/>
        <v>108372.57</v>
      </c>
      <c r="CF85" s="11">
        <f t="shared" si="67"/>
        <v>53.360000000000582</v>
      </c>
      <c r="CG85" s="11">
        <f t="shared" si="67"/>
        <v>0</v>
      </c>
      <c r="CH85" s="11">
        <f t="shared" si="67"/>
        <v>53.360000000000582</v>
      </c>
      <c r="CI85" s="11">
        <f t="shared" si="67"/>
        <v>108319.21</v>
      </c>
      <c r="CJ85" s="11">
        <f t="shared" si="67"/>
        <v>0</v>
      </c>
      <c r="CK85" s="11">
        <f t="shared" si="67"/>
        <v>0</v>
      </c>
      <c r="CL85" s="11">
        <f t="shared" si="67"/>
        <v>0</v>
      </c>
      <c r="CM85" s="11">
        <f t="shared" si="67"/>
        <v>0</v>
      </c>
      <c r="CN85" s="11">
        <f t="shared" si="67"/>
        <v>0</v>
      </c>
      <c r="CO85" s="11">
        <f t="shared" si="67"/>
        <v>0</v>
      </c>
      <c r="CP85" s="11">
        <f t="shared" si="67"/>
        <v>0</v>
      </c>
      <c r="CQ85" s="11">
        <f t="shared" si="67"/>
        <v>0</v>
      </c>
      <c r="CR85" s="11">
        <f t="shared" si="67"/>
        <v>0</v>
      </c>
      <c r="CS85" s="11">
        <f t="shared" si="67"/>
        <v>0</v>
      </c>
      <c r="CT85" s="11">
        <f t="shared" si="67"/>
        <v>0</v>
      </c>
      <c r="CU85" s="11">
        <f t="shared" si="67"/>
        <v>0</v>
      </c>
      <c r="CV85" s="11">
        <f t="shared" si="67"/>
        <v>0</v>
      </c>
      <c r="CW85" s="11">
        <f t="shared" si="67"/>
        <v>0</v>
      </c>
      <c r="CX85" s="11">
        <f t="shared" si="67"/>
        <v>0</v>
      </c>
      <c r="CY85" s="11">
        <f t="shared" si="67"/>
        <v>0</v>
      </c>
      <c r="CZ85" s="11">
        <f t="shared" si="67"/>
        <v>0</v>
      </c>
      <c r="DA85" s="11">
        <f t="shared" si="67"/>
        <v>0</v>
      </c>
      <c r="DB85" s="11">
        <f t="shared" si="67"/>
        <v>0</v>
      </c>
      <c r="DC85" s="11">
        <f t="shared" si="67"/>
        <v>0</v>
      </c>
      <c r="DD85" s="11">
        <f t="shared" si="67"/>
        <v>0</v>
      </c>
      <c r="DE85" s="11">
        <f t="shared" si="67"/>
        <v>0</v>
      </c>
      <c r="DF85" s="11">
        <f t="shared" si="67"/>
        <v>0</v>
      </c>
      <c r="DG85" s="12">
        <f t="shared" ref="DG85:EL85" si="68">DG152</f>
        <v>862095.76</v>
      </c>
      <c r="DH85" s="12">
        <f t="shared" si="68"/>
        <v>820530.81</v>
      </c>
      <c r="DI85" s="12">
        <f t="shared" si="68"/>
        <v>1862.42</v>
      </c>
      <c r="DJ85" s="12">
        <f t="shared" si="68"/>
        <v>707.76</v>
      </c>
      <c r="DK85" s="12">
        <f t="shared" si="68"/>
        <v>39702.53</v>
      </c>
      <c r="DL85" s="12">
        <f t="shared" si="68"/>
        <v>0</v>
      </c>
      <c r="DM85" s="12">
        <f t="shared" si="68"/>
        <v>55.83441599999999</v>
      </c>
      <c r="DN85" s="12">
        <f t="shared" si="68"/>
        <v>0</v>
      </c>
      <c r="DO85" s="12">
        <f t="shared" si="68"/>
        <v>0</v>
      </c>
      <c r="DP85" s="12">
        <f t="shared" si="68"/>
        <v>36369.26</v>
      </c>
      <c r="DQ85" s="12">
        <f t="shared" si="68"/>
        <v>18588.73</v>
      </c>
      <c r="DR85" s="12">
        <f t="shared" si="68"/>
        <v>0</v>
      </c>
      <c r="DS85" s="12">
        <f t="shared" si="68"/>
        <v>0</v>
      </c>
      <c r="DT85" s="12">
        <f t="shared" si="68"/>
        <v>862095.76</v>
      </c>
      <c r="DU85" s="12">
        <f t="shared" si="68"/>
        <v>820530.81</v>
      </c>
      <c r="DV85" s="12">
        <f t="shared" si="68"/>
        <v>1862.42</v>
      </c>
      <c r="DW85" s="12">
        <f t="shared" si="68"/>
        <v>707.76</v>
      </c>
      <c r="DX85" s="12">
        <f t="shared" si="68"/>
        <v>39702.53</v>
      </c>
      <c r="DY85" s="12">
        <f t="shared" si="68"/>
        <v>0</v>
      </c>
      <c r="DZ85" s="12">
        <f t="shared" si="68"/>
        <v>55.83441599999999</v>
      </c>
      <c r="EA85" s="12">
        <f t="shared" si="68"/>
        <v>0</v>
      </c>
      <c r="EB85" s="12">
        <f t="shared" si="68"/>
        <v>0</v>
      </c>
      <c r="EC85" s="12">
        <f t="shared" si="68"/>
        <v>36369.26</v>
      </c>
      <c r="ED85" s="12">
        <f t="shared" si="68"/>
        <v>18588.73</v>
      </c>
      <c r="EE85" s="12">
        <f t="shared" si="68"/>
        <v>0</v>
      </c>
      <c r="EF85" s="12">
        <f t="shared" si="68"/>
        <v>0</v>
      </c>
      <c r="EG85" s="12">
        <f t="shared" si="68"/>
        <v>0</v>
      </c>
      <c r="EH85" s="12">
        <f t="shared" si="68"/>
        <v>819976.43</v>
      </c>
      <c r="EI85" s="12">
        <f t="shared" si="68"/>
        <v>0</v>
      </c>
      <c r="EJ85" s="12">
        <f t="shared" si="68"/>
        <v>917053.75</v>
      </c>
      <c r="EK85" s="12">
        <f t="shared" si="68"/>
        <v>0</v>
      </c>
      <c r="EL85" s="12">
        <f t="shared" si="68"/>
        <v>97077.32</v>
      </c>
      <c r="EM85" s="12">
        <f t="shared" ref="EM85:FR85" si="69">EM152</f>
        <v>0</v>
      </c>
      <c r="EN85" s="12">
        <f t="shared" si="69"/>
        <v>820530.81</v>
      </c>
      <c r="EO85" s="12">
        <f t="shared" si="69"/>
        <v>554.38</v>
      </c>
      <c r="EP85" s="12">
        <f t="shared" si="69"/>
        <v>0</v>
      </c>
      <c r="EQ85" s="12">
        <f t="shared" si="69"/>
        <v>554.38</v>
      </c>
      <c r="ER85" s="12">
        <f t="shared" si="69"/>
        <v>819976.43</v>
      </c>
      <c r="ES85" s="12">
        <f t="shared" si="69"/>
        <v>0</v>
      </c>
      <c r="ET85" s="12">
        <f t="shared" si="69"/>
        <v>0</v>
      </c>
      <c r="EU85" s="12">
        <f t="shared" si="69"/>
        <v>0</v>
      </c>
      <c r="EV85" s="12">
        <f t="shared" si="69"/>
        <v>0</v>
      </c>
      <c r="EW85" s="12">
        <f t="shared" si="69"/>
        <v>0</v>
      </c>
      <c r="EX85" s="12">
        <f t="shared" si="69"/>
        <v>0</v>
      </c>
      <c r="EY85" s="12">
        <f t="shared" si="69"/>
        <v>0</v>
      </c>
      <c r="EZ85" s="12">
        <f t="shared" si="69"/>
        <v>0</v>
      </c>
      <c r="FA85" s="12">
        <f t="shared" si="69"/>
        <v>0</v>
      </c>
      <c r="FB85" s="12">
        <f t="shared" si="69"/>
        <v>0</v>
      </c>
      <c r="FC85" s="12">
        <f t="shared" si="69"/>
        <v>0</v>
      </c>
      <c r="FD85" s="12">
        <f t="shared" si="69"/>
        <v>0</v>
      </c>
      <c r="FE85" s="12">
        <f t="shared" si="69"/>
        <v>0</v>
      </c>
      <c r="FF85" s="12">
        <f t="shared" si="69"/>
        <v>0</v>
      </c>
      <c r="FG85" s="12">
        <f t="shared" si="69"/>
        <v>0</v>
      </c>
      <c r="FH85" s="12">
        <f t="shared" si="69"/>
        <v>0</v>
      </c>
      <c r="FI85" s="12">
        <f t="shared" si="69"/>
        <v>0</v>
      </c>
      <c r="FJ85" s="12">
        <f t="shared" si="69"/>
        <v>0</v>
      </c>
      <c r="FK85" s="12">
        <f t="shared" si="69"/>
        <v>0</v>
      </c>
      <c r="FL85" s="12">
        <f t="shared" si="69"/>
        <v>0</v>
      </c>
      <c r="FM85" s="12">
        <f t="shared" si="69"/>
        <v>0</v>
      </c>
      <c r="FN85" s="12">
        <f t="shared" si="69"/>
        <v>0</v>
      </c>
      <c r="FO85" s="12">
        <f t="shared" si="69"/>
        <v>0</v>
      </c>
      <c r="FP85" s="12">
        <f t="shared" si="69"/>
        <v>0</v>
      </c>
      <c r="FQ85" s="12">
        <f t="shared" si="69"/>
        <v>819976.43</v>
      </c>
      <c r="FR85" s="12">
        <f t="shared" si="69"/>
        <v>0</v>
      </c>
      <c r="FS85" s="12">
        <f t="shared" ref="FS85:GX85" si="70">FS152</f>
        <v>917053.75</v>
      </c>
      <c r="FT85" s="12">
        <f t="shared" si="70"/>
        <v>0</v>
      </c>
      <c r="FU85" s="12">
        <f t="shared" si="70"/>
        <v>97077.32</v>
      </c>
      <c r="FV85" s="12">
        <f t="shared" si="70"/>
        <v>0</v>
      </c>
      <c r="FW85" s="12">
        <f t="shared" si="70"/>
        <v>820530.81</v>
      </c>
      <c r="FX85" s="12">
        <f t="shared" si="70"/>
        <v>554.38000000000466</v>
      </c>
      <c r="FY85" s="12">
        <f t="shared" si="70"/>
        <v>0</v>
      </c>
      <c r="FZ85" s="12">
        <f t="shared" si="70"/>
        <v>554.38000000000466</v>
      </c>
      <c r="GA85" s="12">
        <f t="shared" si="70"/>
        <v>819976.43</v>
      </c>
      <c r="GB85" s="12">
        <f t="shared" si="70"/>
        <v>0</v>
      </c>
      <c r="GC85" s="12">
        <f t="shared" si="70"/>
        <v>0</v>
      </c>
      <c r="GD85" s="12">
        <f t="shared" si="70"/>
        <v>0</v>
      </c>
      <c r="GE85" s="12">
        <f t="shared" si="70"/>
        <v>0</v>
      </c>
      <c r="GF85" s="12">
        <f t="shared" si="70"/>
        <v>0</v>
      </c>
      <c r="GG85" s="12">
        <f t="shared" si="70"/>
        <v>0</v>
      </c>
      <c r="GH85" s="12">
        <f t="shared" si="70"/>
        <v>0</v>
      </c>
      <c r="GI85" s="12">
        <f t="shared" si="70"/>
        <v>0</v>
      </c>
      <c r="GJ85" s="12">
        <f t="shared" si="70"/>
        <v>0</v>
      </c>
      <c r="GK85" s="12">
        <f t="shared" si="70"/>
        <v>0</v>
      </c>
      <c r="GL85" s="12">
        <f t="shared" si="70"/>
        <v>0</v>
      </c>
      <c r="GM85" s="12">
        <f t="shared" si="70"/>
        <v>0</v>
      </c>
      <c r="GN85" s="12">
        <f t="shared" si="70"/>
        <v>0</v>
      </c>
      <c r="GO85" s="12">
        <f t="shared" si="70"/>
        <v>0</v>
      </c>
      <c r="GP85" s="12">
        <f t="shared" si="70"/>
        <v>0</v>
      </c>
      <c r="GQ85" s="12">
        <f t="shared" si="70"/>
        <v>0</v>
      </c>
      <c r="GR85" s="12">
        <f t="shared" si="70"/>
        <v>0</v>
      </c>
      <c r="GS85" s="12">
        <f t="shared" si="70"/>
        <v>0</v>
      </c>
      <c r="GT85" s="12">
        <f t="shared" si="70"/>
        <v>0</v>
      </c>
      <c r="GU85" s="12">
        <f t="shared" si="70"/>
        <v>0</v>
      </c>
      <c r="GV85" s="12">
        <f t="shared" si="70"/>
        <v>0</v>
      </c>
      <c r="GW85" s="12">
        <f t="shared" si="70"/>
        <v>0</v>
      </c>
      <c r="GX85" s="12">
        <f t="shared" si="70"/>
        <v>0</v>
      </c>
    </row>
    <row r="87" spans="1:255" x14ac:dyDescent="0.25">
      <c r="A87" s="2">
        <v>17</v>
      </c>
      <c r="B87" s="2">
        <v>1</v>
      </c>
      <c r="C87" s="2">
        <f>ROW(SmtRes!A91)</f>
        <v>91</v>
      </c>
      <c r="D87" s="2">
        <f>ROW(EtalonRes!A116)</f>
        <v>116</v>
      </c>
      <c r="E87" s="2" t="s">
        <v>147</v>
      </c>
      <c r="F87" s="2" t="s">
        <v>25</v>
      </c>
      <c r="G87" s="2" t="s">
        <v>148</v>
      </c>
      <c r="H87" s="2" t="s">
        <v>27</v>
      </c>
      <c r="I87" s="2">
        <v>1</v>
      </c>
      <c r="J87" s="2">
        <v>0</v>
      </c>
      <c r="K87" s="2">
        <v>1</v>
      </c>
      <c r="L87" s="2"/>
      <c r="M87" s="2"/>
      <c r="N87" s="2"/>
      <c r="O87" s="2">
        <f t="shared" ref="O87:O118" si="71">ROUND(CP87,2)</f>
        <v>271.58999999999997</v>
      </c>
      <c r="P87" s="2">
        <f t="shared" ref="P87:P118" si="72">ROUND((ROUND((AC87*AW87*I87),2)*BC87),2)</f>
        <v>3.92</v>
      </c>
      <c r="Q87" s="2">
        <f>(ROUND((ROUND((((ET87*1.2))*AV87*I87),2)*BB87),2)+ROUND((ROUND(((AE87-((EU87*1.2)))*AV87*I87),2)*BS87),2))</f>
        <v>79.45</v>
      </c>
      <c r="R87" s="2">
        <f>(ROUND((ROUND((((EU87*1.2))*AV87*I87),2)*BS87),2)+ROUND((ROUND(((AE87-((EU87*1.2)))*AV87*I87),2)*BS87),2))</f>
        <v>8.56</v>
      </c>
      <c r="S87" s="2">
        <f t="shared" ref="S87:S118" si="73">ROUND((ROUND((AF87*AV87*I87),2)*BA87),2)</f>
        <v>188.22</v>
      </c>
      <c r="T87" s="2">
        <f t="shared" ref="T87:T118" si="74">ROUND(CU87*I87,2)</f>
        <v>0</v>
      </c>
      <c r="U87" s="2">
        <f t="shared" ref="U87:U118" si="75">CV87*I87</f>
        <v>16.835759999999997</v>
      </c>
      <c r="V87" s="2">
        <f t="shared" ref="V87:V118" si="76">CW87*I87</f>
        <v>0</v>
      </c>
      <c r="W87" s="2">
        <f t="shared" ref="W87:W118" si="77">ROUND(CX87*I87,2)</f>
        <v>0</v>
      </c>
      <c r="X87" s="2">
        <f>(ROUND((((S87+ROUND((ROUND((((EU87*1.2))*AV87*I87),2)*BS87),2))*AT87)/100),2)+ROUND(((ROUND((ROUND(((AE87-((EU87*1.2)))*AV87*I87),2)*BS87),2)*AT87)/100),2))</f>
        <v>177.1</v>
      </c>
      <c r="Y87" s="2">
        <f>(ROUND((((S87+ROUND((ROUND((((EU87*1.2))*AV87*I87),2)*BS87),2))*AU87)/100),2)+ROUND(((ROUND((ROUND(((AE87-((EU87*1.2)))*AV87*I87),2)*BS87),2)*AU87)/100),2))</f>
        <v>90.52</v>
      </c>
      <c r="Z87" s="2"/>
      <c r="AA87" s="2">
        <v>57014138</v>
      </c>
      <c r="AB87" s="2">
        <f t="shared" ref="AB87:AB118" si="78">ROUND((AC87+AD87+AF87),6)</f>
        <v>259.58</v>
      </c>
      <c r="AC87" s="2">
        <f>ROUND(((ES87*1)),6)</f>
        <v>3.92</v>
      </c>
      <c r="AD87" s="2">
        <f>ROUND(((((ET87*1.2))-((EU87*1.2)))+AE87),6)</f>
        <v>75.888000000000005</v>
      </c>
      <c r="AE87" s="2">
        <f>ROUND(((EU87*1.2)),6)</f>
        <v>8.1720000000000006</v>
      </c>
      <c r="AF87" s="2">
        <f>ROUND(((EV87*1.2)),6)</f>
        <v>179.77199999999999</v>
      </c>
      <c r="AG87" s="2">
        <f t="shared" ref="AG87:AG118" si="79">ROUND((AP87),6)</f>
        <v>0</v>
      </c>
      <c r="AH87" s="2">
        <f>((EW87*1.2))</f>
        <v>16.079999999999998</v>
      </c>
      <c r="AI87" s="2">
        <f>((EX87*1.2))</f>
        <v>0</v>
      </c>
      <c r="AJ87" s="2">
        <f t="shared" ref="AJ87:AJ118" si="80">(AS87)</f>
        <v>0</v>
      </c>
      <c r="AK87" s="2">
        <v>216.97</v>
      </c>
      <c r="AL87" s="2">
        <v>3.92</v>
      </c>
      <c r="AM87" s="2">
        <v>63.24</v>
      </c>
      <c r="AN87" s="2">
        <v>6.81</v>
      </c>
      <c r="AO87" s="2">
        <v>149.81</v>
      </c>
      <c r="AP87" s="2">
        <v>0</v>
      </c>
      <c r="AQ87" s="2">
        <v>13.4</v>
      </c>
      <c r="AR87" s="2">
        <v>0</v>
      </c>
      <c r="AS87" s="2">
        <v>0</v>
      </c>
      <c r="AT87" s="2">
        <v>90</v>
      </c>
      <c r="AU87" s="2">
        <v>46</v>
      </c>
      <c r="AV87" s="2">
        <v>1.0469999999999999</v>
      </c>
      <c r="AW87" s="2">
        <v>1</v>
      </c>
      <c r="AX87" s="2"/>
      <c r="AY87" s="2"/>
      <c r="AZ87" s="2">
        <v>1</v>
      </c>
      <c r="BA87" s="2">
        <v>1</v>
      </c>
      <c r="BB87" s="2">
        <v>1</v>
      </c>
      <c r="BC87" s="2">
        <v>1</v>
      </c>
      <c r="BD87" s="2" t="s">
        <v>3</v>
      </c>
      <c r="BE87" s="2" t="s">
        <v>3</v>
      </c>
      <c r="BF87" s="2" t="s">
        <v>3</v>
      </c>
      <c r="BG87" s="2" t="s">
        <v>3</v>
      </c>
      <c r="BH87" s="2">
        <v>0</v>
      </c>
      <c r="BI87" s="2">
        <v>2</v>
      </c>
      <c r="BJ87" s="2" t="s">
        <v>28</v>
      </c>
      <c r="BK87" s="2"/>
      <c r="BL87" s="2"/>
      <c r="BM87" s="2">
        <v>68</v>
      </c>
      <c r="BN87" s="2">
        <v>0</v>
      </c>
      <c r="BO87" s="2" t="s">
        <v>25</v>
      </c>
      <c r="BP87" s="2">
        <v>1</v>
      </c>
      <c r="BQ87" s="2">
        <v>40</v>
      </c>
      <c r="BR87" s="2">
        <v>0</v>
      </c>
      <c r="BS87" s="2">
        <v>1</v>
      </c>
      <c r="BT87" s="2">
        <v>1</v>
      </c>
      <c r="BU87" s="2">
        <v>1</v>
      </c>
      <c r="BV87" s="2">
        <v>1</v>
      </c>
      <c r="BW87" s="2">
        <v>1</v>
      </c>
      <c r="BX87" s="2">
        <v>1</v>
      </c>
      <c r="BY87" s="2" t="s">
        <v>3</v>
      </c>
      <c r="BZ87" s="2">
        <v>90</v>
      </c>
      <c r="CA87" s="2">
        <v>46</v>
      </c>
      <c r="CB87" s="2" t="s">
        <v>3</v>
      </c>
      <c r="CC87" s="2"/>
      <c r="CD87" s="2"/>
      <c r="CE87" s="2">
        <v>1566</v>
      </c>
      <c r="CF87" s="2">
        <v>0</v>
      </c>
      <c r="CG87" s="2">
        <v>0</v>
      </c>
      <c r="CH87" s="2"/>
      <c r="CI87" s="2"/>
      <c r="CJ87" s="2"/>
      <c r="CK87" s="2"/>
      <c r="CL87" s="2"/>
      <c r="CM87" s="2">
        <v>0</v>
      </c>
      <c r="CN87" s="2" t="s">
        <v>624</v>
      </c>
      <c r="CO87" s="2">
        <v>0</v>
      </c>
      <c r="CP87" s="2">
        <f t="shared" ref="CP87:CP118" si="81">(P87+Q87+S87)</f>
        <v>271.59000000000003</v>
      </c>
      <c r="CQ87" s="2">
        <f t="shared" ref="CQ87:CQ118" si="82">ROUND((ROUND((AC87*AW87*1),2)*BC87),2)</f>
        <v>3.92</v>
      </c>
      <c r="CR87" s="2">
        <f>(ROUND((ROUND((((ET87*1.2))*AV87*1),2)*BB87),2)+ROUND((ROUND(((AE87-((EU87*1.2)))*AV87*1),2)*BS87),2))</f>
        <v>79.45</v>
      </c>
      <c r="CS87" s="2">
        <f>(ROUND((ROUND((((EU87*1.2))*AV87*1),2)*BS87),2)+ROUND((ROUND(((AE87-((EU87*1.2)))*AV87*1),2)*BS87),2))</f>
        <v>8.56</v>
      </c>
      <c r="CT87" s="2">
        <f t="shared" ref="CT87:CT118" si="83">ROUND((ROUND((AF87*AV87*1),2)*BA87),2)</f>
        <v>188.22</v>
      </c>
      <c r="CU87" s="2">
        <f t="shared" ref="CU87:CU118" si="84">AG87</f>
        <v>0</v>
      </c>
      <c r="CV87" s="2">
        <f t="shared" ref="CV87:CV118" si="85">(AH87*AV87)</f>
        <v>16.835759999999997</v>
      </c>
      <c r="CW87" s="2">
        <f t="shared" ref="CW87:CW118" si="86">AI87</f>
        <v>0</v>
      </c>
      <c r="CX87" s="2">
        <f t="shared" ref="CX87:CX118" si="87">AJ87</f>
        <v>0</v>
      </c>
      <c r="CY87" s="2">
        <f>(ROUND((((S87+ROUND((ROUND((((EU87*1.2))*AV87*1),2)*BS87),2))*AT87)/100),2)+ROUND(((ROUND((ROUND(((AE87-((EU87*1.2)))*AV87*1),2)*BS87),2)*AT87)/100),2))</f>
        <v>177.1</v>
      </c>
      <c r="CZ87" s="2">
        <f>(ROUND((((S87+ROUND((ROUND((((EU87*1.2))*AV87*1),2)*BS87),2))*AU87)/100),2)+ROUND(((ROUND((ROUND(((AE87-((EU87*1.2)))*AV87*1),2)*BS87),2)*AU87)/100),2))</f>
        <v>90.52</v>
      </c>
      <c r="DA87" s="2"/>
      <c r="DB87" s="2">
        <v>45</v>
      </c>
      <c r="DC87" s="2" t="s">
        <v>3</v>
      </c>
      <c r="DD87" s="2" t="s">
        <v>70</v>
      </c>
      <c r="DE87" s="2" t="s">
        <v>71</v>
      </c>
      <c r="DF87" s="2" t="s">
        <v>71</v>
      </c>
      <c r="DG87" s="2" t="s">
        <v>71</v>
      </c>
      <c r="DH87" s="2" t="s">
        <v>3</v>
      </c>
      <c r="DI87" s="2" t="s">
        <v>71</v>
      </c>
      <c r="DJ87" s="2" t="s">
        <v>71</v>
      </c>
      <c r="DK87" s="2" t="s">
        <v>3</v>
      </c>
      <c r="DL87" s="2" t="s">
        <v>3</v>
      </c>
      <c r="DM87" s="2" t="s">
        <v>3</v>
      </c>
      <c r="DN87" s="2">
        <v>0</v>
      </c>
      <c r="DO87" s="2">
        <v>0</v>
      </c>
      <c r="DP87" s="2">
        <v>1</v>
      </c>
      <c r="DQ87" s="2">
        <v>1</v>
      </c>
      <c r="DR87" s="2"/>
      <c r="DS87" s="2"/>
      <c r="DT87" s="2"/>
      <c r="DU87" s="2">
        <v>1013</v>
      </c>
      <c r="DV87" s="2" t="s">
        <v>27</v>
      </c>
      <c r="DW87" s="2" t="s">
        <v>27</v>
      </c>
      <c r="DX87" s="2">
        <v>1</v>
      </c>
      <c r="DY87" s="2"/>
      <c r="DZ87" s="2" t="s">
        <v>3</v>
      </c>
      <c r="EA87" s="2" t="s">
        <v>3</v>
      </c>
      <c r="EB87" s="2" t="s">
        <v>3</v>
      </c>
      <c r="EC87" s="2" t="s">
        <v>3</v>
      </c>
      <c r="ED87" s="2"/>
      <c r="EE87" s="2">
        <v>57042958</v>
      </c>
      <c r="EF87" s="2">
        <v>40</v>
      </c>
      <c r="EG87" s="2" t="s">
        <v>31</v>
      </c>
      <c r="EH87" s="2">
        <v>0</v>
      </c>
      <c r="EI87" s="2" t="s">
        <v>3</v>
      </c>
      <c r="EJ87" s="2">
        <v>2</v>
      </c>
      <c r="EK87" s="2">
        <v>68</v>
      </c>
      <c r="EL87" s="2" t="s">
        <v>32</v>
      </c>
      <c r="EM87" s="2" t="s">
        <v>33</v>
      </c>
      <c r="EN87" s="2"/>
      <c r="EO87" s="2" t="s">
        <v>75</v>
      </c>
      <c r="EP87" s="2"/>
      <c r="EQ87" s="2">
        <v>0</v>
      </c>
      <c r="ER87" s="2">
        <v>216.97</v>
      </c>
      <c r="ES87" s="2">
        <v>3.92</v>
      </c>
      <c r="ET87" s="2">
        <v>63.24</v>
      </c>
      <c r="EU87" s="2">
        <v>6.81</v>
      </c>
      <c r="EV87" s="2">
        <v>149.81</v>
      </c>
      <c r="EW87" s="2">
        <v>13.4</v>
      </c>
      <c r="EX87" s="2">
        <v>0</v>
      </c>
      <c r="EY87" s="2">
        <v>0</v>
      </c>
      <c r="EZ87" s="2"/>
      <c r="FA87" s="2"/>
      <c r="FB87" s="2"/>
      <c r="FC87" s="2"/>
      <c r="FD87" s="2"/>
      <c r="FE87" s="2"/>
      <c r="FF87" s="2"/>
      <c r="FG87" s="2"/>
      <c r="FH87" s="2"/>
      <c r="FI87" s="2"/>
      <c r="FJ87" s="2"/>
      <c r="FK87" s="2"/>
      <c r="FL87" s="2"/>
      <c r="FM87" s="2"/>
      <c r="FN87" s="2"/>
      <c r="FO87" s="2"/>
      <c r="FP87" s="2"/>
      <c r="FQ87" s="2">
        <v>0</v>
      </c>
      <c r="FR87" s="2">
        <v>0</v>
      </c>
      <c r="FS87" s="2">
        <v>0</v>
      </c>
      <c r="FT87" s="2"/>
      <c r="FU87" s="2"/>
      <c r="FV87" s="2"/>
      <c r="FW87" s="2"/>
      <c r="FX87" s="2">
        <v>90</v>
      </c>
      <c r="FY87" s="2">
        <v>46</v>
      </c>
      <c r="FZ87" s="2"/>
      <c r="GA87" s="2" t="s">
        <v>3</v>
      </c>
      <c r="GB87" s="2"/>
      <c r="GC87" s="2"/>
      <c r="GD87" s="2">
        <v>1</v>
      </c>
      <c r="GE87" s="2"/>
      <c r="GF87" s="2">
        <v>-1495082032</v>
      </c>
      <c r="GG87" s="2">
        <v>2</v>
      </c>
      <c r="GH87" s="2">
        <v>1</v>
      </c>
      <c r="GI87" s="2">
        <v>2</v>
      </c>
      <c r="GJ87" s="2">
        <v>0</v>
      </c>
      <c r="GK87" s="2">
        <v>0</v>
      </c>
      <c r="GL87" s="2">
        <f t="shared" ref="GL87:GL118" si="88">ROUND(IF(AND(BH87=3,BI87=3,FS87&lt;&gt;0),P87,0),2)</f>
        <v>0</v>
      </c>
      <c r="GM87" s="2">
        <f t="shared" ref="GM87:GM118" si="89">ROUND(O87+X87+Y87,2)+GX87</f>
        <v>539.21</v>
      </c>
      <c r="GN87" s="2">
        <f t="shared" ref="GN87:GN118" si="90">IF(OR(BI87=0,BI87=1),GM87-GX87,0)</f>
        <v>0</v>
      </c>
      <c r="GO87" s="2">
        <f t="shared" ref="GO87:GO118" si="91">IF(BI87=2,GM87-GX87,0)</f>
        <v>539.21</v>
      </c>
      <c r="GP87" s="2">
        <f t="shared" ref="GP87:GP118" si="92">IF(BI87=4,GM87-GX87,0)</f>
        <v>0</v>
      </c>
      <c r="GQ87" s="2"/>
      <c r="GR87" s="2">
        <v>0</v>
      </c>
      <c r="GS87" s="2">
        <v>3</v>
      </c>
      <c r="GT87" s="2">
        <v>0</v>
      </c>
      <c r="GU87" s="2" t="s">
        <v>3</v>
      </c>
      <c r="GV87" s="2">
        <f t="shared" ref="GV87:GV118" si="93">ROUND((GT87),6)</f>
        <v>0</v>
      </c>
      <c r="GW87" s="2">
        <v>1</v>
      </c>
      <c r="GX87" s="2">
        <f t="shared" ref="GX87:GX118" si="94">ROUND(HC87*I87,2)</f>
        <v>0</v>
      </c>
      <c r="GY87" s="2"/>
      <c r="GZ87" s="2"/>
      <c r="HA87" s="2">
        <v>0</v>
      </c>
      <c r="HB87" s="2">
        <v>0</v>
      </c>
      <c r="HC87" s="2">
        <f t="shared" ref="HC87:HC118" si="95">GV87*GW87</f>
        <v>0</v>
      </c>
      <c r="HD87" s="2"/>
      <c r="HE87" s="2" t="s">
        <v>3</v>
      </c>
      <c r="HF87" s="2" t="s">
        <v>3</v>
      </c>
      <c r="HG87" s="2"/>
      <c r="HH87" s="2"/>
      <c r="HI87" s="2"/>
      <c r="HJ87" s="2"/>
      <c r="HK87" s="2"/>
      <c r="HL87" s="2"/>
      <c r="HM87" s="2" t="s">
        <v>3</v>
      </c>
      <c r="HN87" s="2" t="s">
        <v>3</v>
      </c>
      <c r="HO87" s="2" t="s">
        <v>3</v>
      </c>
      <c r="HP87" s="2" t="s">
        <v>3</v>
      </c>
      <c r="HQ87" s="2" t="s">
        <v>3</v>
      </c>
      <c r="HR87" s="2"/>
      <c r="HS87" s="2">
        <v>0</v>
      </c>
      <c r="HT87" s="2"/>
      <c r="HU87" s="2"/>
      <c r="HV87" s="2"/>
      <c r="HW87" s="2"/>
      <c r="HX87" s="2"/>
      <c r="HY87" s="2"/>
      <c r="HZ87" s="2"/>
      <c r="IA87" s="2"/>
      <c r="IB87" s="2"/>
      <c r="IC87" s="2"/>
      <c r="ID87" s="2"/>
      <c r="IE87" s="2"/>
      <c r="IF87" s="2"/>
      <c r="IG87" s="2"/>
      <c r="IH87" s="2"/>
      <c r="II87" s="2"/>
      <c r="IJ87" s="2"/>
      <c r="IK87" s="2">
        <v>0</v>
      </c>
      <c r="IL87" s="2"/>
      <c r="IM87" s="2"/>
      <c r="IN87" s="2"/>
      <c r="IO87" s="2"/>
      <c r="IP87" s="2"/>
      <c r="IQ87" s="2"/>
      <c r="IR87" s="2"/>
      <c r="IS87" s="2"/>
      <c r="IT87" s="2"/>
      <c r="IU87" s="2"/>
    </row>
    <row r="88" spans="1:255" x14ac:dyDescent="0.25">
      <c r="A88" s="3">
        <v>17</v>
      </c>
      <c r="B88" s="3">
        <v>1</v>
      </c>
      <c r="C88" s="3">
        <f>ROW(SmtRes!A96)</f>
        <v>96</v>
      </c>
      <c r="D88" s="3">
        <f>ROW(EtalonRes!A122)</f>
        <v>122</v>
      </c>
      <c r="E88" s="3" t="s">
        <v>147</v>
      </c>
      <c r="F88" s="3" t="s">
        <v>25</v>
      </c>
      <c r="G88" s="3" t="s">
        <v>148</v>
      </c>
      <c r="H88" s="3" t="s">
        <v>27</v>
      </c>
      <c r="I88" s="3">
        <v>1</v>
      </c>
      <c r="J88" s="3">
        <v>0</v>
      </c>
      <c r="K88" s="3">
        <v>1</v>
      </c>
      <c r="O88" s="3">
        <f t="shared" si="71"/>
        <v>11908.49</v>
      </c>
      <c r="P88" s="3">
        <f t="shared" si="72"/>
        <v>27.91</v>
      </c>
      <c r="Q88" s="3">
        <f>(ROUND((ROUND((((ET88*1.2))*AV88*I88),2)*BB88),2)+ROUND((ROUND(((AE88-((EU88*1.2)))*AV88*I88),2)*BS88),2))</f>
        <v>1274.3800000000001</v>
      </c>
      <c r="R88" s="3">
        <f>(ROUND((ROUND((((EU88*1.2))*AV88*I88),2)*BS88),2)+ROUND((ROUND(((AE88-((EU88*1.2)))*AV88*I88),2)*BS88),2))</f>
        <v>482.36</v>
      </c>
      <c r="S88" s="3">
        <f t="shared" si="73"/>
        <v>10606.2</v>
      </c>
      <c r="T88" s="3">
        <f t="shared" si="74"/>
        <v>0</v>
      </c>
      <c r="U88" s="3">
        <f t="shared" si="75"/>
        <v>16.835759999999997</v>
      </c>
      <c r="V88" s="3">
        <f t="shared" si="76"/>
        <v>0</v>
      </c>
      <c r="W88" s="3">
        <f t="shared" si="77"/>
        <v>0</v>
      </c>
      <c r="X88" s="3">
        <f>(ROUND((((S88+ROUND((ROUND((((EU88*1.2))*AV88*I88),2)*BS88),2))*AT88)/100),2)+ROUND(((ROUND((ROUND(((AE88-((EU88*1.2)))*AV88*I88),2)*BS88),2)*AT88)/100),2))</f>
        <v>9979.7000000000007</v>
      </c>
      <c r="Y88" s="3">
        <f>(ROUND((((S88+ROUND((ROUND((((EU88*1.2))*AV88*I88),2)*BS88),2))*AU88)/100),2)+ROUND(((ROUND((ROUND(((AE88-((EU88*1.2)))*AV88*I88),2)*BS88),2)*AU88)/100),2))</f>
        <v>5100.74</v>
      </c>
      <c r="AA88" s="3">
        <v>57014140</v>
      </c>
      <c r="AB88" s="3">
        <f t="shared" si="78"/>
        <v>259.58</v>
      </c>
      <c r="AC88" s="3">
        <f>ROUND(((ES88*1)),6)</f>
        <v>3.92</v>
      </c>
      <c r="AD88" s="3">
        <f>ROUND(((((ET88*1.2))-((EU88*1.2)))+AE88),6)</f>
        <v>75.888000000000005</v>
      </c>
      <c r="AE88" s="3">
        <f>ROUND(((EU88*1.2)),6)</f>
        <v>8.1720000000000006</v>
      </c>
      <c r="AF88" s="3">
        <f>ROUND(((EV88*1.2)),6)</f>
        <v>179.77199999999999</v>
      </c>
      <c r="AG88" s="3">
        <f t="shared" si="79"/>
        <v>0</v>
      </c>
      <c r="AH88" s="3">
        <f>((EW88*1.2))</f>
        <v>16.079999999999998</v>
      </c>
      <c r="AI88" s="3">
        <f>((EX88*1.2))</f>
        <v>0</v>
      </c>
      <c r="AJ88" s="3">
        <f t="shared" si="80"/>
        <v>0</v>
      </c>
      <c r="AK88" s="3">
        <v>216.97</v>
      </c>
      <c r="AL88" s="3">
        <v>3.92</v>
      </c>
      <c r="AM88" s="3">
        <v>63.24</v>
      </c>
      <c r="AN88" s="3">
        <v>6.81</v>
      </c>
      <c r="AO88" s="3">
        <v>149.81</v>
      </c>
      <c r="AP88" s="3">
        <v>0</v>
      </c>
      <c r="AQ88" s="3">
        <v>13.4</v>
      </c>
      <c r="AR88" s="3">
        <v>0</v>
      </c>
      <c r="AS88" s="3">
        <v>0</v>
      </c>
      <c r="AT88" s="3">
        <v>90</v>
      </c>
      <c r="AU88" s="3">
        <v>46</v>
      </c>
      <c r="AV88" s="3">
        <v>1.0469999999999999</v>
      </c>
      <c r="AW88" s="3">
        <v>1</v>
      </c>
      <c r="AZ88" s="3">
        <v>1</v>
      </c>
      <c r="BA88" s="3">
        <v>56.35</v>
      </c>
      <c r="BB88" s="3">
        <v>16.04</v>
      </c>
      <c r="BC88" s="3">
        <v>7.12</v>
      </c>
      <c r="BD88" s="3" t="s">
        <v>3</v>
      </c>
      <c r="BE88" s="3" t="s">
        <v>3</v>
      </c>
      <c r="BF88" s="3" t="s">
        <v>3</v>
      </c>
      <c r="BG88" s="3" t="s">
        <v>3</v>
      </c>
      <c r="BH88" s="3">
        <v>0</v>
      </c>
      <c r="BI88" s="3">
        <v>2</v>
      </c>
      <c r="BJ88" s="3" t="s">
        <v>28</v>
      </c>
      <c r="BM88" s="3">
        <v>68</v>
      </c>
      <c r="BN88" s="3">
        <v>0</v>
      </c>
      <c r="BO88" s="3" t="s">
        <v>25</v>
      </c>
      <c r="BP88" s="3">
        <v>1</v>
      </c>
      <c r="BQ88" s="3">
        <v>40</v>
      </c>
      <c r="BR88" s="3">
        <v>0</v>
      </c>
      <c r="BS88" s="3">
        <v>56.35</v>
      </c>
      <c r="BT88" s="3">
        <v>1</v>
      </c>
      <c r="BU88" s="3">
        <v>1</v>
      </c>
      <c r="BV88" s="3">
        <v>1</v>
      </c>
      <c r="BW88" s="3">
        <v>1</v>
      </c>
      <c r="BX88" s="3">
        <v>1</v>
      </c>
      <c r="BY88" s="3" t="s">
        <v>3</v>
      </c>
      <c r="BZ88" s="3">
        <v>90</v>
      </c>
      <c r="CA88" s="3">
        <v>46</v>
      </c>
      <c r="CB88" s="3" t="s">
        <v>3</v>
      </c>
      <c r="CE88" s="3">
        <v>1566</v>
      </c>
      <c r="CF88" s="3">
        <v>0</v>
      </c>
      <c r="CG88" s="3">
        <v>0</v>
      </c>
      <c r="CM88" s="3">
        <v>0</v>
      </c>
      <c r="CN88" s="3" t="s">
        <v>624</v>
      </c>
      <c r="CO88" s="3">
        <v>0</v>
      </c>
      <c r="CP88" s="3">
        <f t="shared" si="81"/>
        <v>11908.490000000002</v>
      </c>
      <c r="CQ88" s="3">
        <f t="shared" si="82"/>
        <v>27.91</v>
      </c>
      <c r="CR88" s="3">
        <f>(ROUND((ROUND((((ET88*1.2))*AV88*1),2)*BB88),2)+ROUND((ROUND(((AE88-((EU88*1.2)))*AV88*1),2)*BS88),2))</f>
        <v>1274.3800000000001</v>
      </c>
      <c r="CS88" s="3">
        <f>(ROUND((ROUND((((EU88*1.2))*AV88*1),2)*BS88),2)+ROUND((ROUND(((AE88-((EU88*1.2)))*AV88*1),2)*BS88),2))</f>
        <v>482.36</v>
      </c>
      <c r="CT88" s="3">
        <f t="shared" si="83"/>
        <v>10606.2</v>
      </c>
      <c r="CU88" s="3">
        <f t="shared" si="84"/>
        <v>0</v>
      </c>
      <c r="CV88" s="3">
        <f t="shared" si="85"/>
        <v>16.835759999999997</v>
      </c>
      <c r="CW88" s="3">
        <f t="shared" si="86"/>
        <v>0</v>
      </c>
      <c r="CX88" s="3">
        <f t="shared" si="87"/>
        <v>0</v>
      </c>
      <c r="CY88" s="3">
        <f>(ROUND((((S88+ROUND((ROUND((((EU88*1.2))*AV88*1),2)*BS88),2))*AT88)/100),2)+ROUND(((ROUND((ROUND(((AE88-((EU88*1.2)))*AV88*1),2)*BS88),2)*AT88)/100),2))</f>
        <v>9979.7000000000007</v>
      </c>
      <c r="CZ88" s="3">
        <f>(ROUND((((S88+ROUND((ROUND((((EU88*1.2))*AV88*1),2)*BS88),2))*AU88)/100),2)+ROUND(((ROUND((ROUND(((AE88-((EU88*1.2)))*AV88*1),2)*BS88),2)*AU88)/100),2))</f>
        <v>5100.74</v>
      </c>
      <c r="DB88" s="3">
        <v>46</v>
      </c>
      <c r="DC88" s="3" t="s">
        <v>3</v>
      </c>
      <c r="DD88" s="3" t="s">
        <v>70</v>
      </c>
      <c r="DE88" s="3" t="s">
        <v>71</v>
      </c>
      <c r="DF88" s="3" t="s">
        <v>71</v>
      </c>
      <c r="DG88" s="3" t="s">
        <v>71</v>
      </c>
      <c r="DH88" s="3" t="s">
        <v>3</v>
      </c>
      <c r="DI88" s="3" t="s">
        <v>71</v>
      </c>
      <c r="DJ88" s="3" t="s">
        <v>71</v>
      </c>
      <c r="DK88" s="3" t="s">
        <v>3</v>
      </c>
      <c r="DL88" s="3" t="s">
        <v>3</v>
      </c>
      <c r="DM88" s="3" t="s">
        <v>3</v>
      </c>
      <c r="DN88" s="3">
        <v>0</v>
      </c>
      <c r="DO88" s="3">
        <v>0</v>
      </c>
      <c r="DP88" s="3">
        <v>1</v>
      </c>
      <c r="DQ88" s="3">
        <v>1</v>
      </c>
      <c r="DU88" s="3">
        <v>1013</v>
      </c>
      <c r="DV88" s="3" t="s">
        <v>27</v>
      </c>
      <c r="DW88" s="3" t="s">
        <v>27</v>
      </c>
      <c r="DX88" s="3">
        <v>1</v>
      </c>
      <c r="DZ88" s="3" t="s">
        <v>3</v>
      </c>
      <c r="EA88" s="3" t="s">
        <v>3</v>
      </c>
      <c r="EB88" s="3" t="s">
        <v>3</v>
      </c>
      <c r="EC88" s="3" t="s">
        <v>3</v>
      </c>
      <c r="EE88" s="3">
        <v>57042958</v>
      </c>
      <c r="EF88" s="3">
        <v>40</v>
      </c>
      <c r="EG88" s="3" t="s">
        <v>31</v>
      </c>
      <c r="EH88" s="3">
        <v>0</v>
      </c>
      <c r="EI88" s="3" t="s">
        <v>3</v>
      </c>
      <c r="EJ88" s="3">
        <v>2</v>
      </c>
      <c r="EK88" s="3">
        <v>68</v>
      </c>
      <c r="EL88" s="3" t="s">
        <v>32</v>
      </c>
      <c r="EM88" s="3" t="s">
        <v>33</v>
      </c>
      <c r="EO88" s="3" t="s">
        <v>75</v>
      </c>
      <c r="EQ88" s="3">
        <v>0</v>
      </c>
      <c r="ER88" s="3">
        <v>216.97</v>
      </c>
      <c r="ES88" s="3">
        <v>3.92</v>
      </c>
      <c r="ET88" s="3">
        <v>63.24</v>
      </c>
      <c r="EU88" s="3">
        <v>6.81</v>
      </c>
      <c r="EV88" s="3">
        <v>149.81</v>
      </c>
      <c r="EW88" s="3">
        <v>13.4</v>
      </c>
      <c r="EX88" s="3">
        <v>0</v>
      </c>
      <c r="EY88" s="3">
        <v>0</v>
      </c>
      <c r="FQ88" s="3">
        <v>0</v>
      </c>
      <c r="FR88" s="3">
        <v>0</v>
      </c>
      <c r="FS88" s="3">
        <v>0</v>
      </c>
      <c r="FX88" s="3">
        <v>90</v>
      </c>
      <c r="FY88" s="3">
        <v>46</v>
      </c>
      <c r="GA88" s="3" t="s">
        <v>3</v>
      </c>
      <c r="GD88" s="3">
        <v>1</v>
      </c>
      <c r="GF88" s="3">
        <v>-1495082032</v>
      </c>
      <c r="GG88" s="3">
        <v>2</v>
      </c>
      <c r="GH88" s="3">
        <v>1</v>
      </c>
      <c r="GI88" s="3">
        <v>2</v>
      </c>
      <c r="GJ88" s="3">
        <v>0</v>
      </c>
      <c r="GK88" s="3">
        <v>0</v>
      </c>
      <c r="GL88" s="3">
        <f t="shared" si="88"/>
        <v>0</v>
      </c>
      <c r="GM88" s="3">
        <f t="shared" si="89"/>
        <v>26988.93</v>
      </c>
      <c r="GN88" s="3">
        <f t="shared" si="90"/>
        <v>0</v>
      </c>
      <c r="GO88" s="3">
        <f t="shared" si="91"/>
        <v>26988.93</v>
      </c>
      <c r="GP88" s="3">
        <f t="shared" si="92"/>
        <v>0</v>
      </c>
      <c r="GR88" s="3">
        <v>0</v>
      </c>
      <c r="GS88" s="3">
        <v>3</v>
      </c>
      <c r="GT88" s="3">
        <v>0</v>
      </c>
      <c r="GU88" s="3" t="s">
        <v>3</v>
      </c>
      <c r="GV88" s="3">
        <f t="shared" si="93"/>
        <v>0</v>
      </c>
      <c r="GW88" s="3">
        <v>1</v>
      </c>
      <c r="GX88" s="3">
        <f t="shared" si="94"/>
        <v>0</v>
      </c>
      <c r="HA88" s="3">
        <v>0</v>
      </c>
      <c r="HB88" s="3">
        <v>0</v>
      </c>
      <c r="HC88" s="3">
        <f t="shared" si="95"/>
        <v>0</v>
      </c>
      <c r="HE88" s="3" t="s">
        <v>3</v>
      </c>
      <c r="HF88" s="3" t="s">
        <v>3</v>
      </c>
      <c r="HM88" s="3" t="s">
        <v>3</v>
      </c>
      <c r="HN88" s="3" t="s">
        <v>3</v>
      </c>
      <c r="HO88" s="3" t="s">
        <v>3</v>
      </c>
      <c r="HP88" s="3" t="s">
        <v>3</v>
      </c>
      <c r="HQ88" s="3" t="s">
        <v>3</v>
      </c>
      <c r="HS88" s="3">
        <v>0</v>
      </c>
      <c r="IK88" s="3">
        <v>0</v>
      </c>
    </row>
    <row r="89" spans="1:255" x14ac:dyDescent="0.25">
      <c r="A89" s="2">
        <v>17</v>
      </c>
      <c r="B89" s="2">
        <v>1</v>
      </c>
      <c r="C89" s="2"/>
      <c r="D89" s="2"/>
      <c r="E89" s="2" t="s">
        <v>149</v>
      </c>
      <c r="F89" s="2" t="s">
        <v>150</v>
      </c>
      <c r="G89" s="2" t="s">
        <v>151</v>
      </c>
      <c r="H89" s="2" t="s">
        <v>152</v>
      </c>
      <c r="I89" s="2">
        <v>1</v>
      </c>
      <c r="J89" s="2">
        <v>0</v>
      </c>
      <c r="K89" s="2">
        <v>1</v>
      </c>
      <c r="L89" s="2"/>
      <c r="M89" s="2"/>
      <c r="N89" s="2"/>
      <c r="O89" s="2">
        <f t="shared" si="71"/>
        <v>82560.19</v>
      </c>
      <c r="P89" s="2">
        <f t="shared" si="72"/>
        <v>82560.19</v>
      </c>
      <c r="Q89" s="2">
        <f>(ROUND((ROUND(((ET89)*AV89*I89),2)*BB89),2)+ROUND((ROUND(((AE89-(EU89))*AV89*I89),2)*BS89),2))</f>
        <v>0</v>
      </c>
      <c r="R89" s="2">
        <f>(ROUND((ROUND(((EU89)*AV89*I89),2)*BS89),2)+ROUND((ROUND(((AE89-(EU89))*AV89*I89),2)*BS89),2))</f>
        <v>0</v>
      </c>
      <c r="S89" s="2">
        <f t="shared" si="73"/>
        <v>0</v>
      </c>
      <c r="T89" s="2">
        <f t="shared" si="74"/>
        <v>0</v>
      </c>
      <c r="U89" s="2">
        <f t="shared" si="75"/>
        <v>0</v>
      </c>
      <c r="V89" s="2">
        <f t="shared" si="76"/>
        <v>0</v>
      </c>
      <c r="W89" s="2">
        <f t="shared" si="77"/>
        <v>0</v>
      </c>
      <c r="X89" s="2">
        <f>(ROUND((((S89+ROUND((ROUND(((EU89)*AV89*I89),2)*BS89),2))*AT89)/100),2)+ROUND(((ROUND((ROUND(((AE89-(EU89))*AV89*I89),2)*BS89),2)*AT89)/100),2))</f>
        <v>0</v>
      </c>
      <c r="Y89" s="2">
        <f>(ROUND((((S89+ROUND((ROUND(((EU89)*AV89*I89),2)*BS89),2))*AU89)/100),2)+ROUND(((ROUND((ROUND(((AE89-(EU89))*AV89*I89),2)*BS89),2)*AU89)/100),2))</f>
        <v>0</v>
      </c>
      <c r="Z89" s="2"/>
      <c r="AA89" s="2">
        <v>57014138</v>
      </c>
      <c r="AB89" s="2">
        <f t="shared" si="78"/>
        <v>82560.19</v>
      </c>
      <c r="AC89" s="2">
        <f>ROUND((ES89),6)</f>
        <v>82560.19</v>
      </c>
      <c r="AD89" s="2">
        <f>ROUND((((ET89)-(EU89))+AE89),6)</f>
        <v>0</v>
      </c>
      <c r="AE89" s="2">
        <f t="shared" ref="AE89:AF92" si="96">ROUND((EU89),6)</f>
        <v>0</v>
      </c>
      <c r="AF89" s="2">
        <f t="shared" si="96"/>
        <v>0</v>
      </c>
      <c r="AG89" s="2">
        <f t="shared" si="79"/>
        <v>0</v>
      </c>
      <c r="AH89" s="2">
        <f t="shared" ref="AH89:AI92" si="97">(EW89)</f>
        <v>0</v>
      </c>
      <c r="AI89" s="2">
        <f t="shared" si="97"/>
        <v>0</v>
      </c>
      <c r="AJ89" s="2">
        <f t="shared" si="80"/>
        <v>0</v>
      </c>
      <c r="AK89" s="2">
        <v>82560.19</v>
      </c>
      <c r="AL89" s="2">
        <v>82560.19</v>
      </c>
      <c r="AM89" s="2">
        <v>0</v>
      </c>
      <c r="AN89" s="2">
        <v>0</v>
      </c>
      <c r="AO89" s="2">
        <v>0</v>
      </c>
      <c r="AP89" s="2">
        <v>0</v>
      </c>
      <c r="AQ89" s="2">
        <v>0</v>
      </c>
      <c r="AR89" s="2">
        <v>0</v>
      </c>
      <c r="AS89" s="2">
        <v>0</v>
      </c>
      <c r="AT89" s="2">
        <v>0</v>
      </c>
      <c r="AU89" s="2">
        <v>0</v>
      </c>
      <c r="AV89" s="2">
        <v>1</v>
      </c>
      <c r="AW89" s="2">
        <v>1</v>
      </c>
      <c r="AX89" s="2"/>
      <c r="AY89" s="2"/>
      <c r="AZ89" s="2">
        <v>1</v>
      </c>
      <c r="BA89" s="2">
        <v>1</v>
      </c>
      <c r="BB89" s="2">
        <v>1</v>
      </c>
      <c r="BC89" s="2">
        <v>1</v>
      </c>
      <c r="BD89" s="2" t="s">
        <v>3</v>
      </c>
      <c r="BE89" s="2" t="s">
        <v>3</v>
      </c>
      <c r="BF89" s="2" t="s">
        <v>3</v>
      </c>
      <c r="BG89" s="2" t="s">
        <v>3</v>
      </c>
      <c r="BH89" s="2">
        <v>3</v>
      </c>
      <c r="BI89" s="2">
        <v>3</v>
      </c>
      <c r="BJ89" s="2" t="s">
        <v>150</v>
      </c>
      <c r="BK89" s="2"/>
      <c r="BL89" s="2"/>
      <c r="BM89" s="2">
        <v>400007</v>
      </c>
      <c r="BN89" s="2">
        <v>0</v>
      </c>
      <c r="BO89" s="2" t="s">
        <v>3</v>
      </c>
      <c r="BP89" s="2">
        <v>0</v>
      </c>
      <c r="BQ89" s="2">
        <v>214</v>
      </c>
      <c r="BR89" s="2">
        <v>0</v>
      </c>
      <c r="BS89" s="2">
        <v>1</v>
      </c>
      <c r="BT89" s="2">
        <v>1</v>
      </c>
      <c r="BU89" s="2">
        <v>1</v>
      </c>
      <c r="BV89" s="2">
        <v>1</v>
      </c>
      <c r="BW89" s="2">
        <v>1</v>
      </c>
      <c r="BX89" s="2">
        <v>1</v>
      </c>
      <c r="BY89" s="2" t="s">
        <v>3</v>
      </c>
      <c r="BZ89" s="2">
        <v>0</v>
      </c>
      <c r="CA89" s="2">
        <v>0</v>
      </c>
      <c r="CB89" s="2" t="s">
        <v>3</v>
      </c>
      <c r="CC89" s="2"/>
      <c r="CD89" s="2"/>
      <c r="CE89" s="2">
        <v>1566</v>
      </c>
      <c r="CF89" s="2">
        <v>0</v>
      </c>
      <c r="CG89" s="2">
        <v>0</v>
      </c>
      <c r="CH89" s="2"/>
      <c r="CI89" s="2"/>
      <c r="CJ89" s="2"/>
      <c r="CK89" s="2"/>
      <c r="CL89" s="2"/>
      <c r="CM89" s="2">
        <v>0</v>
      </c>
      <c r="CN89" s="2" t="s">
        <v>3</v>
      </c>
      <c r="CO89" s="2">
        <v>0</v>
      </c>
      <c r="CP89" s="2">
        <f t="shared" si="81"/>
        <v>82560.19</v>
      </c>
      <c r="CQ89" s="2">
        <f t="shared" si="82"/>
        <v>82560.19</v>
      </c>
      <c r="CR89" s="2">
        <f>(ROUND((ROUND(((ET89)*AV89*1),2)*BB89),2)+ROUND((ROUND(((AE89-(EU89))*AV89*1),2)*BS89),2))</f>
        <v>0</v>
      </c>
      <c r="CS89" s="2">
        <f>(ROUND((ROUND(((EU89)*AV89*1),2)*BS89),2)+ROUND((ROUND(((AE89-(EU89))*AV89*1),2)*BS89),2))</f>
        <v>0</v>
      </c>
      <c r="CT89" s="2">
        <f t="shared" si="83"/>
        <v>0</v>
      </c>
      <c r="CU89" s="2">
        <f t="shared" si="84"/>
        <v>0</v>
      </c>
      <c r="CV89" s="2">
        <f t="shared" si="85"/>
        <v>0</v>
      </c>
      <c r="CW89" s="2">
        <f t="shared" si="86"/>
        <v>0</v>
      </c>
      <c r="CX89" s="2">
        <f t="shared" si="87"/>
        <v>0</v>
      </c>
      <c r="CY89" s="2">
        <f>(ROUND((((S89+ROUND((ROUND(((EU89)*AV89*1),2)*BS89),2))*AT89)/100),2)+ROUND(((ROUND((ROUND(((AE89-(EU89))*AV89*1),2)*BS89),2)*AT89)/100),2))</f>
        <v>0</v>
      </c>
      <c r="CZ89" s="2">
        <f>(ROUND((((S89+ROUND((ROUND(((EU89)*AV89*1),2)*BS89),2))*AU89)/100),2)+ROUND(((ROUND((ROUND(((AE89-(EU89))*AV89*1),2)*BS89),2)*AU89)/100),2))</f>
        <v>0</v>
      </c>
      <c r="DA89" s="2"/>
      <c r="DB89" s="2"/>
      <c r="DC89" s="2" t="s">
        <v>3</v>
      </c>
      <c r="DD89" s="2" t="s">
        <v>3</v>
      </c>
      <c r="DE89" s="2" t="s">
        <v>3</v>
      </c>
      <c r="DF89" s="2" t="s">
        <v>3</v>
      </c>
      <c r="DG89" s="2" t="s">
        <v>3</v>
      </c>
      <c r="DH89" s="2" t="s">
        <v>3</v>
      </c>
      <c r="DI89" s="2" t="s">
        <v>3</v>
      </c>
      <c r="DJ89" s="2" t="s">
        <v>3</v>
      </c>
      <c r="DK89" s="2" t="s">
        <v>3</v>
      </c>
      <c r="DL89" s="2" t="s">
        <v>3</v>
      </c>
      <c r="DM89" s="2" t="s">
        <v>3</v>
      </c>
      <c r="DN89" s="2">
        <v>0</v>
      </c>
      <c r="DO89" s="2">
        <v>0</v>
      </c>
      <c r="DP89" s="2">
        <v>1</v>
      </c>
      <c r="DQ89" s="2">
        <v>1</v>
      </c>
      <c r="DR89" s="2"/>
      <c r="DS89" s="2"/>
      <c r="DT89" s="2"/>
      <c r="DU89" s="2">
        <v>1013</v>
      </c>
      <c r="DV89" s="2" t="s">
        <v>152</v>
      </c>
      <c r="DW89" s="2" t="s">
        <v>152</v>
      </c>
      <c r="DX89" s="2">
        <v>1</v>
      </c>
      <c r="DY89" s="2"/>
      <c r="DZ89" s="2" t="s">
        <v>3</v>
      </c>
      <c r="EA89" s="2" t="s">
        <v>3</v>
      </c>
      <c r="EB89" s="2" t="s">
        <v>3</v>
      </c>
      <c r="EC89" s="2" t="s">
        <v>3</v>
      </c>
      <c r="ED89" s="2"/>
      <c r="EE89" s="2">
        <v>57042890</v>
      </c>
      <c r="EF89" s="2">
        <v>214</v>
      </c>
      <c r="EG89" s="2" t="s">
        <v>153</v>
      </c>
      <c r="EH89" s="2">
        <v>0</v>
      </c>
      <c r="EI89" s="2" t="s">
        <v>3</v>
      </c>
      <c r="EJ89" s="2">
        <v>3</v>
      </c>
      <c r="EK89" s="2">
        <v>400007</v>
      </c>
      <c r="EL89" s="2" t="s">
        <v>153</v>
      </c>
      <c r="EM89" s="2" t="s">
        <v>154</v>
      </c>
      <c r="EN89" s="2"/>
      <c r="EO89" s="2" t="s">
        <v>3</v>
      </c>
      <c r="EP89" s="2"/>
      <c r="EQ89" s="2">
        <v>16</v>
      </c>
      <c r="ER89" s="2">
        <v>0</v>
      </c>
      <c r="ES89" s="2">
        <v>82560.19</v>
      </c>
      <c r="ET89" s="2">
        <v>0</v>
      </c>
      <c r="EU89" s="2">
        <v>0</v>
      </c>
      <c r="EV89" s="2">
        <v>0</v>
      </c>
      <c r="EW89" s="2">
        <v>0</v>
      </c>
      <c r="EX89" s="2">
        <v>0</v>
      </c>
      <c r="EY89" s="2">
        <v>0</v>
      </c>
      <c r="EZ89" s="2"/>
      <c r="FA89" s="2"/>
      <c r="FB89" s="2"/>
      <c r="FC89" s="2"/>
      <c r="FD89" s="2"/>
      <c r="FE89" s="2"/>
      <c r="FF89" s="2"/>
      <c r="FG89" s="2"/>
      <c r="FH89" s="2"/>
      <c r="FI89" s="2"/>
      <c r="FJ89" s="2"/>
      <c r="FK89" s="2"/>
      <c r="FL89" s="2"/>
      <c r="FM89" s="2"/>
      <c r="FN89" s="2"/>
      <c r="FO89" s="2"/>
      <c r="FP89" s="2"/>
      <c r="FQ89" s="2">
        <v>0</v>
      </c>
      <c r="FR89" s="2">
        <f>P89</f>
        <v>82560.19</v>
      </c>
      <c r="FS89" s="2">
        <v>0</v>
      </c>
      <c r="FT89" s="2"/>
      <c r="FU89" s="2"/>
      <c r="FV89" s="2"/>
      <c r="FW89" s="2"/>
      <c r="FX89" s="2">
        <v>0</v>
      </c>
      <c r="FY89" s="2">
        <v>0</v>
      </c>
      <c r="FZ89" s="2"/>
      <c r="GA89" s="2" t="s">
        <v>155</v>
      </c>
      <c r="GB89" s="2"/>
      <c r="GC89" s="2"/>
      <c r="GD89" s="2">
        <v>1</v>
      </c>
      <c r="GE89" s="2"/>
      <c r="GF89" s="2">
        <v>2033696216</v>
      </c>
      <c r="GG89" s="2">
        <v>2</v>
      </c>
      <c r="GH89" s="2">
        <v>4</v>
      </c>
      <c r="GI89" s="2">
        <v>-2</v>
      </c>
      <c r="GJ89" s="2">
        <v>0</v>
      </c>
      <c r="GK89" s="2">
        <v>0</v>
      </c>
      <c r="GL89" s="2">
        <f t="shared" si="88"/>
        <v>0</v>
      </c>
      <c r="GM89" s="2">
        <f t="shared" si="89"/>
        <v>82560.19</v>
      </c>
      <c r="GN89" s="2">
        <f t="shared" si="90"/>
        <v>0</v>
      </c>
      <c r="GO89" s="2">
        <f t="shared" si="91"/>
        <v>0</v>
      </c>
      <c r="GP89" s="2">
        <f t="shared" si="92"/>
        <v>0</v>
      </c>
      <c r="GQ89" s="2"/>
      <c r="GR89" s="2">
        <v>1</v>
      </c>
      <c r="GS89" s="2">
        <v>2</v>
      </c>
      <c r="GT89" s="2">
        <v>0</v>
      </c>
      <c r="GU89" s="2" t="s">
        <v>3</v>
      </c>
      <c r="GV89" s="2">
        <f t="shared" si="93"/>
        <v>0</v>
      </c>
      <c r="GW89" s="2">
        <v>1</v>
      </c>
      <c r="GX89" s="2">
        <f t="shared" si="94"/>
        <v>0</v>
      </c>
      <c r="GY89" s="2"/>
      <c r="GZ89" s="2"/>
      <c r="HA89" s="2">
        <v>0</v>
      </c>
      <c r="HB89" s="2">
        <v>0</v>
      </c>
      <c r="HC89" s="2">
        <f t="shared" si="95"/>
        <v>0</v>
      </c>
      <c r="HD89" s="2"/>
      <c r="HE89" s="2" t="s">
        <v>39</v>
      </c>
      <c r="HF89" s="2" t="s">
        <v>156</v>
      </c>
      <c r="HG89" s="2"/>
      <c r="HH89" s="2"/>
      <c r="HI89" s="2"/>
      <c r="HJ89" s="2"/>
      <c r="HK89" s="2"/>
      <c r="HL89" s="2"/>
      <c r="HM89" s="2" t="s">
        <v>3</v>
      </c>
      <c r="HN89" s="2" t="s">
        <v>3</v>
      </c>
      <c r="HO89" s="2" t="s">
        <v>3</v>
      </c>
      <c r="HP89" s="2" t="s">
        <v>3</v>
      </c>
      <c r="HQ89" s="2" t="s">
        <v>3</v>
      </c>
      <c r="HR89" s="2"/>
      <c r="HS89" s="2">
        <v>0</v>
      </c>
      <c r="HT89" s="2"/>
      <c r="HU89" s="2"/>
      <c r="HV89" s="2"/>
      <c r="HW89" s="2"/>
      <c r="HX89" s="2"/>
      <c r="HY89" s="2"/>
      <c r="HZ89" s="2"/>
      <c r="IA89" s="2"/>
      <c r="IB89" s="2"/>
      <c r="IC89" s="2"/>
      <c r="ID89" s="2"/>
      <c r="IE89" s="2"/>
      <c r="IF89" s="2"/>
      <c r="IG89" s="2"/>
      <c r="IH89" s="2"/>
      <c r="II89" s="2"/>
      <c r="IJ89" s="2"/>
      <c r="IK89" s="2">
        <v>0</v>
      </c>
      <c r="IL89" s="2"/>
      <c r="IM89" s="2"/>
      <c r="IN89" s="2"/>
      <c r="IO89" s="2"/>
      <c r="IP89" s="2"/>
      <c r="IQ89" s="2"/>
      <c r="IR89" s="2"/>
      <c r="IS89" s="2"/>
      <c r="IT89" s="2"/>
      <c r="IU89" s="2"/>
    </row>
    <row r="90" spans="1:255" x14ac:dyDescent="0.25">
      <c r="A90" s="3">
        <v>17</v>
      </c>
      <c r="B90" s="3">
        <v>1</v>
      </c>
      <c r="E90" s="3" t="s">
        <v>149</v>
      </c>
      <c r="F90" s="3" t="s">
        <v>150</v>
      </c>
      <c r="G90" s="3" t="s">
        <v>151</v>
      </c>
      <c r="H90" s="3" t="s">
        <v>152</v>
      </c>
      <c r="I90" s="3">
        <v>1</v>
      </c>
      <c r="J90" s="3">
        <v>0</v>
      </c>
      <c r="K90" s="3">
        <v>1</v>
      </c>
      <c r="O90" s="3">
        <f t="shared" si="71"/>
        <v>624980.64</v>
      </c>
      <c r="P90" s="3">
        <f t="shared" si="72"/>
        <v>624980.64</v>
      </c>
      <c r="Q90" s="3">
        <f>(ROUND((ROUND(((ET90)*AV90*I90),2)*BB90),2)+ROUND((ROUND(((AE90-(EU90))*AV90*I90),2)*BS90),2))</f>
        <v>0</v>
      </c>
      <c r="R90" s="3">
        <f>(ROUND((ROUND(((EU90)*AV90*I90),2)*BS90),2)+ROUND((ROUND(((AE90-(EU90))*AV90*I90),2)*BS90),2))</f>
        <v>0</v>
      </c>
      <c r="S90" s="3">
        <f t="shared" si="73"/>
        <v>0</v>
      </c>
      <c r="T90" s="3">
        <f t="shared" si="74"/>
        <v>0</v>
      </c>
      <c r="U90" s="3">
        <f t="shared" si="75"/>
        <v>0</v>
      </c>
      <c r="V90" s="3">
        <f t="shared" si="76"/>
        <v>0</v>
      </c>
      <c r="W90" s="3">
        <f t="shared" si="77"/>
        <v>0</v>
      </c>
      <c r="X90" s="3">
        <f>(ROUND((((S90+ROUND((ROUND(((EU90)*AV90*I90),2)*BS90),2))*AT90)/100),2)+ROUND(((ROUND((ROUND(((AE90-(EU90))*AV90*I90),2)*BS90),2)*AT90)/100),2))</f>
        <v>0</v>
      </c>
      <c r="Y90" s="3">
        <f>(ROUND((((S90+ROUND((ROUND(((EU90)*AV90*I90),2)*BS90),2))*AU90)/100),2)+ROUND(((ROUND((ROUND(((AE90-(EU90))*AV90*I90),2)*BS90),2)*AU90)/100),2))</f>
        <v>0</v>
      </c>
      <c r="AA90" s="3">
        <v>57014140</v>
      </c>
      <c r="AB90" s="3">
        <f t="shared" si="78"/>
        <v>82560.19</v>
      </c>
      <c r="AC90" s="3">
        <f>ROUND((ES90),6)</f>
        <v>82560.19</v>
      </c>
      <c r="AD90" s="3">
        <f>ROUND((((ET90)-(EU90))+AE90),6)</f>
        <v>0</v>
      </c>
      <c r="AE90" s="3">
        <f t="shared" si="96"/>
        <v>0</v>
      </c>
      <c r="AF90" s="3">
        <f t="shared" si="96"/>
        <v>0</v>
      </c>
      <c r="AG90" s="3">
        <f t="shared" si="79"/>
        <v>0</v>
      </c>
      <c r="AH90" s="3">
        <f t="shared" si="97"/>
        <v>0</v>
      </c>
      <c r="AI90" s="3">
        <f t="shared" si="97"/>
        <v>0</v>
      </c>
      <c r="AJ90" s="3">
        <f t="shared" si="80"/>
        <v>0</v>
      </c>
      <c r="AK90" s="3">
        <v>82560.19</v>
      </c>
      <c r="AL90" s="3">
        <v>82560.19</v>
      </c>
      <c r="AM90" s="3">
        <v>0</v>
      </c>
      <c r="AN90" s="3">
        <v>0</v>
      </c>
      <c r="AO90" s="3">
        <v>0</v>
      </c>
      <c r="AP90" s="3">
        <v>0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3">
        <v>1</v>
      </c>
      <c r="AW90" s="3">
        <v>1</v>
      </c>
      <c r="AZ90" s="3">
        <v>1</v>
      </c>
      <c r="BA90" s="3">
        <v>1</v>
      </c>
      <c r="BB90" s="3">
        <v>1</v>
      </c>
      <c r="BC90" s="3">
        <v>7.57</v>
      </c>
      <c r="BD90" s="3" t="s">
        <v>3</v>
      </c>
      <c r="BE90" s="3" t="s">
        <v>3</v>
      </c>
      <c r="BF90" s="3" t="s">
        <v>3</v>
      </c>
      <c r="BG90" s="3" t="s">
        <v>3</v>
      </c>
      <c r="BH90" s="3">
        <v>3</v>
      </c>
      <c r="BI90" s="3">
        <v>3</v>
      </c>
      <c r="BJ90" s="3" t="s">
        <v>150</v>
      </c>
      <c r="BM90" s="3">
        <v>400007</v>
      </c>
      <c r="BN90" s="3">
        <v>0</v>
      </c>
      <c r="BO90" s="3" t="s">
        <v>3</v>
      </c>
      <c r="BP90" s="3">
        <v>0</v>
      </c>
      <c r="BQ90" s="3">
        <v>214</v>
      </c>
      <c r="BR90" s="3">
        <v>0</v>
      </c>
      <c r="BS90" s="3">
        <v>1</v>
      </c>
      <c r="BT90" s="3">
        <v>1</v>
      </c>
      <c r="BU90" s="3">
        <v>1</v>
      </c>
      <c r="BV90" s="3">
        <v>1</v>
      </c>
      <c r="BW90" s="3">
        <v>1</v>
      </c>
      <c r="BX90" s="3">
        <v>1</v>
      </c>
      <c r="BY90" s="3" t="s">
        <v>3</v>
      </c>
      <c r="BZ90" s="3">
        <v>0</v>
      </c>
      <c r="CA90" s="3">
        <v>0</v>
      </c>
      <c r="CB90" s="3" t="s">
        <v>3</v>
      </c>
      <c r="CE90" s="3">
        <v>1566</v>
      </c>
      <c r="CF90" s="3">
        <v>0</v>
      </c>
      <c r="CG90" s="3">
        <v>0</v>
      </c>
      <c r="CM90" s="3">
        <v>0</v>
      </c>
      <c r="CN90" s="3" t="s">
        <v>3</v>
      </c>
      <c r="CO90" s="3">
        <v>0</v>
      </c>
      <c r="CP90" s="3">
        <f t="shared" si="81"/>
        <v>624980.64</v>
      </c>
      <c r="CQ90" s="3">
        <f t="shared" si="82"/>
        <v>624980.64</v>
      </c>
      <c r="CR90" s="3">
        <f>(ROUND((ROUND(((ET90)*AV90*1),2)*BB90),2)+ROUND((ROUND(((AE90-(EU90))*AV90*1),2)*BS90),2))</f>
        <v>0</v>
      </c>
      <c r="CS90" s="3">
        <f>(ROUND((ROUND(((EU90)*AV90*1),2)*BS90),2)+ROUND((ROUND(((AE90-(EU90))*AV90*1),2)*BS90),2))</f>
        <v>0</v>
      </c>
      <c r="CT90" s="3">
        <f t="shared" si="83"/>
        <v>0</v>
      </c>
      <c r="CU90" s="3">
        <f t="shared" si="84"/>
        <v>0</v>
      </c>
      <c r="CV90" s="3">
        <f t="shared" si="85"/>
        <v>0</v>
      </c>
      <c r="CW90" s="3">
        <f t="shared" si="86"/>
        <v>0</v>
      </c>
      <c r="CX90" s="3">
        <f t="shared" si="87"/>
        <v>0</v>
      </c>
      <c r="CY90" s="3">
        <f>(ROUND((((S90+ROUND((ROUND(((EU90)*AV90*1),2)*BS90),2))*AT90)/100),2)+ROUND(((ROUND((ROUND(((AE90-(EU90))*AV90*1),2)*BS90),2)*AT90)/100),2))</f>
        <v>0</v>
      </c>
      <c r="CZ90" s="3">
        <f>(ROUND((((S90+ROUND((ROUND(((EU90)*AV90*1),2)*BS90),2))*AU90)/100),2)+ROUND(((ROUND((ROUND(((AE90-(EU90))*AV90*1),2)*BS90),2)*AU90)/100),2))</f>
        <v>0</v>
      </c>
      <c r="DC90" s="3" t="s">
        <v>3</v>
      </c>
      <c r="DD90" s="3" t="s">
        <v>3</v>
      </c>
      <c r="DE90" s="3" t="s">
        <v>3</v>
      </c>
      <c r="DF90" s="3" t="s">
        <v>3</v>
      </c>
      <c r="DG90" s="3" t="s">
        <v>3</v>
      </c>
      <c r="DH90" s="3" t="s">
        <v>3</v>
      </c>
      <c r="DI90" s="3" t="s">
        <v>3</v>
      </c>
      <c r="DJ90" s="3" t="s">
        <v>3</v>
      </c>
      <c r="DK90" s="3" t="s">
        <v>3</v>
      </c>
      <c r="DL90" s="3" t="s">
        <v>3</v>
      </c>
      <c r="DM90" s="3" t="s">
        <v>3</v>
      </c>
      <c r="DN90" s="3">
        <v>0</v>
      </c>
      <c r="DO90" s="3">
        <v>0</v>
      </c>
      <c r="DP90" s="3">
        <v>1</v>
      </c>
      <c r="DQ90" s="3">
        <v>1</v>
      </c>
      <c r="DU90" s="3">
        <v>1013</v>
      </c>
      <c r="DV90" s="3" t="s">
        <v>152</v>
      </c>
      <c r="DW90" s="3" t="s">
        <v>152</v>
      </c>
      <c r="DX90" s="3">
        <v>1</v>
      </c>
      <c r="DZ90" s="3" t="s">
        <v>3</v>
      </c>
      <c r="EA90" s="3" t="s">
        <v>3</v>
      </c>
      <c r="EB90" s="3" t="s">
        <v>3</v>
      </c>
      <c r="EC90" s="3" t="s">
        <v>3</v>
      </c>
      <c r="EE90" s="3">
        <v>57042890</v>
      </c>
      <c r="EF90" s="3">
        <v>214</v>
      </c>
      <c r="EG90" s="3" t="s">
        <v>153</v>
      </c>
      <c r="EH90" s="3">
        <v>0</v>
      </c>
      <c r="EI90" s="3" t="s">
        <v>3</v>
      </c>
      <c r="EJ90" s="3">
        <v>3</v>
      </c>
      <c r="EK90" s="3">
        <v>400007</v>
      </c>
      <c r="EL90" s="3" t="s">
        <v>153</v>
      </c>
      <c r="EM90" s="3" t="s">
        <v>154</v>
      </c>
      <c r="EO90" s="3" t="s">
        <v>3</v>
      </c>
      <c r="EQ90" s="3">
        <v>16</v>
      </c>
      <c r="ER90" s="3">
        <v>0</v>
      </c>
      <c r="ES90" s="3">
        <v>82560.19</v>
      </c>
      <c r="ET90" s="3">
        <v>0</v>
      </c>
      <c r="EU90" s="3">
        <v>0</v>
      </c>
      <c r="EV90" s="3">
        <v>0</v>
      </c>
      <c r="EW90" s="3">
        <v>0</v>
      </c>
      <c r="EX90" s="3">
        <v>0</v>
      </c>
      <c r="EY90" s="3">
        <v>0</v>
      </c>
      <c r="EZ90" s="3">
        <v>5</v>
      </c>
      <c r="FC90" s="3">
        <v>1</v>
      </c>
      <c r="FD90" s="3">
        <v>18</v>
      </c>
      <c r="FF90" s="3">
        <v>731490.5</v>
      </c>
      <c r="FQ90" s="3">
        <v>0</v>
      </c>
      <c r="FR90" s="3">
        <f>P90</f>
        <v>624980.64</v>
      </c>
      <c r="FS90" s="3">
        <v>0</v>
      </c>
      <c r="FX90" s="3">
        <v>0</v>
      </c>
      <c r="FY90" s="3">
        <v>0</v>
      </c>
      <c r="GA90" s="3" t="s">
        <v>155</v>
      </c>
      <c r="GD90" s="3">
        <v>1</v>
      </c>
      <c r="GF90" s="3">
        <v>2033696216</v>
      </c>
      <c r="GG90" s="3">
        <v>2</v>
      </c>
      <c r="GH90" s="3">
        <v>3</v>
      </c>
      <c r="GI90" s="3">
        <v>5</v>
      </c>
      <c r="GJ90" s="3">
        <v>0</v>
      </c>
      <c r="GK90" s="3">
        <v>0</v>
      </c>
      <c r="GL90" s="3">
        <f t="shared" si="88"/>
        <v>0</v>
      </c>
      <c r="GM90" s="3">
        <f t="shared" si="89"/>
        <v>624980.64</v>
      </c>
      <c r="GN90" s="3">
        <f t="shared" si="90"/>
        <v>0</v>
      </c>
      <c r="GO90" s="3">
        <f t="shared" si="91"/>
        <v>0</v>
      </c>
      <c r="GP90" s="3">
        <f t="shared" si="92"/>
        <v>0</v>
      </c>
      <c r="GR90" s="3">
        <v>1</v>
      </c>
      <c r="GS90" s="3">
        <v>1</v>
      </c>
      <c r="GT90" s="3">
        <v>0</v>
      </c>
      <c r="GU90" s="3" t="s">
        <v>3</v>
      </c>
      <c r="GV90" s="3">
        <f t="shared" si="93"/>
        <v>0</v>
      </c>
      <c r="GW90" s="3">
        <v>1</v>
      </c>
      <c r="GX90" s="3">
        <f t="shared" si="94"/>
        <v>0</v>
      </c>
      <c r="HA90" s="3">
        <v>0</v>
      </c>
      <c r="HB90" s="3">
        <v>0</v>
      </c>
      <c r="HC90" s="3">
        <f t="shared" si="95"/>
        <v>0</v>
      </c>
      <c r="HE90" s="3" t="s">
        <v>39</v>
      </c>
      <c r="HF90" s="3" t="s">
        <v>156</v>
      </c>
      <c r="HM90" s="3" t="s">
        <v>3</v>
      </c>
      <c r="HN90" s="3" t="s">
        <v>3</v>
      </c>
      <c r="HO90" s="3" t="s">
        <v>3</v>
      </c>
      <c r="HP90" s="3" t="s">
        <v>3</v>
      </c>
      <c r="HQ90" s="3" t="s">
        <v>3</v>
      </c>
      <c r="HS90" s="3">
        <v>0</v>
      </c>
      <c r="IK90" s="3">
        <v>0</v>
      </c>
    </row>
    <row r="91" spans="1:255" x14ac:dyDescent="0.25">
      <c r="A91" s="2">
        <v>17</v>
      </c>
      <c r="B91" s="2">
        <v>1</v>
      </c>
      <c r="C91" s="2"/>
      <c r="D91" s="2"/>
      <c r="E91" s="2" t="s">
        <v>3</v>
      </c>
      <c r="F91" s="2" t="s">
        <v>157</v>
      </c>
      <c r="G91" s="2" t="s">
        <v>158</v>
      </c>
      <c r="H91" s="2" t="s">
        <v>152</v>
      </c>
      <c r="I91" s="2">
        <v>1</v>
      </c>
      <c r="J91" s="2">
        <v>0</v>
      </c>
      <c r="K91" s="2">
        <v>1</v>
      </c>
      <c r="L91" s="2"/>
      <c r="M91" s="2"/>
      <c r="N91" s="2"/>
      <c r="O91" s="2">
        <f t="shared" si="71"/>
        <v>651.17999999999995</v>
      </c>
      <c r="P91" s="2">
        <f t="shared" si="72"/>
        <v>651.17999999999995</v>
      </c>
      <c r="Q91" s="2">
        <f>(ROUND((ROUND(((ET91)*AV91*I91),2)*BB91),2)+ROUND((ROUND(((AE91-(EU91))*AV91*I91),2)*BS91),2))</f>
        <v>0</v>
      </c>
      <c r="R91" s="2">
        <f>(ROUND((ROUND(((EU91)*AV91*I91),2)*BS91),2)+ROUND((ROUND(((AE91-(EU91))*AV91*I91),2)*BS91),2))</f>
        <v>0</v>
      </c>
      <c r="S91" s="2">
        <f t="shared" si="73"/>
        <v>0</v>
      </c>
      <c r="T91" s="2">
        <f t="shared" si="74"/>
        <v>0</v>
      </c>
      <c r="U91" s="2">
        <f t="shared" si="75"/>
        <v>0</v>
      </c>
      <c r="V91" s="2">
        <f t="shared" si="76"/>
        <v>0</v>
      </c>
      <c r="W91" s="2">
        <f t="shared" si="77"/>
        <v>0</v>
      </c>
      <c r="X91" s="2">
        <f>(ROUND((((S91+ROUND((ROUND(((EU91)*AV91*I91),2)*BS91),2))*AT91)/100),2)+ROUND(((ROUND((ROUND(((AE91-(EU91))*AV91*I91),2)*BS91),2)*AT91)/100),2))</f>
        <v>0</v>
      </c>
      <c r="Y91" s="2">
        <f>(ROUND((((S91+ROUND((ROUND(((EU91)*AV91*I91),2)*BS91),2))*AU91)/100),2)+ROUND(((ROUND((ROUND(((AE91-(EU91))*AV91*I91),2)*BS91),2)*AU91)/100),2))</f>
        <v>0</v>
      </c>
      <c r="Z91" s="2"/>
      <c r="AA91" s="2">
        <v>-1</v>
      </c>
      <c r="AB91" s="2">
        <f t="shared" si="78"/>
        <v>651.17999999999995</v>
      </c>
      <c r="AC91" s="2">
        <f>ROUND((ES91),6)</f>
        <v>651.17999999999995</v>
      </c>
      <c r="AD91" s="2">
        <f>ROUND((((ET91)-(EU91))+AE91),6)</f>
        <v>0</v>
      </c>
      <c r="AE91" s="2">
        <f t="shared" si="96"/>
        <v>0</v>
      </c>
      <c r="AF91" s="2">
        <f t="shared" si="96"/>
        <v>0</v>
      </c>
      <c r="AG91" s="2">
        <f t="shared" si="79"/>
        <v>0</v>
      </c>
      <c r="AH91" s="2">
        <f t="shared" si="97"/>
        <v>0</v>
      </c>
      <c r="AI91" s="2">
        <f t="shared" si="97"/>
        <v>0</v>
      </c>
      <c r="AJ91" s="2">
        <f t="shared" si="80"/>
        <v>0</v>
      </c>
      <c r="AK91" s="2">
        <v>651.17999999999995</v>
      </c>
      <c r="AL91" s="2">
        <v>651.17999999999995</v>
      </c>
      <c r="AM91" s="2">
        <v>0</v>
      </c>
      <c r="AN91" s="2">
        <v>0</v>
      </c>
      <c r="AO91" s="2">
        <v>0</v>
      </c>
      <c r="AP91" s="2">
        <v>0</v>
      </c>
      <c r="AQ91" s="2">
        <v>0</v>
      </c>
      <c r="AR91" s="2">
        <v>0</v>
      </c>
      <c r="AS91" s="2">
        <v>0</v>
      </c>
      <c r="AT91" s="2">
        <v>0</v>
      </c>
      <c r="AU91" s="2">
        <v>0</v>
      </c>
      <c r="AV91" s="2">
        <v>1</v>
      </c>
      <c r="AW91" s="2">
        <v>1</v>
      </c>
      <c r="AX91" s="2"/>
      <c r="AY91" s="2"/>
      <c r="AZ91" s="2">
        <v>1</v>
      </c>
      <c r="BA91" s="2">
        <v>1</v>
      </c>
      <c r="BB91" s="2">
        <v>1</v>
      </c>
      <c r="BC91" s="2">
        <v>1</v>
      </c>
      <c r="BD91" s="2" t="s">
        <v>3</v>
      </c>
      <c r="BE91" s="2" t="s">
        <v>3</v>
      </c>
      <c r="BF91" s="2" t="s">
        <v>3</v>
      </c>
      <c r="BG91" s="2" t="s">
        <v>3</v>
      </c>
      <c r="BH91" s="2">
        <v>3</v>
      </c>
      <c r="BI91" s="2">
        <v>2</v>
      </c>
      <c r="BJ91" s="2" t="s">
        <v>157</v>
      </c>
      <c r="BK91" s="2"/>
      <c r="BL91" s="2"/>
      <c r="BM91" s="2">
        <v>400005</v>
      </c>
      <c r="BN91" s="2">
        <v>0</v>
      </c>
      <c r="BO91" s="2" t="s">
        <v>3</v>
      </c>
      <c r="BP91" s="2">
        <v>0</v>
      </c>
      <c r="BQ91" s="2">
        <v>213</v>
      </c>
      <c r="BR91" s="2">
        <v>0</v>
      </c>
      <c r="BS91" s="2">
        <v>1</v>
      </c>
      <c r="BT91" s="2">
        <v>1</v>
      </c>
      <c r="BU91" s="2">
        <v>1</v>
      </c>
      <c r="BV91" s="2">
        <v>1</v>
      </c>
      <c r="BW91" s="2">
        <v>1</v>
      </c>
      <c r="BX91" s="2">
        <v>1</v>
      </c>
      <c r="BY91" s="2" t="s">
        <v>3</v>
      </c>
      <c r="BZ91" s="2">
        <v>0</v>
      </c>
      <c r="CA91" s="2">
        <v>0</v>
      </c>
      <c r="CB91" s="2" t="s">
        <v>3</v>
      </c>
      <c r="CC91" s="2"/>
      <c r="CD91" s="2"/>
      <c r="CE91" s="2">
        <v>1566</v>
      </c>
      <c r="CF91" s="2">
        <v>0</v>
      </c>
      <c r="CG91" s="2">
        <v>0</v>
      </c>
      <c r="CH91" s="2"/>
      <c r="CI91" s="2"/>
      <c r="CJ91" s="2"/>
      <c r="CK91" s="2"/>
      <c r="CL91" s="2"/>
      <c r="CM91" s="2">
        <v>0</v>
      </c>
      <c r="CN91" s="2" t="s">
        <v>3</v>
      </c>
      <c r="CO91" s="2">
        <v>0</v>
      </c>
      <c r="CP91" s="2">
        <f t="shared" si="81"/>
        <v>651.17999999999995</v>
      </c>
      <c r="CQ91" s="2">
        <f t="shared" si="82"/>
        <v>651.17999999999995</v>
      </c>
      <c r="CR91" s="2">
        <f>(ROUND((ROUND(((ET91)*AV91*1),2)*BB91),2)+ROUND((ROUND(((AE91-(EU91))*AV91*1),2)*BS91),2))</f>
        <v>0</v>
      </c>
      <c r="CS91" s="2">
        <f>(ROUND((ROUND(((EU91)*AV91*1),2)*BS91),2)+ROUND((ROUND(((AE91-(EU91))*AV91*1),2)*BS91),2))</f>
        <v>0</v>
      </c>
      <c r="CT91" s="2">
        <f t="shared" si="83"/>
        <v>0</v>
      </c>
      <c r="CU91" s="2">
        <f t="shared" si="84"/>
        <v>0</v>
      </c>
      <c r="CV91" s="2">
        <f t="shared" si="85"/>
        <v>0</v>
      </c>
      <c r="CW91" s="2">
        <f t="shared" si="86"/>
        <v>0</v>
      </c>
      <c r="CX91" s="2">
        <f t="shared" si="87"/>
        <v>0</v>
      </c>
      <c r="CY91" s="2">
        <f>(ROUND((((S91+ROUND((ROUND(((EU91)*AV91*1),2)*BS91),2))*AT91)/100),2)+ROUND(((ROUND((ROUND(((AE91-(EU91))*AV91*1),2)*BS91),2)*AT91)/100),2))</f>
        <v>0</v>
      </c>
      <c r="CZ91" s="2">
        <f>(ROUND((((S91+ROUND((ROUND(((EU91)*AV91*1),2)*BS91),2))*AU91)/100),2)+ROUND(((ROUND((ROUND(((AE91-(EU91))*AV91*1),2)*BS91),2)*AU91)/100),2))</f>
        <v>0</v>
      </c>
      <c r="DA91" s="2"/>
      <c r="DB91" s="2"/>
      <c r="DC91" s="2" t="s">
        <v>3</v>
      </c>
      <c r="DD91" s="2" t="s">
        <v>3</v>
      </c>
      <c r="DE91" s="2" t="s">
        <v>3</v>
      </c>
      <c r="DF91" s="2" t="s">
        <v>3</v>
      </c>
      <c r="DG91" s="2" t="s">
        <v>3</v>
      </c>
      <c r="DH91" s="2" t="s">
        <v>3</v>
      </c>
      <c r="DI91" s="2" t="s">
        <v>3</v>
      </c>
      <c r="DJ91" s="2" t="s">
        <v>3</v>
      </c>
      <c r="DK91" s="2" t="s">
        <v>3</v>
      </c>
      <c r="DL91" s="2" t="s">
        <v>3</v>
      </c>
      <c r="DM91" s="2" t="s">
        <v>3</v>
      </c>
      <c r="DN91" s="2">
        <v>0</v>
      </c>
      <c r="DO91" s="2">
        <v>0</v>
      </c>
      <c r="DP91" s="2">
        <v>1</v>
      </c>
      <c r="DQ91" s="2">
        <v>1</v>
      </c>
      <c r="DR91" s="2"/>
      <c r="DS91" s="2"/>
      <c r="DT91" s="2"/>
      <c r="DU91" s="2">
        <v>1013</v>
      </c>
      <c r="DV91" s="2" t="s">
        <v>152</v>
      </c>
      <c r="DW91" s="2" t="s">
        <v>152</v>
      </c>
      <c r="DX91" s="2">
        <v>1</v>
      </c>
      <c r="DY91" s="2"/>
      <c r="DZ91" s="2" t="s">
        <v>3</v>
      </c>
      <c r="EA91" s="2" t="s">
        <v>3</v>
      </c>
      <c r="EB91" s="2" t="s">
        <v>3</v>
      </c>
      <c r="EC91" s="2" t="s">
        <v>3</v>
      </c>
      <c r="ED91" s="2"/>
      <c r="EE91" s="2">
        <v>57042888</v>
      </c>
      <c r="EF91" s="2">
        <v>213</v>
      </c>
      <c r="EG91" s="2" t="s">
        <v>159</v>
      </c>
      <c r="EH91" s="2">
        <v>0</v>
      </c>
      <c r="EI91" s="2" t="s">
        <v>3</v>
      </c>
      <c r="EJ91" s="2">
        <v>1</v>
      </c>
      <c r="EK91" s="2">
        <v>400005</v>
      </c>
      <c r="EL91" s="2" t="s">
        <v>159</v>
      </c>
      <c r="EM91" s="2" t="s">
        <v>160</v>
      </c>
      <c r="EN91" s="2"/>
      <c r="EO91" s="2" t="s">
        <v>3</v>
      </c>
      <c r="EP91" s="2"/>
      <c r="EQ91" s="2">
        <v>1040</v>
      </c>
      <c r="ER91" s="2">
        <v>0</v>
      </c>
      <c r="ES91" s="2">
        <v>651.17999999999995</v>
      </c>
      <c r="ET91" s="2">
        <v>0</v>
      </c>
      <c r="EU91" s="2">
        <v>0</v>
      </c>
      <c r="EV91" s="2">
        <v>0</v>
      </c>
      <c r="EW91" s="2">
        <v>0</v>
      </c>
      <c r="EX91" s="2">
        <v>0</v>
      </c>
      <c r="EY91" s="2">
        <v>0</v>
      </c>
      <c r="EZ91" s="2"/>
      <c r="FA91" s="2"/>
      <c r="FB91" s="2"/>
      <c r="FC91" s="2"/>
      <c r="FD91" s="2"/>
      <c r="FE91" s="2"/>
      <c r="FF91" s="2"/>
      <c r="FG91" s="2"/>
      <c r="FH91" s="2"/>
      <c r="FI91" s="2"/>
      <c r="FJ91" s="2"/>
      <c r="FK91" s="2"/>
      <c r="FL91" s="2"/>
      <c r="FM91" s="2"/>
      <c r="FN91" s="2"/>
      <c r="FO91" s="2"/>
      <c r="FP91" s="2"/>
      <c r="FQ91" s="2">
        <v>0</v>
      </c>
      <c r="FR91" s="2">
        <v>0</v>
      </c>
      <c r="FS91" s="2">
        <v>0</v>
      </c>
      <c r="FT91" s="2"/>
      <c r="FU91" s="2"/>
      <c r="FV91" s="2"/>
      <c r="FW91" s="2"/>
      <c r="FX91" s="2">
        <v>0</v>
      </c>
      <c r="FY91" s="2">
        <v>0</v>
      </c>
      <c r="FZ91" s="2"/>
      <c r="GA91" s="2" t="s">
        <v>161</v>
      </c>
      <c r="GB91" s="2"/>
      <c r="GC91" s="2"/>
      <c r="GD91" s="2">
        <v>1</v>
      </c>
      <c r="GE91" s="2"/>
      <c r="GF91" s="2">
        <v>-1870089525</v>
      </c>
      <c r="GG91" s="2">
        <v>2</v>
      </c>
      <c r="GH91" s="2">
        <v>4</v>
      </c>
      <c r="GI91" s="2">
        <v>-2</v>
      </c>
      <c r="GJ91" s="2">
        <v>0</v>
      </c>
      <c r="GK91" s="2">
        <v>0</v>
      </c>
      <c r="GL91" s="2">
        <f t="shared" si="88"/>
        <v>0</v>
      </c>
      <c r="GM91" s="2">
        <f t="shared" si="89"/>
        <v>651.17999999999995</v>
      </c>
      <c r="GN91" s="2">
        <f t="shared" si="90"/>
        <v>0</v>
      </c>
      <c r="GO91" s="2">
        <f t="shared" si="91"/>
        <v>651.17999999999995</v>
      </c>
      <c r="GP91" s="2">
        <f t="shared" si="92"/>
        <v>0</v>
      </c>
      <c r="GQ91" s="2"/>
      <c r="GR91" s="2">
        <v>1</v>
      </c>
      <c r="GS91" s="2">
        <v>2</v>
      </c>
      <c r="GT91" s="2">
        <v>0</v>
      </c>
      <c r="GU91" s="2" t="s">
        <v>3</v>
      </c>
      <c r="GV91" s="2">
        <f t="shared" si="93"/>
        <v>0</v>
      </c>
      <c r="GW91" s="2">
        <v>1</v>
      </c>
      <c r="GX91" s="2">
        <f t="shared" si="94"/>
        <v>0</v>
      </c>
      <c r="GY91" s="2"/>
      <c r="GZ91" s="2"/>
      <c r="HA91" s="2">
        <v>0</v>
      </c>
      <c r="HB91" s="2">
        <v>0</v>
      </c>
      <c r="HC91" s="2">
        <f t="shared" si="95"/>
        <v>0</v>
      </c>
      <c r="HD91" s="2"/>
      <c r="HE91" s="2" t="s">
        <v>162</v>
      </c>
      <c r="HF91" s="2" t="s">
        <v>35</v>
      </c>
      <c r="HG91" s="2"/>
      <c r="HH91" s="2"/>
      <c r="HI91" s="2"/>
      <c r="HJ91" s="2"/>
      <c r="HK91" s="2"/>
      <c r="HL91" s="2"/>
      <c r="HM91" s="2" t="s">
        <v>3</v>
      </c>
      <c r="HN91" s="2" t="s">
        <v>3</v>
      </c>
      <c r="HO91" s="2" t="s">
        <v>3</v>
      </c>
      <c r="HP91" s="2" t="s">
        <v>3</v>
      </c>
      <c r="HQ91" s="2" t="s">
        <v>3</v>
      </c>
      <c r="HR91" s="2"/>
      <c r="HS91" s="2">
        <v>0</v>
      </c>
      <c r="HT91" s="2"/>
      <c r="HU91" s="2"/>
      <c r="HV91" s="2"/>
      <c r="HW91" s="2"/>
      <c r="HX91" s="2"/>
      <c r="HY91" s="2"/>
      <c r="HZ91" s="2"/>
      <c r="IA91" s="2"/>
      <c r="IB91" s="2"/>
      <c r="IC91" s="2"/>
      <c r="ID91" s="2"/>
      <c r="IE91" s="2"/>
      <c r="IF91" s="2"/>
      <c r="IG91" s="2"/>
      <c r="IH91" s="2"/>
      <c r="II91" s="2"/>
      <c r="IJ91" s="2"/>
      <c r="IK91" s="2">
        <v>0</v>
      </c>
      <c r="IL91" s="2"/>
      <c r="IM91" s="2"/>
      <c r="IN91" s="2"/>
      <c r="IO91" s="2"/>
      <c r="IP91" s="2"/>
      <c r="IQ91" s="2"/>
      <c r="IR91" s="2"/>
      <c r="IS91" s="2"/>
      <c r="IT91" s="2"/>
      <c r="IU91" s="2"/>
    </row>
    <row r="92" spans="1:255" x14ac:dyDescent="0.25">
      <c r="A92" s="3">
        <v>17</v>
      </c>
      <c r="B92" s="3">
        <v>1</v>
      </c>
      <c r="E92" s="3" t="s">
        <v>3</v>
      </c>
      <c r="F92" s="3" t="s">
        <v>157</v>
      </c>
      <c r="G92" s="3" t="s">
        <v>158</v>
      </c>
      <c r="H92" s="3" t="s">
        <v>152</v>
      </c>
      <c r="I92" s="3">
        <v>1</v>
      </c>
      <c r="J92" s="3">
        <v>0</v>
      </c>
      <c r="K92" s="3">
        <v>1</v>
      </c>
      <c r="O92" s="3">
        <f t="shared" si="71"/>
        <v>6407.61</v>
      </c>
      <c r="P92" s="3">
        <f t="shared" si="72"/>
        <v>6407.61</v>
      </c>
      <c r="Q92" s="3">
        <f>(ROUND((ROUND(((ET92)*AV92*I92),2)*BB92),2)+ROUND((ROUND(((AE92-(EU92))*AV92*I92),2)*BS92),2))</f>
        <v>0</v>
      </c>
      <c r="R92" s="3">
        <f>(ROUND((ROUND(((EU92)*AV92*I92),2)*BS92),2)+ROUND((ROUND(((AE92-(EU92))*AV92*I92),2)*BS92),2))</f>
        <v>0</v>
      </c>
      <c r="S92" s="3">
        <f t="shared" si="73"/>
        <v>0</v>
      </c>
      <c r="T92" s="3">
        <f t="shared" si="74"/>
        <v>0</v>
      </c>
      <c r="U92" s="3">
        <f t="shared" si="75"/>
        <v>0</v>
      </c>
      <c r="V92" s="3">
        <f t="shared" si="76"/>
        <v>0</v>
      </c>
      <c r="W92" s="3">
        <f t="shared" si="77"/>
        <v>0</v>
      </c>
      <c r="X92" s="3">
        <f>(ROUND((((S92+ROUND((ROUND(((EU92)*AV92*I92),2)*BS92),2))*AT92)/100),2)+ROUND(((ROUND((ROUND(((AE92-(EU92))*AV92*I92),2)*BS92),2)*AT92)/100),2))</f>
        <v>0</v>
      </c>
      <c r="Y92" s="3">
        <f>(ROUND((((S92+ROUND((ROUND(((EU92)*AV92*I92),2)*BS92),2))*AU92)/100),2)+ROUND(((ROUND((ROUND(((AE92-(EU92))*AV92*I92),2)*BS92),2)*AU92)/100),2))</f>
        <v>0</v>
      </c>
      <c r="AA92" s="3">
        <v>-1</v>
      </c>
      <c r="AB92" s="3">
        <f t="shared" si="78"/>
        <v>651.17999999999995</v>
      </c>
      <c r="AC92" s="3">
        <f>ROUND((ES92),6)</f>
        <v>651.17999999999995</v>
      </c>
      <c r="AD92" s="3">
        <f>ROUND((((ET92)-(EU92))+AE92),6)</f>
        <v>0</v>
      </c>
      <c r="AE92" s="3">
        <f t="shared" si="96"/>
        <v>0</v>
      </c>
      <c r="AF92" s="3">
        <f t="shared" si="96"/>
        <v>0</v>
      </c>
      <c r="AG92" s="3">
        <f t="shared" si="79"/>
        <v>0</v>
      </c>
      <c r="AH92" s="3">
        <f t="shared" si="97"/>
        <v>0</v>
      </c>
      <c r="AI92" s="3">
        <f t="shared" si="97"/>
        <v>0</v>
      </c>
      <c r="AJ92" s="3">
        <f t="shared" si="80"/>
        <v>0</v>
      </c>
      <c r="AK92" s="3">
        <v>651.17999999999995</v>
      </c>
      <c r="AL92" s="3">
        <v>651.17999999999995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3">
        <v>1</v>
      </c>
      <c r="AW92" s="3">
        <v>1</v>
      </c>
      <c r="AZ92" s="3">
        <v>1</v>
      </c>
      <c r="BA92" s="3">
        <v>1</v>
      </c>
      <c r="BB92" s="3">
        <v>1</v>
      </c>
      <c r="BC92" s="3">
        <v>9.84</v>
      </c>
      <c r="BD92" s="3" t="s">
        <v>3</v>
      </c>
      <c r="BE92" s="3" t="s">
        <v>3</v>
      </c>
      <c r="BF92" s="3" t="s">
        <v>3</v>
      </c>
      <c r="BG92" s="3" t="s">
        <v>3</v>
      </c>
      <c r="BH92" s="3">
        <v>3</v>
      </c>
      <c r="BI92" s="3">
        <v>2</v>
      </c>
      <c r="BJ92" s="3" t="s">
        <v>157</v>
      </c>
      <c r="BM92" s="3">
        <v>400005</v>
      </c>
      <c r="BN92" s="3">
        <v>0</v>
      </c>
      <c r="BO92" s="3" t="s">
        <v>3</v>
      </c>
      <c r="BP92" s="3">
        <v>0</v>
      </c>
      <c r="BQ92" s="3">
        <v>213</v>
      </c>
      <c r="BR92" s="3">
        <v>0</v>
      </c>
      <c r="BS92" s="3">
        <v>1</v>
      </c>
      <c r="BT92" s="3">
        <v>1</v>
      </c>
      <c r="BU92" s="3">
        <v>1</v>
      </c>
      <c r="BV92" s="3">
        <v>1</v>
      </c>
      <c r="BW92" s="3">
        <v>1</v>
      </c>
      <c r="BX92" s="3">
        <v>1</v>
      </c>
      <c r="BY92" s="3" t="s">
        <v>3</v>
      </c>
      <c r="BZ92" s="3">
        <v>0</v>
      </c>
      <c r="CA92" s="3">
        <v>0</v>
      </c>
      <c r="CB92" s="3" t="s">
        <v>3</v>
      </c>
      <c r="CE92" s="3">
        <v>1566</v>
      </c>
      <c r="CF92" s="3">
        <v>0</v>
      </c>
      <c r="CG92" s="3">
        <v>0</v>
      </c>
      <c r="CM92" s="3">
        <v>0</v>
      </c>
      <c r="CN92" s="3" t="s">
        <v>3</v>
      </c>
      <c r="CO92" s="3">
        <v>0</v>
      </c>
      <c r="CP92" s="3">
        <f t="shared" si="81"/>
        <v>6407.61</v>
      </c>
      <c r="CQ92" s="3">
        <f t="shared" si="82"/>
        <v>6407.61</v>
      </c>
      <c r="CR92" s="3">
        <f>(ROUND((ROUND(((ET92)*AV92*1),2)*BB92),2)+ROUND((ROUND(((AE92-(EU92))*AV92*1),2)*BS92),2))</f>
        <v>0</v>
      </c>
      <c r="CS92" s="3">
        <f>(ROUND((ROUND(((EU92)*AV92*1),2)*BS92),2)+ROUND((ROUND(((AE92-(EU92))*AV92*1),2)*BS92),2))</f>
        <v>0</v>
      </c>
      <c r="CT92" s="3">
        <f t="shared" si="83"/>
        <v>0</v>
      </c>
      <c r="CU92" s="3">
        <f t="shared" si="84"/>
        <v>0</v>
      </c>
      <c r="CV92" s="3">
        <f t="shared" si="85"/>
        <v>0</v>
      </c>
      <c r="CW92" s="3">
        <f t="shared" si="86"/>
        <v>0</v>
      </c>
      <c r="CX92" s="3">
        <f t="shared" si="87"/>
        <v>0</v>
      </c>
      <c r="CY92" s="3">
        <f>(ROUND((((S92+ROUND((ROUND(((EU92)*AV92*1),2)*BS92),2))*AT92)/100),2)+ROUND(((ROUND((ROUND(((AE92-(EU92))*AV92*1),2)*BS92),2)*AT92)/100),2))</f>
        <v>0</v>
      </c>
      <c r="CZ92" s="3">
        <f>(ROUND((((S92+ROUND((ROUND(((EU92)*AV92*1),2)*BS92),2))*AU92)/100),2)+ROUND(((ROUND((ROUND(((AE92-(EU92))*AV92*1),2)*BS92),2)*AU92)/100),2))</f>
        <v>0</v>
      </c>
      <c r="DC92" s="3" t="s">
        <v>3</v>
      </c>
      <c r="DD92" s="3" t="s">
        <v>3</v>
      </c>
      <c r="DE92" s="3" t="s">
        <v>3</v>
      </c>
      <c r="DF92" s="3" t="s">
        <v>3</v>
      </c>
      <c r="DG92" s="3" t="s">
        <v>3</v>
      </c>
      <c r="DH92" s="3" t="s">
        <v>3</v>
      </c>
      <c r="DI92" s="3" t="s">
        <v>3</v>
      </c>
      <c r="DJ92" s="3" t="s">
        <v>3</v>
      </c>
      <c r="DK92" s="3" t="s">
        <v>3</v>
      </c>
      <c r="DL92" s="3" t="s">
        <v>3</v>
      </c>
      <c r="DM92" s="3" t="s">
        <v>3</v>
      </c>
      <c r="DN92" s="3">
        <v>0</v>
      </c>
      <c r="DO92" s="3">
        <v>0</v>
      </c>
      <c r="DP92" s="3">
        <v>1</v>
      </c>
      <c r="DQ92" s="3">
        <v>1</v>
      </c>
      <c r="DU92" s="3">
        <v>1013</v>
      </c>
      <c r="DV92" s="3" t="s">
        <v>152</v>
      </c>
      <c r="DW92" s="3" t="s">
        <v>152</v>
      </c>
      <c r="DX92" s="3">
        <v>1</v>
      </c>
      <c r="DZ92" s="3" t="s">
        <v>3</v>
      </c>
      <c r="EA92" s="3" t="s">
        <v>3</v>
      </c>
      <c r="EB92" s="3" t="s">
        <v>3</v>
      </c>
      <c r="EC92" s="3" t="s">
        <v>3</v>
      </c>
      <c r="EE92" s="3">
        <v>57042888</v>
      </c>
      <c r="EF92" s="3">
        <v>213</v>
      </c>
      <c r="EG92" s="3" t="s">
        <v>159</v>
      </c>
      <c r="EH92" s="3">
        <v>0</v>
      </c>
      <c r="EI92" s="3" t="s">
        <v>3</v>
      </c>
      <c r="EJ92" s="3">
        <v>1</v>
      </c>
      <c r="EK92" s="3">
        <v>400005</v>
      </c>
      <c r="EL92" s="3" t="s">
        <v>159</v>
      </c>
      <c r="EM92" s="3" t="s">
        <v>160</v>
      </c>
      <c r="EO92" s="3" t="s">
        <v>3</v>
      </c>
      <c r="EQ92" s="3">
        <v>1040</v>
      </c>
      <c r="ER92" s="3">
        <v>0</v>
      </c>
      <c r="ES92" s="3">
        <v>651.17999999999995</v>
      </c>
      <c r="ET92" s="3">
        <v>0</v>
      </c>
      <c r="EU92" s="3">
        <v>0</v>
      </c>
      <c r="EV92" s="3">
        <v>0</v>
      </c>
      <c r="EW92" s="3">
        <v>0</v>
      </c>
      <c r="EX92" s="3">
        <v>0</v>
      </c>
      <c r="EY92" s="3">
        <v>0</v>
      </c>
      <c r="EZ92" s="3">
        <v>5</v>
      </c>
      <c r="FC92" s="3">
        <v>1</v>
      </c>
      <c r="FD92" s="3">
        <v>18</v>
      </c>
      <c r="FF92" s="3">
        <v>7664</v>
      </c>
      <c r="FQ92" s="3">
        <v>0</v>
      </c>
      <c r="FR92" s="3">
        <v>0</v>
      </c>
      <c r="FS92" s="3">
        <v>0</v>
      </c>
      <c r="FX92" s="3">
        <v>0</v>
      </c>
      <c r="FY92" s="3">
        <v>0</v>
      </c>
      <c r="GA92" s="3" t="s">
        <v>161</v>
      </c>
      <c r="GD92" s="3">
        <v>1</v>
      </c>
      <c r="GF92" s="3">
        <v>-1870089525</v>
      </c>
      <c r="GG92" s="3">
        <v>2</v>
      </c>
      <c r="GH92" s="3">
        <v>3</v>
      </c>
      <c r="GI92" s="3">
        <v>5</v>
      </c>
      <c r="GJ92" s="3">
        <v>0</v>
      </c>
      <c r="GK92" s="3">
        <v>0</v>
      </c>
      <c r="GL92" s="3">
        <f t="shared" si="88"/>
        <v>0</v>
      </c>
      <c r="GM92" s="3">
        <f t="shared" si="89"/>
        <v>6407.61</v>
      </c>
      <c r="GN92" s="3">
        <f t="shared" si="90"/>
        <v>0</v>
      </c>
      <c r="GO92" s="3">
        <f t="shared" si="91"/>
        <v>6407.61</v>
      </c>
      <c r="GP92" s="3">
        <f t="shared" si="92"/>
        <v>0</v>
      </c>
      <c r="GR92" s="3">
        <v>1</v>
      </c>
      <c r="GS92" s="3">
        <v>1</v>
      </c>
      <c r="GT92" s="3">
        <v>0</v>
      </c>
      <c r="GU92" s="3" t="s">
        <v>3</v>
      </c>
      <c r="GV92" s="3">
        <f t="shared" si="93"/>
        <v>0</v>
      </c>
      <c r="GW92" s="3">
        <v>1</v>
      </c>
      <c r="GX92" s="3">
        <f t="shared" si="94"/>
        <v>0</v>
      </c>
      <c r="HA92" s="3">
        <v>0</v>
      </c>
      <c r="HB92" s="3">
        <v>0</v>
      </c>
      <c r="HC92" s="3">
        <f t="shared" si="95"/>
        <v>0</v>
      </c>
      <c r="HE92" s="3" t="s">
        <v>162</v>
      </c>
      <c r="HF92" s="3" t="s">
        <v>35</v>
      </c>
      <c r="HM92" s="3" t="s">
        <v>3</v>
      </c>
      <c r="HN92" s="3" t="s">
        <v>3</v>
      </c>
      <c r="HO92" s="3" t="s">
        <v>3</v>
      </c>
      <c r="HP92" s="3" t="s">
        <v>3</v>
      </c>
      <c r="HQ92" s="3" t="s">
        <v>3</v>
      </c>
      <c r="HS92" s="3">
        <v>0</v>
      </c>
      <c r="IK92" s="3">
        <v>0</v>
      </c>
    </row>
    <row r="93" spans="1:255" x14ac:dyDescent="0.25">
      <c r="A93" s="2">
        <v>17</v>
      </c>
      <c r="B93" s="2">
        <v>1</v>
      </c>
      <c r="C93" s="2">
        <f>ROW(SmtRes!A98)</f>
        <v>98</v>
      </c>
      <c r="D93" s="2">
        <f>ROW(EtalonRes!A125)</f>
        <v>125</v>
      </c>
      <c r="E93" s="2" t="s">
        <v>3</v>
      </c>
      <c r="F93" s="2" t="s">
        <v>163</v>
      </c>
      <c r="G93" s="2" t="s">
        <v>164</v>
      </c>
      <c r="H93" s="2" t="s">
        <v>27</v>
      </c>
      <c r="I93" s="2">
        <v>1</v>
      </c>
      <c r="J93" s="2">
        <v>0</v>
      </c>
      <c r="K93" s="2">
        <v>1</v>
      </c>
      <c r="L93" s="2"/>
      <c r="M93" s="2"/>
      <c r="N93" s="2"/>
      <c r="O93" s="2">
        <f t="shared" si="71"/>
        <v>15.27</v>
      </c>
      <c r="P93" s="2">
        <f t="shared" si="72"/>
        <v>0</v>
      </c>
      <c r="Q93" s="2">
        <f>(ROUND((ROUND((((ET93*1.2))*AV93*I93),2)*BB93),2)+ROUND((ROUND(((AE93-((EU93*1.2)))*AV93*I93),2)*BS93),2))</f>
        <v>0.63</v>
      </c>
      <c r="R93" s="2">
        <f>(ROUND((ROUND((((EU93*1.2))*AV93*I93),2)*BS93),2)+ROUND((ROUND(((AE93-((EU93*1.2)))*AV93*I93),2)*BS93),2))</f>
        <v>0.1</v>
      </c>
      <c r="S93" s="2">
        <f t="shared" si="73"/>
        <v>14.64</v>
      </c>
      <c r="T93" s="2">
        <f t="shared" si="74"/>
        <v>0</v>
      </c>
      <c r="U93" s="2">
        <f t="shared" si="75"/>
        <v>1.2940919999999998</v>
      </c>
      <c r="V93" s="2">
        <f t="shared" si="76"/>
        <v>0</v>
      </c>
      <c r="W93" s="2">
        <f t="shared" si="77"/>
        <v>0</v>
      </c>
      <c r="X93" s="2">
        <f>(ROUND((((S93+ROUND((ROUND((((EU93*1.2))*AV93*I93),2)*BS93),2))*AT93)/100),2)+ROUND(((ROUND((ROUND(((AE93-((EU93*1.2)))*AV93*I93),2)*BS93),2)*AT93)/100),2))</f>
        <v>13.27</v>
      </c>
      <c r="Y93" s="2">
        <f>(ROUND((((S93+ROUND((ROUND((((EU93*1.2))*AV93*I93),2)*BS93),2))*AU93)/100),2)+ROUND(((ROUND((ROUND(((AE93-((EU93*1.2)))*AV93*I93),2)*BS93),2)*AU93)/100),2))</f>
        <v>6.78</v>
      </c>
      <c r="Z93" s="2"/>
      <c r="AA93" s="2">
        <v>-1</v>
      </c>
      <c r="AB93" s="2">
        <f t="shared" si="78"/>
        <v>14.58</v>
      </c>
      <c r="AC93" s="2">
        <f>ROUND(((ES93*1)),6)</f>
        <v>0</v>
      </c>
      <c r="AD93" s="2">
        <f>ROUND(((((ET93*1.2))-((EU93*1.2)))+AE93),6)</f>
        <v>0.6</v>
      </c>
      <c r="AE93" s="2">
        <f t="shared" ref="AE93:AF96" si="98">ROUND(((EU93*1.2)),6)</f>
        <v>9.6000000000000002E-2</v>
      </c>
      <c r="AF93" s="2">
        <f t="shared" si="98"/>
        <v>13.98</v>
      </c>
      <c r="AG93" s="2">
        <f t="shared" si="79"/>
        <v>0</v>
      </c>
      <c r="AH93" s="2">
        <f t="shared" ref="AH93:AI96" si="99">((EW93*1.2))</f>
        <v>1.236</v>
      </c>
      <c r="AI93" s="2">
        <f t="shared" si="99"/>
        <v>0</v>
      </c>
      <c r="AJ93" s="2">
        <f t="shared" si="80"/>
        <v>0</v>
      </c>
      <c r="AK93" s="2">
        <v>12.15</v>
      </c>
      <c r="AL93" s="2">
        <v>0</v>
      </c>
      <c r="AM93" s="2">
        <v>0.5</v>
      </c>
      <c r="AN93" s="2">
        <v>0.08</v>
      </c>
      <c r="AO93" s="2">
        <v>11.65</v>
      </c>
      <c r="AP93" s="2">
        <v>0</v>
      </c>
      <c r="AQ93" s="2">
        <v>1.03</v>
      </c>
      <c r="AR93" s="2">
        <v>0</v>
      </c>
      <c r="AS93" s="2">
        <v>0</v>
      </c>
      <c r="AT93" s="2">
        <v>90</v>
      </c>
      <c r="AU93" s="2">
        <v>46</v>
      </c>
      <c r="AV93" s="2">
        <v>1.0469999999999999</v>
      </c>
      <c r="AW93" s="2">
        <v>1</v>
      </c>
      <c r="AX93" s="2"/>
      <c r="AY93" s="2"/>
      <c r="AZ93" s="2">
        <v>1</v>
      </c>
      <c r="BA93" s="2">
        <v>1</v>
      </c>
      <c r="BB93" s="2">
        <v>1</v>
      </c>
      <c r="BC93" s="2">
        <v>1</v>
      </c>
      <c r="BD93" s="2" t="s">
        <v>3</v>
      </c>
      <c r="BE93" s="2" t="s">
        <v>3</v>
      </c>
      <c r="BF93" s="2" t="s">
        <v>3</v>
      </c>
      <c r="BG93" s="2" t="s">
        <v>3</v>
      </c>
      <c r="BH93" s="2">
        <v>0</v>
      </c>
      <c r="BI93" s="2">
        <v>2</v>
      </c>
      <c r="BJ93" s="2" t="s">
        <v>165</v>
      </c>
      <c r="BK93" s="2"/>
      <c r="BL93" s="2"/>
      <c r="BM93" s="2">
        <v>72</v>
      </c>
      <c r="BN93" s="2">
        <v>0</v>
      </c>
      <c r="BO93" s="2" t="s">
        <v>163</v>
      </c>
      <c r="BP93" s="2">
        <v>1</v>
      </c>
      <c r="BQ93" s="2">
        <v>40</v>
      </c>
      <c r="BR93" s="2">
        <v>0</v>
      </c>
      <c r="BS93" s="2">
        <v>1</v>
      </c>
      <c r="BT93" s="2">
        <v>1</v>
      </c>
      <c r="BU93" s="2">
        <v>1</v>
      </c>
      <c r="BV93" s="2">
        <v>1</v>
      </c>
      <c r="BW93" s="2">
        <v>1</v>
      </c>
      <c r="BX93" s="2">
        <v>1</v>
      </c>
      <c r="BY93" s="2" t="s">
        <v>3</v>
      </c>
      <c r="BZ93" s="2">
        <v>90</v>
      </c>
      <c r="CA93" s="2">
        <v>46</v>
      </c>
      <c r="CB93" s="2" t="s">
        <v>3</v>
      </c>
      <c r="CC93" s="2"/>
      <c r="CD93" s="2"/>
      <c r="CE93" s="2">
        <v>1566</v>
      </c>
      <c r="CF93" s="2">
        <v>0</v>
      </c>
      <c r="CG93" s="2">
        <v>0</v>
      </c>
      <c r="CH93" s="2"/>
      <c r="CI93" s="2"/>
      <c r="CJ93" s="2"/>
      <c r="CK93" s="2"/>
      <c r="CL93" s="2"/>
      <c r="CM93" s="2">
        <v>0</v>
      </c>
      <c r="CN93" s="2" t="s">
        <v>624</v>
      </c>
      <c r="CO93" s="2">
        <v>0</v>
      </c>
      <c r="CP93" s="2">
        <f t="shared" si="81"/>
        <v>15.270000000000001</v>
      </c>
      <c r="CQ93" s="2">
        <f t="shared" si="82"/>
        <v>0</v>
      </c>
      <c r="CR93" s="2">
        <f>(ROUND((ROUND((((ET93*1.2))*AV93*1),2)*BB93),2)+ROUND((ROUND(((AE93-((EU93*1.2)))*AV93*1),2)*BS93),2))</f>
        <v>0.63</v>
      </c>
      <c r="CS93" s="2">
        <f>(ROUND((ROUND((((EU93*1.2))*AV93*1),2)*BS93),2)+ROUND((ROUND(((AE93-((EU93*1.2)))*AV93*1),2)*BS93),2))</f>
        <v>0.1</v>
      </c>
      <c r="CT93" s="2">
        <f t="shared" si="83"/>
        <v>14.64</v>
      </c>
      <c r="CU93" s="2">
        <f t="shared" si="84"/>
        <v>0</v>
      </c>
      <c r="CV93" s="2">
        <f t="shared" si="85"/>
        <v>1.2940919999999998</v>
      </c>
      <c r="CW93" s="2">
        <f t="shared" si="86"/>
        <v>0</v>
      </c>
      <c r="CX93" s="2">
        <f t="shared" si="87"/>
        <v>0</v>
      </c>
      <c r="CY93" s="2">
        <f>(ROUND((((S93+ROUND((ROUND((((EU93*1.2))*AV93*1),2)*BS93),2))*AT93)/100),2)+ROUND(((ROUND((ROUND(((AE93-((EU93*1.2)))*AV93*1),2)*BS93),2)*AT93)/100),2))</f>
        <v>13.27</v>
      </c>
      <c r="CZ93" s="2">
        <f>(ROUND((((S93+ROUND((ROUND((((EU93*1.2))*AV93*1),2)*BS93),2))*AU93)/100),2)+ROUND(((ROUND((ROUND(((AE93-((EU93*1.2)))*AV93*1),2)*BS93),2)*AU93)/100),2))</f>
        <v>6.78</v>
      </c>
      <c r="DA93" s="2"/>
      <c r="DB93" s="2">
        <v>47</v>
      </c>
      <c r="DC93" s="2" t="s">
        <v>3</v>
      </c>
      <c r="DD93" s="2" t="s">
        <v>70</v>
      </c>
      <c r="DE93" s="2" t="s">
        <v>71</v>
      </c>
      <c r="DF93" s="2" t="s">
        <v>71</v>
      </c>
      <c r="DG93" s="2" t="s">
        <v>71</v>
      </c>
      <c r="DH93" s="2" t="s">
        <v>3</v>
      </c>
      <c r="DI93" s="2" t="s">
        <v>71</v>
      </c>
      <c r="DJ93" s="2" t="s">
        <v>71</v>
      </c>
      <c r="DK93" s="2" t="s">
        <v>3</v>
      </c>
      <c r="DL93" s="2" t="s">
        <v>3</v>
      </c>
      <c r="DM93" s="2" t="s">
        <v>3</v>
      </c>
      <c r="DN93" s="2">
        <v>0</v>
      </c>
      <c r="DO93" s="2">
        <v>0</v>
      </c>
      <c r="DP93" s="2">
        <v>1</v>
      </c>
      <c r="DQ93" s="2">
        <v>1</v>
      </c>
      <c r="DR93" s="2"/>
      <c r="DS93" s="2"/>
      <c r="DT93" s="2"/>
      <c r="DU93" s="2">
        <v>1013</v>
      </c>
      <c r="DV93" s="2" t="s">
        <v>27</v>
      </c>
      <c r="DW93" s="2" t="s">
        <v>27</v>
      </c>
      <c r="DX93" s="2">
        <v>1</v>
      </c>
      <c r="DY93" s="2"/>
      <c r="DZ93" s="2" t="s">
        <v>3</v>
      </c>
      <c r="EA93" s="2" t="s">
        <v>3</v>
      </c>
      <c r="EB93" s="2" t="s">
        <v>3</v>
      </c>
      <c r="EC93" s="2" t="s">
        <v>3</v>
      </c>
      <c r="ED93" s="2"/>
      <c r="EE93" s="2">
        <v>57042962</v>
      </c>
      <c r="EF93" s="2">
        <v>40</v>
      </c>
      <c r="EG93" s="2" t="s">
        <v>31</v>
      </c>
      <c r="EH93" s="2">
        <v>0</v>
      </c>
      <c r="EI93" s="2" t="s">
        <v>3</v>
      </c>
      <c r="EJ93" s="2">
        <v>2</v>
      </c>
      <c r="EK93" s="2">
        <v>72</v>
      </c>
      <c r="EL93" s="2" t="s">
        <v>166</v>
      </c>
      <c r="EM93" s="2" t="s">
        <v>167</v>
      </c>
      <c r="EN93" s="2"/>
      <c r="EO93" s="2" t="s">
        <v>75</v>
      </c>
      <c r="EP93" s="2"/>
      <c r="EQ93" s="2">
        <v>1024</v>
      </c>
      <c r="ER93" s="2">
        <v>12.15</v>
      </c>
      <c r="ES93" s="2">
        <v>0</v>
      </c>
      <c r="ET93" s="2">
        <v>0.5</v>
      </c>
      <c r="EU93" s="2">
        <v>0.08</v>
      </c>
      <c r="EV93" s="2">
        <v>11.65</v>
      </c>
      <c r="EW93" s="2">
        <v>1.03</v>
      </c>
      <c r="EX93" s="2">
        <v>0</v>
      </c>
      <c r="EY93" s="2">
        <v>0</v>
      </c>
      <c r="EZ93" s="2"/>
      <c r="FA93" s="2"/>
      <c r="FB93" s="2"/>
      <c r="FC93" s="2"/>
      <c r="FD93" s="2"/>
      <c r="FE93" s="2"/>
      <c r="FF93" s="2"/>
      <c r="FG93" s="2"/>
      <c r="FH93" s="2"/>
      <c r="FI93" s="2"/>
      <c r="FJ93" s="2"/>
      <c r="FK93" s="2"/>
      <c r="FL93" s="2"/>
      <c r="FM93" s="2"/>
      <c r="FN93" s="2"/>
      <c r="FO93" s="2"/>
      <c r="FP93" s="2"/>
      <c r="FQ93" s="2">
        <v>0</v>
      </c>
      <c r="FR93" s="2">
        <v>0</v>
      </c>
      <c r="FS93" s="2">
        <v>0</v>
      </c>
      <c r="FT93" s="2"/>
      <c r="FU93" s="2"/>
      <c r="FV93" s="2"/>
      <c r="FW93" s="2"/>
      <c r="FX93" s="2">
        <v>90</v>
      </c>
      <c r="FY93" s="2">
        <v>46</v>
      </c>
      <c r="FZ93" s="2"/>
      <c r="GA93" s="2" t="s">
        <v>3</v>
      </c>
      <c r="GB93" s="2"/>
      <c r="GC93" s="2"/>
      <c r="GD93" s="2">
        <v>1</v>
      </c>
      <c r="GE93" s="2"/>
      <c r="GF93" s="2">
        <v>-920792427</v>
      </c>
      <c r="GG93" s="2">
        <v>2</v>
      </c>
      <c r="GH93" s="2">
        <v>1</v>
      </c>
      <c r="GI93" s="2">
        <v>2</v>
      </c>
      <c r="GJ93" s="2">
        <v>0</v>
      </c>
      <c r="GK93" s="2">
        <v>0</v>
      </c>
      <c r="GL93" s="2">
        <f t="shared" si="88"/>
        <v>0</v>
      </c>
      <c r="GM93" s="2">
        <f t="shared" si="89"/>
        <v>35.32</v>
      </c>
      <c r="GN93" s="2">
        <f t="shared" si="90"/>
        <v>0</v>
      </c>
      <c r="GO93" s="2">
        <f t="shared" si="91"/>
        <v>35.32</v>
      </c>
      <c r="GP93" s="2">
        <f t="shared" si="92"/>
        <v>0</v>
      </c>
      <c r="GQ93" s="2"/>
      <c r="GR93" s="2">
        <v>0</v>
      </c>
      <c r="GS93" s="2">
        <v>3</v>
      </c>
      <c r="GT93" s="2">
        <v>0</v>
      </c>
      <c r="GU93" s="2" t="s">
        <v>3</v>
      </c>
      <c r="GV93" s="2">
        <f t="shared" si="93"/>
        <v>0</v>
      </c>
      <c r="GW93" s="2">
        <v>1</v>
      </c>
      <c r="GX93" s="2">
        <f t="shared" si="94"/>
        <v>0</v>
      </c>
      <c r="GY93" s="2"/>
      <c r="GZ93" s="2"/>
      <c r="HA93" s="2">
        <v>0</v>
      </c>
      <c r="HB93" s="2">
        <v>0</v>
      </c>
      <c r="HC93" s="2">
        <f t="shared" si="95"/>
        <v>0</v>
      </c>
      <c r="HD93" s="2"/>
      <c r="HE93" s="2" t="s">
        <v>3</v>
      </c>
      <c r="HF93" s="2" t="s">
        <v>3</v>
      </c>
      <c r="HG93" s="2"/>
      <c r="HH93" s="2"/>
      <c r="HI93" s="2"/>
      <c r="HJ93" s="2"/>
      <c r="HK93" s="2"/>
      <c r="HL93" s="2"/>
      <c r="HM93" s="2" t="s">
        <v>3</v>
      </c>
      <c r="HN93" s="2" t="s">
        <v>3</v>
      </c>
      <c r="HO93" s="2" t="s">
        <v>3</v>
      </c>
      <c r="HP93" s="2" t="s">
        <v>3</v>
      </c>
      <c r="HQ93" s="2" t="s">
        <v>3</v>
      </c>
      <c r="HR93" s="2"/>
      <c r="HS93" s="2">
        <v>0</v>
      </c>
      <c r="HT93" s="2"/>
      <c r="HU93" s="2"/>
      <c r="HV93" s="2"/>
      <c r="HW93" s="2"/>
      <c r="HX93" s="2"/>
      <c r="HY93" s="2"/>
      <c r="HZ93" s="2"/>
      <c r="IA93" s="2"/>
      <c r="IB93" s="2"/>
      <c r="IC93" s="2"/>
      <c r="ID93" s="2"/>
      <c r="IE93" s="2"/>
      <c r="IF93" s="2"/>
      <c r="IG93" s="2"/>
      <c r="IH93" s="2"/>
      <c r="II93" s="2"/>
      <c r="IJ93" s="2"/>
      <c r="IK93" s="2">
        <v>0</v>
      </c>
      <c r="IL93" s="2"/>
      <c r="IM93" s="2"/>
      <c r="IN93" s="2"/>
      <c r="IO93" s="2"/>
      <c r="IP93" s="2"/>
      <c r="IQ93" s="2"/>
      <c r="IR93" s="2"/>
      <c r="IS93" s="2"/>
      <c r="IT93" s="2"/>
      <c r="IU93" s="2"/>
    </row>
    <row r="94" spans="1:255" x14ac:dyDescent="0.25">
      <c r="A94" s="3">
        <v>17</v>
      </c>
      <c r="B94" s="3">
        <v>1</v>
      </c>
      <c r="C94" s="3">
        <f>ROW(SmtRes!A100)</f>
        <v>100</v>
      </c>
      <c r="D94" s="3">
        <f>ROW(EtalonRes!A128)</f>
        <v>128</v>
      </c>
      <c r="E94" s="3" t="s">
        <v>3</v>
      </c>
      <c r="F94" s="3" t="s">
        <v>163</v>
      </c>
      <c r="G94" s="3" t="s">
        <v>164</v>
      </c>
      <c r="H94" s="3" t="s">
        <v>27</v>
      </c>
      <c r="I94" s="3">
        <v>1</v>
      </c>
      <c r="J94" s="3">
        <v>0</v>
      </c>
      <c r="K94" s="3">
        <v>1</v>
      </c>
      <c r="O94" s="3">
        <f t="shared" si="71"/>
        <v>835.68</v>
      </c>
      <c r="P94" s="3">
        <f t="shared" si="72"/>
        <v>0</v>
      </c>
      <c r="Q94" s="3">
        <f>(ROUND((ROUND((((ET94*1.2))*AV94*I94),2)*BB94),2)+ROUND((ROUND(((AE94-((EU94*1.2)))*AV94*I94),2)*BS94),2))</f>
        <v>10.72</v>
      </c>
      <c r="R94" s="3">
        <f>(ROUND((ROUND((((EU94*1.2))*AV94*I94),2)*BS94),2)+ROUND((ROUND(((AE94-((EU94*1.2)))*AV94*I94),2)*BS94),2))</f>
        <v>5.64</v>
      </c>
      <c r="S94" s="3">
        <f t="shared" si="73"/>
        <v>824.96</v>
      </c>
      <c r="T94" s="3">
        <f t="shared" si="74"/>
        <v>0</v>
      </c>
      <c r="U94" s="3">
        <f t="shared" si="75"/>
        <v>1.2940919999999998</v>
      </c>
      <c r="V94" s="3">
        <f t="shared" si="76"/>
        <v>0</v>
      </c>
      <c r="W94" s="3">
        <f t="shared" si="77"/>
        <v>0</v>
      </c>
      <c r="X94" s="3">
        <f>(ROUND((((S94+ROUND((ROUND((((EU94*1.2))*AV94*I94),2)*BS94),2))*AT94)/100),2)+ROUND(((ROUND((ROUND(((AE94-((EU94*1.2)))*AV94*I94),2)*BS94),2)*AT94)/100),2))</f>
        <v>747.54</v>
      </c>
      <c r="Y94" s="3">
        <f>(ROUND((((S94+ROUND((ROUND((((EU94*1.2))*AV94*I94),2)*BS94),2))*AU94)/100),2)+ROUND(((ROUND((ROUND(((AE94-((EU94*1.2)))*AV94*I94),2)*BS94),2)*AU94)/100),2))</f>
        <v>382.08</v>
      </c>
      <c r="AA94" s="3">
        <v>-1</v>
      </c>
      <c r="AB94" s="3">
        <f t="shared" si="78"/>
        <v>14.58</v>
      </c>
      <c r="AC94" s="3">
        <f>ROUND(((ES94*1)),6)</f>
        <v>0</v>
      </c>
      <c r="AD94" s="3">
        <f>ROUND(((((ET94*1.2))-((EU94*1.2)))+AE94),6)</f>
        <v>0.6</v>
      </c>
      <c r="AE94" s="3">
        <f t="shared" si="98"/>
        <v>9.6000000000000002E-2</v>
      </c>
      <c r="AF94" s="3">
        <f t="shared" si="98"/>
        <v>13.98</v>
      </c>
      <c r="AG94" s="3">
        <f t="shared" si="79"/>
        <v>0</v>
      </c>
      <c r="AH94" s="3">
        <f t="shared" si="99"/>
        <v>1.236</v>
      </c>
      <c r="AI94" s="3">
        <f t="shared" si="99"/>
        <v>0</v>
      </c>
      <c r="AJ94" s="3">
        <f t="shared" si="80"/>
        <v>0</v>
      </c>
      <c r="AK94" s="3">
        <v>12.15</v>
      </c>
      <c r="AL94" s="3">
        <v>0</v>
      </c>
      <c r="AM94" s="3">
        <v>0.5</v>
      </c>
      <c r="AN94" s="3">
        <v>0.08</v>
      </c>
      <c r="AO94" s="3">
        <v>11.65</v>
      </c>
      <c r="AP94" s="3">
        <v>0</v>
      </c>
      <c r="AQ94" s="3">
        <v>1.03</v>
      </c>
      <c r="AR94" s="3">
        <v>0</v>
      </c>
      <c r="AS94" s="3">
        <v>0</v>
      </c>
      <c r="AT94" s="3">
        <v>90</v>
      </c>
      <c r="AU94" s="3">
        <v>46</v>
      </c>
      <c r="AV94" s="3">
        <v>1.0469999999999999</v>
      </c>
      <c r="AW94" s="3">
        <v>1</v>
      </c>
      <c r="AZ94" s="3">
        <v>1</v>
      </c>
      <c r="BA94" s="3">
        <v>56.35</v>
      </c>
      <c r="BB94" s="3">
        <v>17.02</v>
      </c>
      <c r="BC94" s="3">
        <v>1</v>
      </c>
      <c r="BD94" s="3" t="s">
        <v>3</v>
      </c>
      <c r="BE94" s="3" t="s">
        <v>3</v>
      </c>
      <c r="BF94" s="3" t="s">
        <v>3</v>
      </c>
      <c r="BG94" s="3" t="s">
        <v>3</v>
      </c>
      <c r="BH94" s="3">
        <v>0</v>
      </c>
      <c r="BI94" s="3">
        <v>2</v>
      </c>
      <c r="BJ94" s="3" t="s">
        <v>165</v>
      </c>
      <c r="BM94" s="3">
        <v>72</v>
      </c>
      <c r="BN94" s="3">
        <v>0</v>
      </c>
      <c r="BO94" s="3" t="s">
        <v>163</v>
      </c>
      <c r="BP94" s="3">
        <v>1</v>
      </c>
      <c r="BQ94" s="3">
        <v>40</v>
      </c>
      <c r="BR94" s="3">
        <v>0</v>
      </c>
      <c r="BS94" s="3">
        <v>56.35</v>
      </c>
      <c r="BT94" s="3">
        <v>1</v>
      </c>
      <c r="BU94" s="3">
        <v>1</v>
      </c>
      <c r="BV94" s="3">
        <v>1</v>
      </c>
      <c r="BW94" s="3">
        <v>1</v>
      </c>
      <c r="BX94" s="3">
        <v>1</v>
      </c>
      <c r="BY94" s="3" t="s">
        <v>3</v>
      </c>
      <c r="BZ94" s="3">
        <v>90</v>
      </c>
      <c r="CA94" s="3">
        <v>46</v>
      </c>
      <c r="CB94" s="3" t="s">
        <v>3</v>
      </c>
      <c r="CE94" s="3">
        <v>1566</v>
      </c>
      <c r="CF94" s="3">
        <v>0</v>
      </c>
      <c r="CG94" s="3">
        <v>0</v>
      </c>
      <c r="CM94" s="3">
        <v>0</v>
      </c>
      <c r="CN94" s="3" t="s">
        <v>624</v>
      </c>
      <c r="CO94" s="3">
        <v>0</v>
      </c>
      <c r="CP94" s="3">
        <f t="shared" si="81"/>
        <v>835.68000000000006</v>
      </c>
      <c r="CQ94" s="3">
        <f t="shared" si="82"/>
        <v>0</v>
      </c>
      <c r="CR94" s="3">
        <f>(ROUND((ROUND((((ET94*1.2))*AV94*1),2)*BB94),2)+ROUND((ROUND(((AE94-((EU94*1.2)))*AV94*1),2)*BS94),2))</f>
        <v>10.72</v>
      </c>
      <c r="CS94" s="3">
        <f>(ROUND((ROUND((((EU94*1.2))*AV94*1),2)*BS94),2)+ROUND((ROUND(((AE94-((EU94*1.2)))*AV94*1),2)*BS94),2))</f>
        <v>5.64</v>
      </c>
      <c r="CT94" s="3">
        <f t="shared" si="83"/>
        <v>824.96</v>
      </c>
      <c r="CU94" s="3">
        <f t="shared" si="84"/>
        <v>0</v>
      </c>
      <c r="CV94" s="3">
        <f t="shared" si="85"/>
        <v>1.2940919999999998</v>
      </c>
      <c r="CW94" s="3">
        <f t="shared" si="86"/>
        <v>0</v>
      </c>
      <c r="CX94" s="3">
        <f t="shared" si="87"/>
        <v>0</v>
      </c>
      <c r="CY94" s="3">
        <f>(ROUND((((S94+ROUND((ROUND((((EU94*1.2))*AV94*1),2)*BS94),2))*AT94)/100),2)+ROUND(((ROUND((ROUND(((AE94-((EU94*1.2)))*AV94*1),2)*BS94),2)*AT94)/100),2))</f>
        <v>747.54</v>
      </c>
      <c r="CZ94" s="3">
        <f>(ROUND((((S94+ROUND((ROUND((((EU94*1.2))*AV94*1),2)*BS94),2))*AU94)/100),2)+ROUND(((ROUND((ROUND(((AE94-((EU94*1.2)))*AV94*1),2)*BS94),2)*AU94)/100),2))</f>
        <v>382.08</v>
      </c>
      <c r="DB94" s="3">
        <v>48</v>
      </c>
      <c r="DC94" s="3" t="s">
        <v>3</v>
      </c>
      <c r="DD94" s="3" t="s">
        <v>70</v>
      </c>
      <c r="DE94" s="3" t="s">
        <v>71</v>
      </c>
      <c r="DF94" s="3" t="s">
        <v>71</v>
      </c>
      <c r="DG94" s="3" t="s">
        <v>71</v>
      </c>
      <c r="DH94" s="3" t="s">
        <v>3</v>
      </c>
      <c r="DI94" s="3" t="s">
        <v>71</v>
      </c>
      <c r="DJ94" s="3" t="s">
        <v>71</v>
      </c>
      <c r="DK94" s="3" t="s">
        <v>3</v>
      </c>
      <c r="DL94" s="3" t="s">
        <v>3</v>
      </c>
      <c r="DM94" s="3" t="s">
        <v>3</v>
      </c>
      <c r="DN94" s="3">
        <v>0</v>
      </c>
      <c r="DO94" s="3">
        <v>0</v>
      </c>
      <c r="DP94" s="3">
        <v>1</v>
      </c>
      <c r="DQ94" s="3">
        <v>1</v>
      </c>
      <c r="DU94" s="3">
        <v>1013</v>
      </c>
      <c r="DV94" s="3" t="s">
        <v>27</v>
      </c>
      <c r="DW94" s="3" t="s">
        <v>27</v>
      </c>
      <c r="DX94" s="3">
        <v>1</v>
      </c>
      <c r="DZ94" s="3" t="s">
        <v>3</v>
      </c>
      <c r="EA94" s="3" t="s">
        <v>3</v>
      </c>
      <c r="EB94" s="3" t="s">
        <v>3</v>
      </c>
      <c r="EC94" s="3" t="s">
        <v>3</v>
      </c>
      <c r="EE94" s="3">
        <v>57042962</v>
      </c>
      <c r="EF94" s="3">
        <v>40</v>
      </c>
      <c r="EG94" s="3" t="s">
        <v>31</v>
      </c>
      <c r="EH94" s="3">
        <v>0</v>
      </c>
      <c r="EI94" s="3" t="s">
        <v>3</v>
      </c>
      <c r="EJ94" s="3">
        <v>2</v>
      </c>
      <c r="EK94" s="3">
        <v>72</v>
      </c>
      <c r="EL94" s="3" t="s">
        <v>166</v>
      </c>
      <c r="EM94" s="3" t="s">
        <v>167</v>
      </c>
      <c r="EO94" s="3" t="s">
        <v>75</v>
      </c>
      <c r="EQ94" s="3">
        <v>1024</v>
      </c>
      <c r="ER94" s="3">
        <v>12.15</v>
      </c>
      <c r="ES94" s="3">
        <v>0</v>
      </c>
      <c r="ET94" s="3">
        <v>0.5</v>
      </c>
      <c r="EU94" s="3">
        <v>0.08</v>
      </c>
      <c r="EV94" s="3">
        <v>11.65</v>
      </c>
      <c r="EW94" s="3">
        <v>1.03</v>
      </c>
      <c r="EX94" s="3">
        <v>0</v>
      </c>
      <c r="EY94" s="3">
        <v>0</v>
      </c>
      <c r="FQ94" s="3">
        <v>0</v>
      </c>
      <c r="FR94" s="3">
        <v>0</v>
      </c>
      <c r="FS94" s="3">
        <v>0</v>
      </c>
      <c r="FX94" s="3">
        <v>90</v>
      </c>
      <c r="FY94" s="3">
        <v>46</v>
      </c>
      <c r="GA94" s="3" t="s">
        <v>3</v>
      </c>
      <c r="GD94" s="3">
        <v>1</v>
      </c>
      <c r="GF94" s="3">
        <v>-920792427</v>
      </c>
      <c r="GG94" s="3">
        <v>2</v>
      </c>
      <c r="GH94" s="3">
        <v>1</v>
      </c>
      <c r="GI94" s="3">
        <v>2</v>
      </c>
      <c r="GJ94" s="3">
        <v>0</v>
      </c>
      <c r="GK94" s="3">
        <v>0</v>
      </c>
      <c r="GL94" s="3">
        <f t="shared" si="88"/>
        <v>0</v>
      </c>
      <c r="GM94" s="3">
        <f t="shared" si="89"/>
        <v>1965.3</v>
      </c>
      <c r="GN94" s="3">
        <f t="shared" si="90"/>
        <v>0</v>
      </c>
      <c r="GO94" s="3">
        <f t="shared" si="91"/>
        <v>1965.3</v>
      </c>
      <c r="GP94" s="3">
        <f t="shared" si="92"/>
        <v>0</v>
      </c>
      <c r="GR94" s="3">
        <v>0</v>
      </c>
      <c r="GS94" s="3">
        <v>3</v>
      </c>
      <c r="GT94" s="3">
        <v>0</v>
      </c>
      <c r="GU94" s="3" t="s">
        <v>3</v>
      </c>
      <c r="GV94" s="3">
        <f t="shared" si="93"/>
        <v>0</v>
      </c>
      <c r="GW94" s="3">
        <v>1</v>
      </c>
      <c r="GX94" s="3">
        <f t="shared" si="94"/>
        <v>0</v>
      </c>
      <c r="HA94" s="3">
        <v>0</v>
      </c>
      <c r="HB94" s="3">
        <v>0</v>
      </c>
      <c r="HC94" s="3">
        <f t="shared" si="95"/>
        <v>0</v>
      </c>
      <c r="HE94" s="3" t="s">
        <v>3</v>
      </c>
      <c r="HF94" s="3" t="s">
        <v>3</v>
      </c>
      <c r="HM94" s="3" t="s">
        <v>3</v>
      </c>
      <c r="HN94" s="3" t="s">
        <v>3</v>
      </c>
      <c r="HO94" s="3" t="s">
        <v>3</v>
      </c>
      <c r="HP94" s="3" t="s">
        <v>3</v>
      </c>
      <c r="HQ94" s="3" t="s">
        <v>3</v>
      </c>
      <c r="HS94" s="3">
        <v>0</v>
      </c>
      <c r="IK94" s="3">
        <v>0</v>
      </c>
    </row>
    <row r="95" spans="1:255" x14ac:dyDescent="0.25">
      <c r="A95" s="2">
        <v>17</v>
      </c>
      <c r="B95" s="2">
        <v>1</v>
      </c>
      <c r="C95" s="2">
        <f>ROW(SmtRes!A104)</f>
        <v>104</v>
      </c>
      <c r="D95" s="2">
        <f>ROW(EtalonRes!A133)</f>
        <v>133</v>
      </c>
      <c r="E95" s="2" t="s">
        <v>3</v>
      </c>
      <c r="F95" s="2" t="s">
        <v>168</v>
      </c>
      <c r="G95" s="2" t="s">
        <v>169</v>
      </c>
      <c r="H95" s="2" t="s">
        <v>27</v>
      </c>
      <c r="I95" s="2">
        <v>1</v>
      </c>
      <c r="J95" s="2">
        <v>0</v>
      </c>
      <c r="K95" s="2">
        <v>1</v>
      </c>
      <c r="L95" s="2"/>
      <c r="M95" s="2"/>
      <c r="N95" s="2"/>
      <c r="O95" s="2">
        <f t="shared" si="71"/>
        <v>44.39</v>
      </c>
      <c r="P95" s="2">
        <f t="shared" si="72"/>
        <v>2.34</v>
      </c>
      <c r="Q95" s="2">
        <f>(ROUND((ROUND((((ET95*1.2))*AV95*I95),2)*BB95),2)+ROUND((ROUND(((AE95-((EU95*1.2)))*AV95*I95),2)*BS95),2))</f>
        <v>0</v>
      </c>
      <c r="R95" s="2">
        <f>(ROUND((ROUND((((EU95*1.2))*AV95*I95),2)*BS95),2)+ROUND((ROUND(((AE95-((EU95*1.2)))*AV95*I95),2)*BS95),2))</f>
        <v>0</v>
      </c>
      <c r="S95" s="2">
        <f t="shared" si="73"/>
        <v>42.05</v>
      </c>
      <c r="T95" s="2">
        <f t="shared" si="74"/>
        <v>0</v>
      </c>
      <c r="U95" s="2">
        <f t="shared" si="75"/>
        <v>3.3294599999999996</v>
      </c>
      <c r="V95" s="2">
        <f t="shared" si="76"/>
        <v>0</v>
      </c>
      <c r="W95" s="2">
        <f t="shared" si="77"/>
        <v>0</v>
      </c>
      <c r="X95" s="2">
        <f>(ROUND((((S95+ROUND((ROUND((((EU95*1.2))*AV95*I95),2)*BS95),2))*AT95)/100),2)+ROUND(((ROUND((ROUND(((AE95-((EU95*1.2)))*AV95*I95),2)*BS95),2)*AT95)/100),2))</f>
        <v>37.85</v>
      </c>
      <c r="Y95" s="2">
        <f>(ROUND((((S95+ROUND((ROUND((((EU95*1.2))*AV95*I95),2)*BS95),2))*AU95)/100),2)+ROUND(((ROUND((ROUND(((AE95-((EU95*1.2)))*AV95*I95),2)*BS95),2)*AU95)/100),2))</f>
        <v>19.34</v>
      </c>
      <c r="Z95" s="2"/>
      <c r="AA95" s="2">
        <v>-1</v>
      </c>
      <c r="AB95" s="2">
        <f t="shared" si="78"/>
        <v>42.503999999999998</v>
      </c>
      <c r="AC95" s="2">
        <f>ROUND(((ES95*1)),6)</f>
        <v>2.34</v>
      </c>
      <c r="AD95" s="2">
        <f>ROUND(((((ET95*1.2))-((EU95*1.2)))+AE95),6)</f>
        <v>0</v>
      </c>
      <c r="AE95" s="2">
        <f t="shared" si="98"/>
        <v>0</v>
      </c>
      <c r="AF95" s="2">
        <f t="shared" si="98"/>
        <v>40.164000000000001</v>
      </c>
      <c r="AG95" s="2">
        <f t="shared" si="79"/>
        <v>0</v>
      </c>
      <c r="AH95" s="2">
        <f t="shared" si="99"/>
        <v>3.1799999999999997</v>
      </c>
      <c r="AI95" s="2">
        <f t="shared" si="99"/>
        <v>0</v>
      </c>
      <c r="AJ95" s="2">
        <f t="shared" si="80"/>
        <v>0</v>
      </c>
      <c r="AK95" s="2">
        <v>35.81</v>
      </c>
      <c r="AL95" s="2">
        <v>2.34</v>
      </c>
      <c r="AM95" s="2">
        <v>0</v>
      </c>
      <c r="AN95" s="2">
        <v>0</v>
      </c>
      <c r="AO95" s="2">
        <v>33.47</v>
      </c>
      <c r="AP95" s="2">
        <v>0</v>
      </c>
      <c r="AQ95" s="2">
        <v>2.65</v>
      </c>
      <c r="AR95" s="2">
        <v>0</v>
      </c>
      <c r="AS95" s="2">
        <v>0</v>
      </c>
      <c r="AT95" s="2">
        <v>90</v>
      </c>
      <c r="AU95" s="2">
        <v>46</v>
      </c>
      <c r="AV95" s="2">
        <v>1.0469999999999999</v>
      </c>
      <c r="AW95" s="2">
        <v>1</v>
      </c>
      <c r="AX95" s="2"/>
      <c r="AY95" s="2"/>
      <c r="AZ95" s="2">
        <v>1</v>
      </c>
      <c r="BA95" s="2">
        <v>1</v>
      </c>
      <c r="BB95" s="2">
        <v>1</v>
      </c>
      <c r="BC95" s="2">
        <v>1</v>
      </c>
      <c r="BD95" s="2" t="s">
        <v>3</v>
      </c>
      <c r="BE95" s="2" t="s">
        <v>3</v>
      </c>
      <c r="BF95" s="2" t="s">
        <v>3</v>
      </c>
      <c r="BG95" s="2" t="s">
        <v>3</v>
      </c>
      <c r="BH95" s="2">
        <v>0</v>
      </c>
      <c r="BI95" s="2">
        <v>2</v>
      </c>
      <c r="BJ95" s="2" t="s">
        <v>170</v>
      </c>
      <c r="BK95" s="2"/>
      <c r="BL95" s="2"/>
      <c r="BM95" s="2">
        <v>68</v>
      </c>
      <c r="BN95" s="2">
        <v>0</v>
      </c>
      <c r="BO95" s="2" t="s">
        <v>168</v>
      </c>
      <c r="BP95" s="2">
        <v>1</v>
      </c>
      <c r="BQ95" s="2">
        <v>40</v>
      </c>
      <c r="BR95" s="2">
        <v>0</v>
      </c>
      <c r="BS95" s="2">
        <v>1</v>
      </c>
      <c r="BT95" s="2">
        <v>1</v>
      </c>
      <c r="BU95" s="2">
        <v>1</v>
      </c>
      <c r="BV95" s="2">
        <v>1</v>
      </c>
      <c r="BW95" s="2">
        <v>1</v>
      </c>
      <c r="BX95" s="2">
        <v>1</v>
      </c>
      <c r="BY95" s="2" t="s">
        <v>3</v>
      </c>
      <c r="BZ95" s="2">
        <v>90</v>
      </c>
      <c r="CA95" s="2">
        <v>46</v>
      </c>
      <c r="CB95" s="2" t="s">
        <v>3</v>
      </c>
      <c r="CC95" s="2"/>
      <c r="CD95" s="2"/>
      <c r="CE95" s="2">
        <v>1566</v>
      </c>
      <c r="CF95" s="2">
        <v>0</v>
      </c>
      <c r="CG95" s="2">
        <v>0</v>
      </c>
      <c r="CH95" s="2"/>
      <c r="CI95" s="2"/>
      <c r="CJ95" s="2"/>
      <c r="CK95" s="2"/>
      <c r="CL95" s="2"/>
      <c r="CM95" s="2">
        <v>0</v>
      </c>
      <c r="CN95" s="2" t="s">
        <v>624</v>
      </c>
      <c r="CO95" s="2">
        <v>0</v>
      </c>
      <c r="CP95" s="2">
        <f t="shared" si="81"/>
        <v>44.39</v>
      </c>
      <c r="CQ95" s="2">
        <f t="shared" si="82"/>
        <v>2.34</v>
      </c>
      <c r="CR95" s="2">
        <f>(ROUND((ROUND((((ET95*1.2))*AV95*1),2)*BB95),2)+ROUND((ROUND(((AE95-((EU95*1.2)))*AV95*1),2)*BS95),2))</f>
        <v>0</v>
      </c>
      <c r="CS95" s="2">
        <f>(ROUND((ROUND((((EU95*1.2))*AV95*1),2)*BS95),2)+ROUND((ROUND(((AE95-((EU95*1.2)))*AV95*1),2)*BS95),2))</f>
        <v>0</v>
      </c>
      <c r="CT95" s="2">
        <f t="shared" si="83"/>
        <v>42.05</v>
      </c>
      <c r="CU95" s="2">
        <f t="shared" si="84"/>
        <v>0</v>
      </c>
      <c r="CV95" s="2">
        <f t="shared" si="85"/>
        <v>3.3294599999999996</v>
      </c>
      <c r="CW95" s="2">
        <f t="shared" si="86"/>
        <v>0</v>
      </c>
      <c r="CX95" s="2">
        <f t="shared" si="87"/>
        <v>0</v>
      </c>
      <c r="CY95" s="2">
        <f>(ROUND((((S95+ROUND((ROUND((((EU95*1.2))*AV95*1),2)*BS95),2))*AT95)/100),2)+ROUND(((ROUND((ROUND(((AE95-((EU95*1.2)))*AV95*1),2)*BS95),2)*AT95)/100),2))</f>
        <v>37.85</v>
      </c>
      <c r="CZ95" s="2">
        <f>(ROUND((((S95+ROUND((ROUND((((EU95*1.2))*AV95*1),2)*BS95),2))*AU95)/100),2)+ROUND(((ROUND((ROUND(((AE95-((EU95*1.2)))*AV95*1),2)*BS95),2)*AU95)/100),2))</f>
        <v>19.34</v>
      </c>
      <c r="DA95" s="2"/>
      <c r="DB95" s="2">
        <v>49</v>
      </c>
      <c r="DC95" s="2" t="s">
        <v>3</v>
      </c>
      <c r="DD95" s="2" t="s">
        <v>70</v>
      </c>
      <c r="DE95" s="2" t="s">
        <v>71</v>
      </c>
      <c r="DF95" s="2" t="s">
        <v>71</v>
      </c>
      <c r="DG95" s="2" t="s">
        <v>71</v>
      </c>
      <c r="DH95" s="2" t="s">
        <v>3</v>
      </c>
      <c r="DI95" s="2" t="s">
        <v>71</v>
      </c>
      <c r="DJ95" s="2" t="s">
        <v>71</v>
      </c>
      <c r="DK95" s="2" t="s">
        <v>3</v>
      </c>
      <c r="DL95" s="2" t="s">
        <v>3</v>
      </c>
      <c r="DM95" s="2" t="s">
        <v>3</v>
      </c>
      <c r="DN95" s="2">
        <v>0</v>
      </c>
      <c r="DO95" s="2">
        <v>0</v>
      </c>
      <c r="DP95" s="2">
        <v>1</v>
      </c>
      <c r="DQ95" s="2">
        <v>1</v>
      </c>
      <c r="DR95" s="2"/>
      <c r="DS95" s="2"/>
      <c r="DT95" s="2"/>
      <c r="DU95" s="2">
        <v>1013</v>
      </c>
      <c r="DV95" s="2" t="s">
        <v>27</v>
      </c>
      <c r="DW95" s="2" t="s">
        <v>27</v>
      </c>
      <c r="DX95" s="2">
        <v>1</v>
      </c>
      <c r="DY95" s="2"/>
      <c r="DZ95" s="2" t="s">
        <v>3</v>
      </c>
      <c r="EA95" s="2" t="s">
        <v>3</v>
      </c>
      <c r="EB95" s="2" t="s">
        <v>3</v>
      </c>
      <c r="EC95" s="2" t="s">
        <v>3</v>
      </c>
      <c r="ED95" s="2"/>
      <c r="EE95" s="2">
        <v>57042958</v>
      </c>
      <c r="EF95" s="2">
        <v>40</v>
      </c>
      <c r="EG95" s="2" t="s">
        <v>31</v>
      </c>
      <c r="EH95" s="2">
        <v>0</v>
      </c>
      <c r="EI95" s="2" t="s">
        <v>3</v>
      </c>
      <c r="EJ95" s="2">
        <v>2</v>
      </c>
      <c r="EK95" s="2">
        <v>68</v>
      </c>
      <c r="EL95" s="2" t="s">
        <v>32</v>
      </c>
      <c r="EM95" s="2" t="s">
        <v>33</v>
      </c>
      <c r="EN95" s="2"/>
      <c r="EO95" s="2" t="s">
        <v>75</v>
      </c>
      <c r="EP95" s="2"/>
      <c r="EQ95" s="2">
        <v>1024</v>
      </c>
      <c r="ER95" s="2">
        <v>35.81</v>
      </c>
      <c r="ES95" s="2">
        <v>2.34</v>
      </c>
      <c r="ET95" s="2">
        <v>0</v>
      </c>
      <c r="EU95" s="2">
        <v>0</v>
      </c>
      <c r="EV95" s="2">
        <v>33.47</v>
      </c>
      <c r="EW95" s="2">
        <v>2.65</v>
      </c>
      <c r="EX95" s="2">
        <v>0</v>
      </c>
      <c r="EY95" s="2">
        <v>0</v>
      </c>
      <c r="EZ95" s="2"/>
      <c r="FA95" s="2"/>
      <c r="FB95" s="2"/>
      <c r="FC95" s="2"/>
      <c r="FD95" s="2"/>
      <c r="FE95" s="2"/>
      <c r="FF95" s="2"/>
      <c r="FG95" s="2"/>
      <c r="FH95" s="2"/>
      <c r="FI95" s="2"/>
      <c r="FJ95" s="2"/>
      <c r="FK95" s="2"/>
      <c r="FL95" s="2"/>
      <c r="FM95" s="2"/>
      <c r="FN95" s="2"/>
      <c r="FO95" s="2"/>
      <c r="FP95" s="2"/>
      <c r="FQ95" s="2">
        <v>0</v>
      </c>
      <c r="FR95" s="2">
        <v>0</v>
      </c>
      <c r="FS95" s="2">
        <v>0</v>
      </c>
      <c r="FT95" s="2"/>
      <c r="FU95" s="2"/>
      <c r="FV95" s="2"/>
      <c r="FW95" s="2"/>
      <c r="FX95" s="2">
        <v>90</v>
      </c>
      <c r="FY95" s="2">
        <v>46</v>
      </c>
      <c r="FZ95" s="2"/>
      <c r="GA95" s="2" t="s">
        <v>3</v>
      </c>
      <c r="GB95" s="2"/>
      <c r="GC95" s="2"/>
      <c r="GD95" s="2">
        <v>1</v>
      </c>
      <c r="GE95" s="2"/>
      <c r="GF95" s="2">
        <v>1558984384</v>
      </c>
      <c r="GG95" s="2">
        <v>2</v>
      </c>
      <c r="GH95" s="2">
        <v>1</v>
      </c>
      <c r="GI95" s="2">
        <v>2</v>
      </c>
      <c r="GJ95" s="2">
        <v>0</v>
      </c>
      <c r="GK95" s="2">
        <v>0</v>
      </c>
      <c r="GL95" s="2">
        <f t="shared" si="88"/>
        <v>0</v>
      </c>
      <c r="GM95" s="2">
        <f t="shared" si="89"/>
        <v>101.58</v>
      </c>
      <c r="GN95" s="2">
        <f t="shared" si="90"/>
        <v>0</v>
      </c>
      <c r="GO95" s="2">
        <f t="shared" si="91"/>
        <v>101.58</v>
      </c>
      <c r="GP95" s="2">
        <f t="shared" si="92"/>
        <v>0</v>
      </c>
      <c r="GQ95" s="2"/>
      <c r="GR95" s="2">
        <v>0</v>
      </c>
      <c r="GS95" s="2">
        <v>3</v>
      </c>
      <c r="GT95" s="2">
        <v>0</v>
      </c>
      <c r="GU95" s="2" t="s">
        <v>3</v>
      </c>
      <c r="GV95" s="2">
        <f t="shared" si="93"/>
        <v>0</v>
      </c>
      <c r="GW95" s="2">
        <v>1</v>
      </c>
      <c r="GX95" s="2">
        <f t="shared" si="94"/>
        <v>0</v>
      </c>
      <c r="GY95" s="2"/>
      <c r="GZ95" s="2"/>
      <c r="HA95" s="2">
        <v>0</v>
      </c>
      <c r="HB95" s="2">
        <v>0</v>
      </c>
      <c r="HC95" s="2">
        <f t="shared" si="95"/>
        <v>0</v>
      </c>
      <c r="HD95" s="2"/>
      <c r="HE95" s="2" t="s">
        <v>3</v>
      </c>
      <c r="HF95" s="2" t="s">
        <v>3</v>
      </c>
      <c r="HG95" s="2"/>
      <c r="HH95" s="2"/>
      <c r="HI95" s="2"/>
      <c r="HJ95" s="2"/>
      <c r="HK95" s="2"/>
      <c r="HL95" s="2"/>
      <c r="HM95" s="2" t="s">
        <v>3</v>
      </c>
      <c r="HN95" s="2" t="s">
        <v>3</v>
      </c>
      <c r="HO95" s="2" t="s">
        <v>3</v>
      </c>
      <c r="HP95" s="2" t="s">
        <v>3</v>
      </c>
      <c r="HQ95" s="2" t="s">
        <v>3</v>
      </c>
      <c r="HR95" s="2"/>
      <c r="HS95" s="2">
        <v>0</v>
      </c>
      <c r="HT95" s="2"/>
      <c r="HU95" s="2"/>
      <c r="HV95" s="2"/>
      <c r="HW95" s="2"/>
      <c r="HX95" s="2"/>
      <c r="HY95" s="2"/>
      <c r="HZ95" s="2"/>
      <c r="IA95" s="2"/>
      <c r="IB95" s="2"/>
      <c r="IC95" s="2"/>
      <c r="ID95" s="2"/>
      <c r="IE95" s="2"/>
      <c r="IF95" s="2"/>
      <c r="IG95" s="2"/>
      <c r="IH95" s="2"/>
      <c r="II95" s="2"/>
      <c r="IJ95" s="2"/>
      <c r="IK95" s="2">
        <v>0</v>
      </c>
      <c r="IL95" s="2"/>
      <c r="IM95" s="2"/>
      <c r="IN95" s="2"/>
      <c r="IO95" s="2"/>
      <c r="IP95" s="2"/>
      <c r="IQ95" s="2"/>
      <c r="IR95" s="2"/>
      <c r="IS95" s="2"/>
      <c r="IT95" s="2"/>
      <c r="IU95" s="2"/>
    </row>
    <row r="96" spans="1:255" x14ac:dyDescent="0.25">
      <c r="A96" s="3">
        <v>17</v>
      </c>
      <c r="B96" s="3">
        <v>1</v>
      </c>
      <c r="C96" s="3">
        <f>ROW(SmtRes!A108)</f>
        <v>108</v>
      </c>
      <c r="D96" s="3">
        <f>ROW(EtalonRes!A138)</f>
        <v>138</v>
      </c>
      <c r="E96" s="3" t="s">
        <v>3</v>
      </c>
      <c r="F96" s="3" t="s">
        <v>168</v>
      </c>
      <c r="G96" s="3" t="s">
        <v>169</v>
      </c>
      <c r="H96" s="3" t="s">
        <v>27</v>
      </c>
      <c r="I96" s="3">
        <v>1</v>
      </c>
      <c r="J96" s="3">
        <v>0</v>
      </c>
      <c r="K96" s="3">
        <v>1</v>
      </c>
      <c r="O96" s="3">
        <f t="shared" si="71"/>
        <v>2393.48</v>
      </c>
      <c r="P96" s="3">
        <f t="shared" si="72"/>
        <v>23.96</v>
      </c>
      <c r="Q96" s="3">
        <f>(ROUND((ROUND((((ET96*1.2))*AV96*I96),2)*BB96),2)+ROUND((ROUND(((AE96-((EU96*1.2)))*AV96*I96),2)*BS96),2))</f>
        <v>0</v>
      </c>
      <c r="R96" s="3">
        <f>(ROUND((ROUND((((EU96*1.2))*AV96*I96),2)*BS96),2)+ROUND((ROUND(((AE96-((EU96*1.2)))*AV96*I96),2)*BS96),2))</f>
        <v>0</v>
      </c>
      <c r="S96" s="3">
        <f t="shared" si="73"/>
        <v>2369.52</v>
      </c>
      <c r="T96" s="3">
        <f t="shared" si="74"/>
        <v>0</v>
      </c>
      <c r="U96" s="3">
        <f t="shared" si="75"/>
        <v>3.3294599999999996</v>
      </c>
      <c r="V96" s="3">
        <f t="shared" si="76"/>
        <v>0</v>
      </c>
      <c r="W96" s="3">
        <f t="shared" si="77"/>
        <v>0</v>
      </c>
      <c r="X96" s="3">
        <f>(ROUND((((S96+ROUND((ROUND((((EU96*1.2))*AV96*I96),2)*BS96),2))*AT96)/100),2)+ROUND(((ROUND((ROUND(((AE96-((EU96*1.2)))*AV96*I96),2)*BS96),2)*AT96)/100),2))</f>
        <v>2132.5700000000002</v>
      </c>
      <c r="Y96" s="3">
        <f>(ROUND((((S96+ROUND((ROUND((((EU96*1.2))*AV96*I96),2)*BS96),2))*AU96)/100),2)+ROUND(((ROUND((ROUND(((AE96-((EU96*1.2)))*AV96*I96),2)*BS96),2)*AU96)/100),2))</f>
        <v>1089.98</v>
      </c>
      <c r="AA96" s="3">
        <v>-1</v>
      </c>
      <c r="AB96" s="3">
        <f t="shared" si="78"/>
        <v>42.503999999999998</v>
      </c>
      <c r="AC96" s="3">
        <f>ROUND(((ES96*1)),6)</f>
        <v>2.34</v>
      </c>
      <c r="AD96" s="3">
        <f>ROUND(((((ET96*1.2))-((EU96*1.2)))+AE96),6)</f>
        <v>0</v>
      </c>
      <c r="AE96" s="3">
        <f t="shared" si="98"/>
        <v>0</v>
      </c>
      <c r="AF96" s="3">
        <f t="shared" si="98"/>
        <v>40.164000000000001</v>
      </c>
      <c r="AG96" s="3">
        <f t="shared" si="79"/>
        <v>0</v>
      </c>
      <c r="AH96" s="3">
        <f t="shared" si="99"/>
        <v>3.1799999999999997</v>
      </c>
      <c r="AI96" s="3">
        <f t="shared" si="99"/>
        <v>0</v>
      </c>
      <c r="AJ96" s="3">
        <f t="shared" si="80"/>
        <v>0</v>
      </c>
      <c r="AK96" s="3">
        <v>35.81</v>
      </c>
      <c r="AL96" s="3">
        <v>2.34</v>
      </c>
      <c r="AM96" s="3">
        <v>0</v>
      </c>
      <c r="AN96" s="3">
        <v>0</v>
      </c>
      <c r="AO96" s="3">
        <v>33.47</v>
      </c>
      <c r="AP96" s="3">
        <v>0</v>
      </c>
      <c r="AQ96" s="3">
        <v>2.65</v>
      </c>
      <c r="AR96" s="3">
        <v>0</v>
      </c>
      <c r="AS96" s="3">
        <v>0</v>
      </c>
      <c r="AT96" s="3">
        <v>90</v>
      </c>
      <c r="AU96" s="3">
        <v>46</v>
      </c>
      <c r="AV96" s="3">
        <v>1.0469999999999999</v>
      </c>
      <c r="AW96" s="3">
        <v>1</v>
      </c>
      <c r="AZ96" s="3">
        <v>1</v>
      </c>
      <c r="BA96" s="3">
        <v>56.35</v>
      </c>
      <c r="BB96" s="3">
        <v>1</v>
      </c>
      <c r="BC96" s="3">
        <v>10.24</v>
      </c>
      <c r="BD96" s="3" t="s">
        <v>3</v>
      </c>
      <c r="BE96" s="3" t="s">
        <v>3</v>
      </c>
      <c r="BF96" s="3" t="s">
        <v>3</v>
      </c>
      <c r="BG96" s="3" t="s">
        <v>3</v>
      </c>
      <c r="BH96" s="3">
        <v>0</v>
      </c>
      <c r="BI96" s="3">
        <v>2</v>
      </c>
      <c r="BJ96" s="3" t="s">
        <v>170</v>
      </c>
      <c r="BM96" s="3">
        <v>68</v>
      </c>
      <c r="BN96" s="3">
        <v>0</v>
      </c>
      <c r="BO96" s="3" t="s">
        <v>168</v>
      </c>
      <c r="BP96" s="3">
        <v>1</v>
      </c>
      <c r="BQ96" s="3">
        <v>40</v>
      </c>
      <c r="BR96" s="3">
        <v>0</v>
      </c>
      <c r="BS96" s="3">
        <v>56.35</v>
      </c>
      <c r="BT96" s="3">
        <v>1</v>
      </c>
      <c r="BU96" s="3">
        <v>1</v>
      </c>
      <c r="BV96" s="3">
        <v>1</v>
      </c>
      <c r="BW96" s="3">
        <v>1</v>
      </c>
      <c r="BX96" s="3">
        <v>1</v>
      </c>
      <c r="BY96" s="3" t="s">
        <v>3</v>
      </c>
      <c r="BZ96" s="3">
        <v>90</v>
      </c>
      <c r="CA96" s="3">
        <v>46</v>
      </c>
      <c r="CB96" s="3" t="s">
        <v>3</v>
      </c>
      <c r="CE96" s="3">
        <v>1566</v>
      </c>
      <c r="CF96" s="3">
        <v>0</v>
      </c>
      <c r="CG96" s="3">
        <v>0</v>
      </c>
      <c r="CM96" s="3">
        <v>0</v>
      </c>
      <c r="CN96" s="3" t="s">
        <v>624</v>
      </c>
      <c r="CO96" s="3">
        <v>0</v>
      </c>
      <c r="CP96" s="3">
        <f t="shared" si="81"/>
        <v>2393.48</v>
      </c>
      <c r="CQ96" s="3">
        <f t="shared" si="82"/>
        <v>23.96</v>
      </c>
      <c r="CR96" s="3">
        <f>(ROUND((ROUND((((ET96*1.2))*AV96*1),2)*BB96),2)+ROUND((ROUND(((AE96-((EU96*1.2)))*AV96*1),2)*BS96),2))</f>
        <v>0</v>
      </c>
      <c r="CS96" s="3">
        <f>(ROUND((ROUND((((EU96*1.2))*AV96*1),2)*BS96),2)+ROUND((ROUND(((AE96-((EU96*1.2)))*AV96*1),2)*BS96),2))</f>
        <v>0</v>
      </c>
      <c r="CT96" s="3">
        <f t="shared" si="83"/>
        <v>2369.52</v>
      </c>
      <c r="CU96" s="3">
        <f t="shared" si="84"/>
        <v>0</v>
      </c>
      <c r="CV96" s="3">
        <f t="shared" si="85"/>
        <v>3.3294599999999996</v>
      </c>
      <c r="CW96" s="3">
        <f t="shared" si="86"/>
        <v>0</v>
      </c>
      <c r="CX96" s="3">
        <f t="shared" si="87"/>
        <v>0</v>
      </c>
      <c r="CY96" s="3">
        <f>(ROUND((((S96+ROUND((ROUND((((EU96*1.2))*AV96*1),2)*BS96),2))*AT96)/100),2)+ROUND(((ROUND((ROUND(((AE96-((EU96*1.2)))*AV96*1),2)*BS96),2)*AT96)/100),2))</f>
        <v>2132.5700000000002</v>
      </c>
      <c r="CZ96" s="3">
        <f>(ROUND((((S96+ROUND((ROUND((((EU96*1.2))*AV96*1),2)*BS96),2))*AU96)/100),2)+ROUND(((ROUND((ROUND(((AE96-((EU96*1.2)))*AV96*1),2)*BS96),2)*AU96)/100),2))</f>
        <v>1089.98</v>
      </c>
      <c r="DB96" s="3">
        <v>50</v>
      </c>
      <c r="DC96" s="3" t="s">
        <v>3</v>
      </c>
      <c r="DD96" s="3" t="s">
        <v>70</v>
      </c>
      <c r="DE96" s="3" t="s">
        <v>71</v>
      </c>
      <c r="DF96" s="3" t="s">
        <v>71</v>
      </c>
      <c r="DG96" s="3" t="s">
        <v>71</v>
      </c>
      <c r="DH96" s="3" t="s">
        <v>3</v>
      </c>
      <c r="DI96" s="3" t="s">
        <v>71</v>
      </c>
      <c r="DJ96" s="3" t="s">
        <v>71</v>
      </c>
      <c r="DK96" s="3" t="s">
        <v>3</v>
      </c>
      <c r="DL96" s="3" t="s">
        <v>3</v>
      </c>
      <c r="DM96" s="3" t="s">
        <v>3</v>
      </c>
      <c r="DN96" s="3">
        <v>0</v>
      </c>
      <c r="DO96" s="3">
        <v>0</v>
      </c>
      <c r="DP96" s="3">
        <v>1</v>
      </c>
      <c r="DQ96" s="3">
        <v>1</v>
      </c>
      <c r="DU96" s="3">
        <v>1013</v>
      </c>
      <c r="DV96" s="3" t="s">
        <v>27</v>
      </c>
      <c r="DW96" s="3" t="s">
        <v>27</v>
      </c>
      <c r="DX96" s="3">
        <v>1</v>
      </c>
      <c r="DZ96" s="3" t="s">
        <v>3</v>
      </c>
      <c r="EA96" s="3" t="s">
        <v>3</v>
      </c>
      <c r="EB96" s="3" t="s">
        <v>3</v>
      </c>
      <c r="EC96" s="3" t="s">
        <v>3</v>
      </c>
      <c r="EE96" s="3">
        <v>57042958</v>
      </c>
      <c r="EF96" s="3">
        <v>40</v>
      </c>
      <c r="EG96" s="3" t="s">
        <v>31</v>
      </c>
      <c r="EH96" s="3">
        <v>0</v>
      </c>
      <c r="EI96" s="3" t="s">
        <v>3</v>
      </c>
      <c r="EJ96" s="3">
        <v>2</v>
      </c>
      <c r="EK96" s="3">
        <v>68</v>
      </c>
      <c r="EL96" s="3" t="s">
        <v>32</v>
      </c>
      <c r="EM96" s="3" t="s">
        <v>33</v>
      </c>
      <c r="EO96" s="3" t="s">
        <v>75</v>
      </c>
      <c r="EQ96" s="3">
        <v>1024</v>
      </c>
      <c r="ER96" s="3">
        <v>35.81</v>
      </c>
      <c r="ES96" s="3">
        <v>2.34</v>
      </c>
      <c r="ET96" s="3">
        <v>0</v>
      </c>
      <c r="EU96" s="3">
        <v>0</v>
      </c>
      <c r="EV96" s="3">
        <v>33.47</v>
      </c>
      <c r="EW96" s="3">
        <v>2.65</v>
      </c>
      <c r="EX96" s="3">
        <v>0</v>
      </c>
      <c r="EY96" s="3">
        <v>0</v>
      </c>
      <c r="FQ96" s="3">
        <v>0</v>
      </c>
      <c r="FR96" s="3">
        <v>0</v>
      </c>
      <c r="FS96" s="3">
        <v>0</v>
      </c>
      <c r="FX96" s="3">
        <v>90</v>
      </c>
      <c r="FY96" s="3">
        <v>46</v>
      </c>
      <c r="GA96" s="3" t="s">
        <v>3</v>
      </c>
      <c r="GD96" s="3">
        <v>1</v>
      </c>
      <c r="GF96" s="3">
        <v>1558984384</v>
      </c>
      <c r="GG96" s="3">
        <v>2</v>
      </c>
      <c r="GH96" s="3">
        <v>1</v>
      </c>
      <c r="GI96" s="3">
        <v>2</v>
      </c>
      <c r="GJ96" s="3">
        <v>0</v>
      </c>
      <c r="GK96" s="3">
        <v>0</v>
      </c>
      <c r="GL96" s="3">
        <f t="shared" si="88"/>
        <v>0</v>
      </c>
      <c r="GM96" s="3">
        <f t="shared" si="89"/>
        <v>5616.03</v>
      </c>
      <c r="GN96" s="3">
        <f t="shared" si="90"/>
        <v>0</v>
      </c>
      <c r="GO96" s="3">
        <f t="shared" si="91"/>
        <v>5616.03</v>
      </c>
      <c r="GP96" s="3">
        <f t="shared" si="92"/>
        <v>0</v>
      </c>
      <c r="GR96" s="3">
        <v>0</v>
      </c>
      <c r="GS96" s="3">
        <v>3</v>
      </c>
      <c r="GT96" s="3">
        <v>0</v>
      </c>
      <c r="GU96" s="3" t="s">
        <v>3</v>
      </c>
      <c r="GV96" s="3">
        <f t="shared" si="93"/>
        <v>0</v>
      </c>
      <c r="GW96" s="3">
        <v>1</v>
      </c>
      <c r="GX96" s="3">
        <f t="shared" si="94"/>
        <v>0</v>
      </c>
      <c r="HA96" s="3">
        <v>0</v>
      </c>
      <c r="HB96" s="3">
        <v>0</v>
      </c>
      <c r="HC96" s="3">
        <f t="shared" si="95"/>
        <v>0</v>
      </c>
      <c r="HE96" s="3" t="s">
        <v>3</v>
      </c>
      <c r="HF96" s="3" t="s">
        <v>3</v>
      </c>
      <c r="HM96" s="3" t="s">
        <v>3</v>
      </c>
      <c r="HN96" s="3" t="s">
        <v>3</v>
      </c>
      <c r="HO96" s="3" t="s">
        <v>3</v>
      </c>
      <c r="HP96" s="3" t="s">
        <v>3</v>
      </c>
      <c r="HQ96" s="3" t="s">
        <v>3</v>
      </c>
      <c r="HS96" s="3">
        <v>0</v>
      </c>
      <c r="IK96" s="3">
        <v>0</v>
      </c>
    </row>
    <row r="97" spans="1:255" x14ac:dyDescent="0.25">
      <c r="A97" s="2">
        <v>17</v>
      </c>
      <c r="B97" s="2">
        <v>1</v>
      </c>
      <c r="C97" s="2"/>
      <c r="D97" s="2"/>
      <c r="E97" s="2" t="s">
        <v>3</v>
      </c>
      <c r="F97" s="2" t="s">
        <v>171</v>
      </c>
      <c r="G97" s="2" t="s">
        <v>172</v>
      </c>
      <c r="H97" s="2" t="s">
        <v>152</v>
      </c>
      <c r="I97" s="2">
        <v>1</v>
      </c>
      <c r="J97" s="2">
        <v>0</v>
      </c>
      <c r="K97" s="2">
        <v>1</v>
      </c>
      <c r="L97" s="2"/>
      <c r="M97" s="2"/>
      <c r="N97" s="2"/>
      <c r="O97" s="2">
        <f t="shared" si="71"/>
        <v>6828.38</v>
      </c>
      <c r="P97" s="2">
        <f t="shared" si="72"/>
        <v>6828.38</v>
      </c>
      <c r="Q97" s="2">
        <f>(ROUND((ROUND(((ET97)*AV97*I97),2)*BB97),2)+ROUND((ROUND(((AE97-(EU97))*AV97*I97),2)*BS97),2))</f>
        <v>0</v>
      </c>
      <c r="R97" s="2">
        <f>(ROUND((ROUND(((EU97)*AV97*I97),2)*BS97),2)+ROUND((ROUND(((AE97-(EU97))*AV97*I97),2)*BS97),2))</f>
        <v>0</v>
      </c>
      <c r="S97" s="2">
        <f t="shared" si="73"/>
        <v>0</v>
      </c>
      <c r="T97" s="2">
        <f t="shared" si="74"/>
        <v>0</v>
      </c>
      <c r="U97" s="2">
        <f t="shared" si="75"/>
        <v>0</v>
      </c>
      <c r="V97" s="2">
        <f t="shared" si="76"/>
        <v>0</v>
      </c>
      <c r="W97" s="2">
        <f t="shared" si="77"/>
        <v>0</v>
      </c>
      <c r="X97" s="2">
        <f>(ROUND((((S97+ROUND((ROUND(((EU97)*AV97*I97),2)*BS97),2))*AT97)/100),2)+ROUND(((ROUND((ROUND(((AE97-(EU97))*AV97*I97),2)*BS97),2)*AT97)/100),2))</f>
        <v>0</v>
      </c>
      <c r="Y97" s="2">
        <f>(ROUND((((S97+ROUND((ROUND(((EU97)*AV97*I97),2)*BS97),2))*AU97)/100),2)+ROUND(((ROUND((ROUND(((AE97-(EU97))*AV97*I97),2)*BS97),2)*AU97)/100),2))</f>
        <v>0</v>
      </c>
      <c r="Z97" s="2"/>
      <c r="AA97" s="2">
        <v>-1</v>
      </c>
      <c r="AB97" s="2">
        <f t="shared" si="78"/>
        <v>6828.38</v>
      </c>
      <c r="AC97" s="2">
        <f>ROUND((ES97),6)</f>
        <v>6828.38</v>
      </c>
      <c r="AD97" s="2">
        <f>ROUND((((ET97)-(EU97))+AE97),6)</f>
        <v>0</v>
      </c>
      <c r="AE97" s="2">
        <f>ROUND((EU97),6)</f>
        <v>0</v>
      </c>
      <c r="AF97" s="2">
        <f>ROUND((EV97),6)</f>
        <v>0</v>
      </c>
      <c r="AG97" s="2">
        <f t="shared" si="79"/>
        <v>0</v>
      </c>
      <c r="AH97" s="2">
        <f>(EW97)</f>
        <v>0</v>
      </c>
      <c r="AI97" s="2">
        <f>(EX97)</f>
        <v>0</v>
      </c>
      <c r="AJ97" s="2">
        <f t="shared" si="80"/>
        <v>0</v>
      </c>
      <c r="AK97" s="2">
        <v>6828.38</v>
      </c>
      <c r="AL97" s="2">
        <v>6828.38</v>
      </c>
      <c r="AM97" s="2">
        <v>0</v>
      </c>
      <c r="AN97" s="2">
        <v>0</v>
      </c>
      <c r="AO97" s="2">
        <v>0</v>
      </c>
      <c r="AP97" s="2">
        <v>0</v>
      </c>
      <c r="AQ97" s="2">
        <v>0</v>
      </c>
      <c r="AR97" s="2">
        <v>0</v>
      </c>
      <c r="AS97" s="2">
        <v>0</v>
      </c>
      <c r="AT97" s="2">
        <v>0</v>
      </c>
      <c r="AU97" s="2">
        <v>0</v>
      </c>
      <c r="AV97" s="2">
        <v>1</v>
      </c>
      <c r="AW97" s="2">
        <v>1</v>
      </c>
      <c r="AX97" s="2"/>
      <c r="AY97" s="2"/>
      <c r="AZ97" s="2">
        <v>1</v>
      </c>
      <c r="BA97" s="2">
        <v>1</v>
      </c>
      <c r="BB97" s="2">
        <v>1</v>
      </c>
      <c r="BC97" s="2">
        <v>1</v>
      </c>
      <c r="BD97" s="2" t="s">
        <v>3</v>
      </c>
      <c r="BE97" s="2" t="s">
        <v>3</v>
      </c>
      <c r="BF97" s="2" t="s">
        <v>3</v>
      </c>
      <c r="BG97" s="2" t="s">
        <v>3</v>
      </c>
      <c r="BH97" s="2">
        <v>3</v>
      </c>
      <c r="BI97" s="2">
        <v>3</v>
      </c>
      <c r="BJ97" s="2" t="s">
        <v>171</v>
      </c>
      <c r="BK97" s="2"/>
      <c r="BL97" s="2"/>
      <c r="BM97" s="2">
        <v>400007</v>
      </c>
      <c r="BN97" s="2">
        <v>0</v>
      </c>
      <c r="BO97" s="2" t="s">
        <v>3</v>
      </c>
      <c r="BP97" s="2">
        <v>0</v>
      </c>
      <c r="BQ97" s="2">
        <v>214</v>
      </c>
      <c r="BR97" s="2">
        <v>0</v>
      </c>
      <c r="BS97" s="2">
        <v>1</v>
      </c>
      <c r="BT97" s="2">
        <v>1</v>
      </c>
      <c r="BU97" s="2">
        <v>1</v>
      </c>
      <c r="BV97" s="2">
        <v>1</v>
      </c>
      <c r="BW97" s="2">
        <v>1</v>
      </c>
      <c r="BX97" s="2">
        <v>1</v>
      </c>
      <c r="BY97" s="2" t="s">
        <v>3</v>
      </c>
      <c r="BZ97" s="2">
        <v>0</v>
      </c>
      <c r="CA97" s="2">
        <v>0</v>
      </c>
      <c r="CB97" s="2" t="s">
        <v>3</v>
      </c>
      <c r="CC97" s="2"/>
      <c r="CD97" s="2"/>
      <c r="CE97" s="2">
        <v>1566</v>
      </c>
      <c r="CF97" s="2">
        <v>0</v>
      </c>
      <c r="CG97" s="2">
        <v>0</v>
      </c>
      <c r="CH97" s="2"/>
      <c r="CI97" s="2"/>
      <c r="CJ97" s="2"/>
      <c r="CK97" s="2"/>
      <c r="CL97" s="2"/>
      <c r="CM97" s="2">
        <v>0</v>
      </c>
      <c r="CN97" s="2" t="s">
        <v>3</v>
      </c>
      <c r="CO97" s="2">
        <v>0</v>
      </c>
      <c r="CP97" s="2">
        <f t="shared" si="81"/>
        <v>6828.38</v>
      </c>
      <c r="CQ97" s="2">
        <f t="shared" si="82"/>
        <v>6828.38</v>
      </c>
      <c r="CR97" s="2">
        <f>(ROUND((ROUND(((ET97)*AV97*1),2)*BB97),2)+ROUND((ROUND(((AE97-(EU97))*AV97*1),2)*BS97),2))</f>
        <v>0</v>
      </c>
      <c r="CS97" s="2">
        <f>(ROUND((ROUND(((EU97)*AV97*1),2)*BS97),2)+ROUND((ROUND(((AE97-(EU97))*AV97*1),2)*BS97),2))</f>
        <v>0</v>
      </c>
      <c r="CT97" s="2">
        <f t="shared" si="83"/>
        <v>0</v>
      </c>
      <c r="CU97" s="2">
        <f t="shared" si="84"/>
        <v>0</v>
      </c>
      <c r="CV97" s="2">
        <f t="shared" si="85"/>
        <v>0</v>
      </c>
      <c r="CW97" s="2">
        <f t="shared" si="86"/>
        <v>0</v>
      </c>
      <c r="CX97" s="2">
        <f t="shared" si="87"/>
        <v>0</v>
      </c>
      <c r="CY97" s="2">
        <f>(ROUND((((S97+ROUND((ROUND(((EU97)*AV97*1),2)*BS97),2))*AT97)/100),2)+ROUND(((ROUND((ROUND(((AE97-(EU97))*AV97*1),2)*BS97),2)*AT97)/100),2))</f>
        <v>0</v>
      </c>
      <c r="CZ97" s="2">
        <f>(ROUND((((S97+ROUND((ROUND(((EU97)*AV97*1),2)*BS97),2))*AU97)/100),2)+ROUND(((ROUND((ROUND(((AE97-(EU97))*AV97*1),2)*BS97),2)*AU97)/100),2))</f>
        <v>0</v>
      </c>
      <c r="DA97" s="2"/>
      <c r="DB97" s="2"/>
      <c r="DC97" s="2" t="s">
        <v>3</v>
      </c>
      <c r="DD97" s="2" t="s">
        <v>3</v>
      </c>
      <c r="DE97" s="2" t="s">
        <v>3</v>
      </c>
      <c r="DF97" s="2" t="s">
        <v>3</v>
      </c>
      <c r="DG97" s="2" t="s">
        <v>3</v>
      </c>
      <c r="DH97" s="2" t="s">
        <v>3</v>
      </c>
      <c r="DI97" s="2" t="s">
        <v>3</v>
      </c>
      <c r="DJ97" s="2" t="s">
        <v>3</v>
      </c>
      <c r="DK97" s="2" t="s">
        <v>3</v>
      </c>
      <c r="DL97" s="2" t="s">
        <v>3</v>
      </c>
      <c r="DM97" s="2" t="s">
        <v>3</v>
      </c>
      <c r="DN97" s="2">
        <v>0</v>
      </c>
      <c r="DO97" s="2">
        <v>0</v>
      </c>
      <c r="DP97" s="2">
        <v>1</v>
      </c>
      <c r="DQ97" s="2">
        <v>1</v>
      </c>
      <c r="DR97" s="2"/>
      <c r="DS97" s="2"/>
      <c r="DT97" s="2"/>
      <c r="DU97" s="2">
        <v>1013</v>
      </c>
      <c r="DV97" s="2" t="s">
        <v>152</v>
      </c>
      <c r="DW97" s="2" t="s">
        <v>152</v>
      </c>
      <c r="DX97" s="2">
        <v>1</v>
      </c>
      <c r="DY97" s="2"/>
      <c r="DZ97" s="2" t="s">
        <v>3</v>
      </c>
      <c r="EA97" s="2" t="s">
        <v>3</v>
      </c>
      <c r="EB97" s="2" t="s">
        <v>3</v>
      </c>
      <c r="EC97" s="2" t="s">
        <v>3</v>
      </c>
      <c r="ED97" s="2"/>
      <c r="EE97" s="2">
        <v>57042890</v>
      </c>
      <c r="EF97" s="2">
        <v>214</v>
      </c>
      <c r="EG97" s="2" t="s">
        <v>153</v>
      </c>
      <c r="EH97" s="2">
        <v>0</v>
      </c>
      <c r="EI97" s="2" t="s">
        <v>3</v>
      </c>
      <c r="EJ97" s="2">
        <v>3</v>
      </c>
      <c r="EK97" s="2">
        <v>400007</v>
      </c>
      <c r="EL97" s="2" t="s">
        <v>153</v>
      </c>
      <c r="EM97" s="2" t="s">
        <v>154</v>
      </c>
      <c r="EN97" s="2"/>
      <c r="EO97" s="2" t="s">
        <v>3</v>
      </c>
      <c r="EP97" s="2"/>
      <c r="EQ97" s="2">
        <v>1040</v>
      </c>
      <c r="ER97" s="2">
        <v>0</v>
      </c>
      <c r="ES97" s="2">
        <v>6828.38</v>
      </c>
      <c r="ET97" s="2">
        <v>0</v>
      </c>
      <c r="EU97" s="2">
        <v>0</v>
      </c>
      <c r="EV97" s="2">
        <v>0</v>
      </c>
      <c r="EW97" s="2">
        <v>0</v>
      </c>
      <c r="EX97" s="2">
        <v>0</v>
      </c>
      <c r="EY97" s="2">
        <v>0</v>
      </c>
      <c r="EZ97" s="2"/>
      <c r="FA97" s="2"/>
      <c r="FB97" s="2"/>
      <c r="FC97" s="2"/>
      <c r="FD97" s="2"/>
      <c r="FE97" s="2"/>
      <c r="FF97" s="2"/>
      <c r="FG97" s="2"/>
      <c r="FH97" s="2"/>
      <c r="FI97" s="2"/>
      <c r="FJ97" s="2"/>
      <c r="FK97" s="2"/>
      <c r="FL97" s="2"/>
      <c r="FM97" s="2"/>
      <c r="FN97" s="2"/>
      <c r="FO97" s="2"/>
      <c r="FP97" s="2"/>
      <c r="FQ97" s="2">
        <v>0</v>
      </c>
      <c r="FR97" s="2">
        <f>P97</f>
        <v>6828.38</v>
      </c>
      <c r="FS97" s="2">
        <v>0</v>
      </c>
      <c r="FT97" s="2"/>
      <c r="FU97" s="2"/>
      <c r="FV97" s="2"/>
      <c r="FW97" s="2"/>
      <c r="FX97" s="2">
        <v>0</v>
      </c>
      <c r="FY97" s="2">
        <v>0</v>
      </c>
      <c r="FZ97" s="2"/>
      <c r="GA97" s="2" t="s">
        <v>173</v>
      </c>
      <c r="GB97" s="2"/>
      <c r="GC97" s="2"/>
      <c r="GD97" s="2">
        <v>1</v>
      </c>
      <c r="GE97" s="2"/>
      <c r="GF97" s="2">
        <v>609121864</v>
      </c>
      <c r="GG97" s="2">
        <v>2</v>
      </c>
      <c r="GH97" s="2">
        <v>4</v>
      </c>
      <c r="GI97" s="2">
        <v>-2</v>
      </c>
      <c r="GJ97" s="2">
        <v>0</v>
      </c>
      <c r="GK97" s="2">
        <v>0</v>
      </c>
      <c r="GL97" s="2">
        <f t="shared" si="88"/>
        <v>0</v>
      </c>
      <c r="GM97" s="2">
        <f t="shared" si="89"/>
        <v>6828.38</v>
      </c>
      <c r="GN97" s="2">
        <f t="shared" si="90"/>
        <v>0</v>
      </c>
      <c r="GO97" s="2">
        <f t="shared" si="91"/>
        <v>0</v>
      </c>
      <c r="GP97" s="2">
        <f t="shared" si="92"/>
        <v>0</v>
      </c>
      <c r="GQ97" s="2"/>
      <c r="GR97" s="2">
        <v>1</v>
      </c>
      <c r="GS97" s="2">
        <v>2</v>
      </c>
      <c r="GT97" s="2">
        <v>0</v>
      </c>
      <c r="GU97" s="2" t="s">
        <v>3</v>
      </c>
      <c r="GV97" s="2">
        <f t="shared" si="93"/>
        <v>0</v>
      </c>
      <c r="GW97" s="2">
        <v>1</v>
      </c>
      <c r="GX97" s="2">
        <f t="shared" si="94"/>
        <v>0</v>
      </c>
      <c r="GY97" s="2"/>
      <c r="GZ97" s="2"/>
      <c r="HA97" s="2">
        <v>0</v>
      </c>
      <c r="HB97" s="2">
        <v>0</v>
      </c>
      <c r="HC97" s="2">
        <f t="shared" si="95"/>
        <v>0</v>
      </c>
      <c r="HD97" s="2"/>
      <c r="HE97" s="2" t="s">
        <v>39</v>
      </c>
      <c r="HF97" s="2" t="s">
        <v>156</v>
      </c>
      <c r="HG97" s="2"/>
      <c r="HH97" s="2"/>
      <c r="HI97" s="2"/>
      <c r="HJ97" s="2"/>
      <c r="HK97" s="2"/>
      <c r="HL97" s="2"/>
      <c r="HM97" s="2" t="s">
        <v>3</v>
      </c>
      <c r="HN97" s="2" t="s">
        <v>3</v>
      </c>
      <c r="HO97" s="2" t="s">
        <v>3</v>
      </c>
      <c r="HP97" s="2" t="s">
        <v>3</v>
      </c>
      <c r="HQ97" s="2" t="s">
        <v>3</v>
      </c>
      <c r="HR97" s="2"/>
      <c r="HS97" s="2">
        <v>0</v>
      </c>
      <c r="HT97" s="2"/>
      <c r="HU97" s="2"/>
      <c r="HV97" s="2"/>
      <c r="HW97" s="2"/>
      <c r="HX97" s="2"/>
      <c r="HY97" s="2"/>
      <c r="HZ97" s="2"/>
      <c r="IA97" s="2"/>
      <c r="IB97" s="2"/>
      <c r="IC97" s="2"/>
      <c r="ID97" s="2"/>
      <c r="IE97" s="2"/>
      <c r="IF97" s="2"/>
      <c r="IG97" s="2"/>
      <c r="IH97" s="2"/>
      <c r="II97" s="2"/>
      <c r="IJ97" s="2"/>
      <c r="IK97" s="2">
        <v>0</v>
      </c>
      <c r="IL97" s="2"/>
      <c r="IM97" s="2"/>
      <c r="IN97" s="2"/>
      <c r="IO97" s="2"/>
      <c r="IP97" s="2"/>
      <c r="IQ97" s="2"/>
      <c r="IR97" s="2"/>
      <c r="IS97" s="2"/>
      <c r="IT97" s="2"/>
      <c r="IU97" s="2"/>
    </row>
    <row r="98" spans="1:255" x14ac:dyDescent="0.25">
      <c r="A98" s="3">
        <v>17</v>
      </c>
      <c r="B98" s="3">
        <v>1</v>
      </c>
      <c r="E98" s="3" t="s">
        <v>3</v>
      </c>
      <c r="F98" s="3" t="s">
        <v>171</v>
      </c>
      <c r="G98" s="3" t="s">
        <v>172</v>
      </c>
      <c r="H98" s="3" t="s">
        <v>152</v>
      </c>
      <c r="I98" s="3">
        <v>1</v>
      </c>
      <c r="J98" s="3">
        <v>0</v>
      </c>
      <c r="K98" s="3">
        <v>1</v>
      </c>
      <c r="O98" s="3">
        <f t="shared" si="71"/>
        <v>51690.84</v>
      </c>
      <c r="P98" s="3">
        <f t="shared" si="72"/>
        <v>51690.84</v>
      </c>
      <c r="Q98" s="3">
        <f>(ROUND((ROUND(((ET98)*AV98*I98),2)*BB98),2)+ROUND((ROUND(((AE98-(EU98))*AV98*I98),2)*BS98),2))</f>
        <v>0</v>
      </c>
      <c r="R98" s="3">
        <f>(ROUND((ROUND(((EU98)*AV98*I98),2)*BS98),2)+ROUND((ROUND(((AE98-(EU98))*AV98*I98),2)*BS98),2))</f>
        <v>0</v>
      </c>
      <c r="S98" s="3">
        <f t="shared" si="73"/>
        <v>0</v>
      </c>
      <c r="T98" s="3">
        <f t="shared" si="74"/>
        <v>0</v>
      </c>
      <c r="U98" s="3">
        <f t="shared" si="75"/>
        <v>0</v>
      </c>
      <c r="V98" s="3">
        <f t="shared" si="76"/>
        <v>0</v>
      </c>
      <c r="W98" s="3">
        <f t="shared" si="77"/>
        <v>0</v>
      </c>
      <c r="X98" s="3">
        <f>(ROUND((((S98+ROUND((ROUND(((EU98)*AV98*I98),2)*BS98),2))*AT98)/100),2)+ROUND(((ROUND((ROUND(((AE98-(EU98))*AV98*I98),2)*BS98),2)*AT98)/100),2))</f>
        <v>0</v>
      </c>
      <c r="Y98" s="3">
        <f>(ROUND((((S98+ROUND((ROUND(((EU98)*AV98*I98),2)*BS98),2))*AU98)/100),2)+ROUND(((ROUND((ROUND(((AE98-(EU98))*AV98*I98),2)*BS98),2)*AU98)/100),2))</f>
        <v>0</v>
      </c>
      <c r="AA98" s="3">
        <v>-1</v>
      </c>
      <c r="AB98" s="3">
        <f t="shared" si="78"/>
        <v>6828.38</v>
      </c>
      <c r="AC98" s="3">
        <f>ROUND((ES98),6)</f>
        <v>6828.38</v>
      </c>
      <c r="AD98" s="3">
        <f>ROUND((((ET98)-(EU98))+AE98),6)</f>
        <v>0</v>
      </c>
      <c r="AE98" s="3">
        <f>ROUND((EU98),6)</f>
        <v>0</v>
      </c>
      <c r="AF98" s="3">
        <f>ROUND((EV98),6)</f>
        <v>0</v>
      </c>
      <c r="AG98" s="3">
        <f t="shared" si="79"/>
        <v>0</v>
      </c>
      <c r="AH98" s="3">
        <f>(EW98)</f>
        <v>0</v>
      </c>
      <c r="AI98" s="3">
        <f>(EX98)</f>
        <v>0</v>
      </c>
      <c r="AJ98" s="3">
        <f t="shared" si="80"/>
        <v>0</v>
      </c>
      <c r="AK98" s="3">
        <v>6828.38</v>
      </c>
      <c r="AL98" s="3">
        <v>6828.38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3">
        <v>1</v>
      </c>
      <c r="AW98" s="3">
        <v>1</v>
      </c>
      <c r="AZ98" s="3">
        <v>1</v>
      </c>
      <c r="BA98" s="3">
        <v>1</v>
      </c>
      <c r="BB98" s="3">
        <v>1</v>
      </c>
      <c r="BC98" s="3">
        <v>7.57</v>
      </c>
      <c r="BD98" s="3" t="s">
        <v>3</v>
      </c>
      <c r="BE98" s="3" t="s">
        <v>3</v>
      </c>
      <c r="BF98" s="3" t="s">
        <v>3</v>
      </c>
      <c r="BG98" s="3" t="s">
        <v>3</v>
      </c>
      <c r="BH98" s="3">
        <v>3</v>
      </c>
      <c r="BI98" s="3">
        <v>3</v>
      </c>
      <c r="BJ98" s="3" t="s">
        <v>171</v>
      </c>
      <c r="BM98" s="3">
        <v>400007</v>
      </c>
      <c r="BN98" s="3">
        <v>0</v>
      </c>
      <c r="BO98" s="3" t="s">
        <v>3</v>
      </c>
      <c r="BP98" s="3">
        <v>0</v>
      </c>
      <c r="BQ98" s="3">
        <v>214</v>
      </c>
      <c r="BR98" s="3">
        <v>0</v>
      </c>
      <c r="BS98" s="3">
        <v>1</v>
      </c>
      <c r="BT98" s="3">
        <v>1</v>
      </c>
      <c r="BU98" s="3">
        <v>1</v>
      </c>
      <c r="BV98" s="3">
        <v>1</v>
      </c>
      <c r="BW98" s="3">
        <v>1</v>
      </c>
      <c r="BX98" s="3">
        <v>1</v>
      </c>
      <c r="BY98" s="3" t="s">
        <v>3</v>
      </c>
      <c r="BZ98" s="3">
        <v>0</v>
      </c>
      <c r="CA98" s="3">
        <v>0</v>
      </c>
      <c r="CB98" s="3" t="s">
        <v>3</v>
      </c>
      <c r="CE98" s="3">
        <v>1566</v>
      </c>
      <c r="CF98" s="3">
        <v>0</v>
      </c>
      <c r="CG98" s="3">
        <v>0</v>
      </c>
      <c r="CM98" s="3">
        <v>0</v>
      </c>
      <c r="CN98" s="3" t="s">
        <v>3</v>
      </c>
      <c r="CO98" s="3">
        <v>0</v>
      </c>
      <c r="CP98" s="3">
        <f t="shared" si="81"/>
        <v>51690.84</v>
      </c>
      <c r="CQ98" s="3">
        <f t="shared" si="82"/>
        <v>51690.84</v>
      </c>
      <c r="CR98" s="3">
        <f>(ROUND((ROUND(((ET98)*AV98*1),2)*BB98),2)+ROUND((ROUND(((AE98-(EU98))*AV98*1),2)*BS98),2))</f>
        <v>0</v>
      </c>
      <c r="CS98" s="3">
        <f>(ROUND((ROUND(((EU98)*AV98*1),2)*BS98),2)+ROUND((ROUND(((AE98-(EU98))*AV98*1),2)*BS98),2))</f>
        <v>0</v>
      </c>
      <c r="CT98" s="3">
        <f t="shared" si="83"/>
        <v>0</v>
      </c>
      <c r="CU98" s="3">
        <f t="shared" si="84"/>
        <v>0</v>
      </c>
      <c r="CV98" s="3">
        <f t="shared" si="85"/>
        <v>0</v>
      </c>
      <c r="CW98" s="3">
        <f t="shared" si="86"/>
        <v>0</v>
      </c>
      <c r="CX98" s="3">
        <f t="shared" si="87"/>
        <v>0</v>
      </c>
      <c r="CY98" s="3">
        <f>(ROUND((((S98+ROUND((ROUND(((EU98)*AV98*1),2)*BS98),2))*AT98)/100),2)+ROUND(((ROUND((ROUND(((AE98-(EU98))*AV98*1),2)*BS98),2)*AT98)/100),2))</f>
        <v>0</v>
      </c>
      <c r="CZ98" s="3">
        <f>(ROUND((((S98+ROUND((ROUND(((EU98)*AV98*1),2)*BS98),2))*AU98)/100),2)+ROUND(((ROUND((ROUND(((AE98-(EU98))*AV98*1),2)*BS98),2)*AU98)/100),2))</f>
        <v>0</v>
      </c>
      <c r="DC98" s="3" t="s">
        <v>3</v>
      </c>
      <c r="DD98" s="3" t="s">
        <v>3</v>
      </c>
      <c r="DE98" s="3" t="s">
        <v>3</v>
      </c>
      <c r="DF98" s="3" t="s">
        <v>3</v>
      </c>
      <c r="DG98" s="3" t="s">
        <v>3</v>
      </c>
      <c r="DH98" s="3" t="s">
        <v>3</v>
      </c>
      <c r="DI98" s="3" t="s">
        <v>3</v>
      </c>
      <c r="DJ98" s="3" t="s">
        <v>3</v>
      </c>
      <c r="DK98" s="3" t="s">
        <v>3</v>
      </c>
      <c r="DL98" s="3" t="s">
        <v>3</v>
      </c>
      <c r="DM98" s="3" t="s">
        <v>3</v>
      </c>
      <c r="DN98" s="3">
        <v>0</v>
      </c>
      <c r="DO98" s="3">
        <v>0</v>
      </c>
      <c r="DP98" s="3">
        <v>1</v>
      </c>
      <c r="DQ98" s="3">
        <v>1</v>
      </c>
      <c r="DU98" s="3">
        <v>1013</v>
      </c>
      <c r="DV98" s="3" t="s">
        <v>152</v>
      </c>
      <c r="DW98" s="3" t="s">
        <v>152</v>
      </c>
      <c r="DX98" s="3">
        <v>1</v>
      </c>
      <c r="DZ98" s="3" t="s">
        <v>3</v>
      </c>
      <c r="EA98" s="3" t="s">
        <v>3</v>
      </c>
      <c r="EB98" s="3" t="s">
        <v>3</v>
      </c>
      <c r="EC98" s="3" t="s">
        <v>3</v>
      </c>
      <c r="EE98" s="3">
        <v>57042890</v>
      </c>
      <c r="EF98" s="3">
        <v>214</v>
      </c>
      <c r="EG98" s="3" t="s">
        <v>153</v>
      </c>
      <c r="EH98" s="3">
        <v>0</v>
      </c>
      <c r="EI98" s="3" t="s">
        <v>3</v>
      </c>
      <c r="EJ98" s="3">
        <v>3</v>
      </c>
      <c r="EK98" s="3">
        <v>400007</v>
      </c>
      <c r="EL98" s="3" t="s">
        <v>153</v>
      </c>
      <c r="EM98" s="3" t="s">
        <v>154</v>
      </c>
      <c r="EO98" s="3" t="s">
        <v>3</v>
      </c>
      <c r="EQ98" s="3">
        <v>1040</v>
      </c>
      <c r="ER98" s="3">
        <v>0</v>
      </c>
      <c r="ES98" s="3">
        <v>6828.38</v>
      </c>
      <c r="ET98" s="3">
        <v>0</v>
      </c>
      <c r="EU98" s="3">
        <v>0</v>
      </c>
      <c r="EV98" s="3">
        <v>0</v>
      </c>
      <c r="EW98" s="3">
        <v>0</v>
      </c>
      <c r="EX98" s="3">
        <v>0</v>
      </c>
      <c r="EY98" s="3">
        <v>0</v>
      </c>
      <c r="EZ98" s="3">
        <v>5</v>
      </c>
      <c r="FC98" s="3">
        <v>1</v>
      </c>
      <c r="FD98" s="3">
        <v>18</v>
      </c>
      <c r="FF98" s="3">
        <v>60500</v>
      </c>
      <c r="FQ98" s="3">
        <v>0</v>
      </c>
      <c r="FR98" s="3">
        <f>P98</f>
        <v>51690.84</v>
      </c>
      <c r="FS98" s="3">
        <v>0</v>
      </c>
      <c r="FX98" s="3">
        <v>0</v>
      </c>
      <c r="FY98" s="3">
        <v>0</v>
      </c>
      <c r="GA98" s="3" t="s">
        <v>173</v>
      </c>
      <c r="GD98" s="3">
        <v>1</v>
      </c>
      <c r="GF98" s="3">
        <v>609121864</v>
      </c>
      <c r="GG98" s="3">
        <v>2</v>
      </c>
      <c r="GH98" s="3">
        <v>3</v>
      </c>
      <c r="GI98" s="3">
        <v>5</v>
      </c>
      <c r="GJ98" s="3">
        <v>0</v>
      </c>
      <c r="GK98" s="3">
        <v>0</v>
      </c>
      <c r="GL98" s="3">
        <f t="shared" si="88"/>
        <v>0</v>
      </c>
      <c r="GM98" s="3">
        <f t="shared" si="89"/>
        <v>51690.84</v>
      </c>
      <c r="GN98" s="3">
        <f t="shared" si="90"/>
        <v>0</v>
      </c>
      <c r="GO98" s="3">
        <f t="shared" si="91"/>
        <v>0</v>
      </c>
      <c r="GP98" s="3">
        <f t="shared" si="92"/>
        <v>0</v>
      </c>
      <c r="GR98" s="3">
        <v>1</v>
      </c>
      <c r="GS98" s="3">
        <v>1</v>
      </c>
      <c r="GT98" s="3">
        <v>0</v>
      </c>
      <c r="GU98" s="3" t="s">
        <v>3</v>
      </c>
      <c r="GV98" s="3">
        <f t="shared" si="93"/>
        <v>0</v>
      </c>
      <c r="GW98" s="3">
        <v>1</v>
      </c>
      <c r="GX98" s="3">
        <f t="shared" si="94"/>
        <v>0</v>
      </c>
      <c r="HA98" s="3">
        <v>0</v>
      </c>
      <c r="HB98" s="3">
        <v>0</v>
      </c>
      <c r="HC98" s="3">
        <f t="shared" si="95"/>
        <v>0</v>
      </c>
      <c r="HE98" s="3" t="s">
        <v>39</v>
      </c>
      <c r="HF98" s="3" t="s">
        <v>156</v>
      </c>
      <c r="HM98" s="3" t="s">
        <v>3</v>
      </c>
      <c r="HN98" s="3" t="s">
        <v>3</v>
      </c>
      <c r="HO98" s="3" t="s">
        <v>3</v>
      </c>
      <c r="HP98" s="3" t="s">
        <v>3</v>
      </c>
      <c r="HQ98" s="3" t="s">
        <v>3</v>
      </c>
      <c r="HS98" s="3">
        <v>0</v>
      </c>
      <c r="IK98" s="3">
        <v>0</v>
      </c>
    </row>
    <row r="99" spans="1:255" x14ac:dyDescent="0.25">
      <c r="A99" s="2">
        <v>17</v>
      </c>
      <c r="B99" s="2">
        <v>1</v>
      </c>
      <c r="C99" s="2">
        <f>ROW(SmtRes!A110)</f>
        <v>110</v>
      </c>
      <c r="D99" s="2">
        <f>ROW(EtalonRes!A141)</f>
        <v>141</v>
      </c>
      <c r="E99" s="2" t="s">
        <v>3</v>
      </c>
      <c r="F99" s="2" t="s">
        <v>174</v>
      </c>
      <c r="G99" s="2" t="s">
        <v>175</v>
      </c>
      <c r="H99" s="2" t="s">
        <v>27</v>
      </c>
      <c r="I99" s="2">
        <v>1</v>
      </c>
      <c r="J99" s="2">
        <v>0</v>
      </c>
      <c r="K99" s="2">
        <v>1</v>
      </c>
      <c r="L99" s="2"/>
      <c r="M99" s="2"/>
      <c r="N99" s="2"/>
      <c r="O99" s="2">
        <f t="shared" si="71"/>
        <v>46.31</v>
      </c>
      <c r="P99" s="2">
        <f t="shared" si="72"/>
        <v>0</v>
      </c>
      <c r="Q99" s="2">
        <f>(ROUND((ROUND((((ET99*1.2))*AV99*I99),2)*BB99),2)+ROUND((ROUND(((AE99-((EU99*1.2)))*AV99*I99),2)*BS99),2))</f>
        <v>2.4</v>
      </c>
      <c r="R99" s="2">
        <f>(ROUND((ROUND((((EU99*1.2))*AV99*I99),2)*BS99),2)+ROUND((ROUND(((AE99-((EU99*1.2)))*AV99*I99),2)*BS99),2))</f>
        <v>0.36</v>
      </c>
      <c r="S99" s="2">
        <f t="shared" si="73"/>
        <v>43.91</v>
      </c>
      <c r="T99" s="2">
        <f t="shared" si="74"/>
        <v>0</v>
      </c>
      <c r="U99" s="2">
        <f t="shared" si="75"/>
        <v>3.8822759999999996</v>
      </c>
      <c r="V99" s="2">
        <f t="shared" si="76"/>
        <v>0</v>
      </c>
      <c r="W99" s="2">
        <f t="shared" si="77"/>
        <v>0</v>
      </c>
      <c r="X99" s="2">
        <f>(ROUND((((S99+ROUND((ROUND((((EU99*1.2))*AV99*I99),2)*BS99),2))*AT99)/100),2)+ROUND(((ROUND((ROUND(((AE99-((EU99*1.2)))*AV99*I99),2)*BS99),2)*AT99)/100),2))</f>
        <v>39.840000000000003</v>
      </c>
      <c r="Y99" s="2">
        <f>(ROUND((((S99+ROUND((ROUND((((EU99*1.2))*AV99*I99),2)*BS99),2))*AU99)/100),2)+ROUND(((ROUND((ROUND(((AE99-((EU99*1.2)))*AV99*I99),2)*BS99),2)*AU99)/100),2))</f>
        <v>20.36</v>
      </c>
      <c r="Z99" s="2"/>
      <c r="AA99" s="2">
        <v>-1</v>
      </c>
      <c r="AB99" s="2">
        <f t="shared" si="78"/>
        <v>44.231999999999999</v>
      </c>
      <c r="AC99" s="2">
        <f>ROUND(((ES99*1)),6)</f>
        <v>0</v>
      </c>
      <c r="AD99" s="2">
        <f>ROUND(((((ET99*1.2))-((EU99*1.2)))+AE99),6)</f>
        <v>2.2919999999999998</v>
      </c>
      <c r="AE99" s="2">
        <f t="shared" ref="AE99:AF102" si="100">ROUND(((EU99*1.2)),6)</f>
        <v>0.34799999999999998</v>
      </c>
      <c r="AF99" s="2">
        <f t="shared" si="100"/>
        <v>41.94</v>
      </c>
      <c r="AG99" s="2">
        <f t="shared" si="79"/>
        <v>0</v>
      </c>
      <c r="AH99" s="2">
        <f t="shared" ref="AH99:AI102" si="101">((EW99*1.2))</f>
        <v>3.7079999999999997</v>
      </c>
      <c r="AI99" s="2">
        <f t="shared" si="101"/>
        <v>0</v>
      </c>
      <c r="AJ99" s="2">
        <f t="shared" si="80"/>
        <v>0</v>
      </c>
      <c r="AK99" s="2">
        <v>36.86</v>
      </c>
      <c r="AL99" s="2">
        <v>0</v>
      </c>
      <c r="AM99" s="2">
        <v>1.91</v>
      </c>
      <c r="AN99" s="2">
        <v>0.28999999999999998</v>
      </c>
      <c r="AO99" s="2">
        <v>34.950000000000003</v>
      </c>
      <c r="AP99" s="2">
        <v>0</v>
      </c>
      <c r="AQ99" s="2">
        <v>3.09</v>
      </c>
      <c r="AR99" s="2">
        <v>0</v>
      </c>
      <c r="AS99" s="2">
        <v>0</v>
      </c>
      <c r="AT99" s="2">
        <v>90</v>
      </c>
      <c r="AU99" s="2">
        <v>46</v>
      </c>
      <c r="AV99" s="2">
        <v>1.0469999999999999</v>
      </c>
      <c r="AW99" s="2">
        <v>1</v>
      </c>
      <c r="AX99" s="2"/>
      <c r="AY99" s="2"/>
      <c r="AZ99" s="2">
        <v>1</v>
      </c>
      <c r="BA99" s="2">
        <v>1</v>
      </c>
      <c r="BB99" s="2">
        <v>1</v>
      </c>
      <c r="BC99" s="2">
        <v>1</v>
      </c>
      <c r="BD99" s="2" t="s">
        <v>3</v>
      </c>
      <c r="BE99" s="2" t="s">
        <v>3</v>
      </c>
      <c r="BF99" s="2" t="s">
        <v>3</v>
      </c>
      <c r="BG99" s="2" t="s">
        <v>3</v>
      </c>
      <c r="BH99" s="2">
        <v>0</v>
      </c>
      <c r="BI99" s="2">
        <v>2</v>
      </c>
      <c r="BJ99" s="2" t="s">
        <v>176</v>
      </c>
      <c r="BK99" s="2"/>
      <c r="BL99" s="2"/>
      <c r="BM99" s="2">
        <v>72</v>
      </c>
      <c r="BN99" s="2">
        <v>0</v>
      </c>
      <c r="BO99" s="2" t="s">
        <v>174</v>
      </c>
      <c r="BP99" s="2">
        <v>1</v>
      </c>
      <c r="BQ99" s="2">
        <v>40</v>
      </c>
      <c r="BR99" s="2">
        <v>0</v>
      </c>
      <c r="BS99" s="2">
        <v>1</v>
      </c>
      <c r="BT99" s="2">
        <v>1</v>
      </c>
      <c r="BU99" s="2">
        <v>1</v>
      </c>
      <c r="BV99" s="2">
        <v>1</v>
      </c>
      <c r="BW99" s="2">
        <v>1</v>
      </c>
      <c r="BX99" s="2">
        <v>1</v>
      </c>
      <c r="BY99" s="2" t="s">
        <v>3</v>
      </c>
      <c r="BZ99" s="2">
        <v>90</v>
      </c>
      <c r="CA99" s="2">
        <v>46</v>
      </c>
      <c r="CB99" s="2" t="s">
        <v>3</v>
      </c>
      <c r="CC99" s="2"/>
      <c r="CD99" s="2"/>
      <c r="CE99" s="2">
        <v>1566</v>
      </c>
      <c r="CF99" s="2">
        <v>0</v>
      </c>
      <c r="CG99" s="2">
        <v>0</v>
      </c>
      <c r="CH99" s="2"/>
      <c r="CI99" s="2"/>
      <c r="CJ99" s="2"/>
      <c r="CK99" s="2"/>
      <c r="CL99" s="2"/>
      <c r="CM99" s="2">
        <v>0</v>
      </c>
      <c r="CN99" s="2" t="s">
        <v>624</v>
      </c>
      <c r="CO99" s="2">
        <v>0</v>
      </c>
      <c r="CP99" s="2">
        <f t="shared" si="81"/>
        <v>46.309999999999995</v>
      </c>
      <c r="CQ99" s="2">
        <f t="shared" si="82"/>
        <v>0</v>
      </c>
      <c r="CR99" s="2">
        <f>(ROUND((ROUND((((ET99*1.2))*AV99*1),2)*BB99),2)+ROUND((ROUND(((AE99-((EU99*1.2)))*AV99*1),2)*BS99),2))</f>
        <v>2.4</v>
      </c>
      <c r="CS99" s="2">
        <f>(ROUND((ROUND((((EU99*1.2))*AV99*1),2)*BS99),2)+ROUND((ROUND(((AE99-((EU99*1.2)))*AV99*1),2)*BS99),2))</f>
        <v>0.36</v>
      </c>
      <c r="CT99" s="2">
        <f t="shared" si="83"/>
        <v>43.91</v>
      </c>
      <c r="CU99" s="2">
        <f t="shared" si="84"/>
        <v>0</v>
      </c>
      <c r="CV99" s="2">
        <f t="shared" si="85"/>
        <v>3.8822759999999996</v>
      </c>
      <c r="CW99" s="2">
        <f t="shared" si="86"/>
        <v>0</v>
      </c>
      <c r="CX99" s="2">
        <f t="shared" si="87"/>
        <v>0</v>
      </c>
      <c r="CY99" s="2">
        <f>(ROUND((((S99+ROUND((ROUND((((EU99*1.2))*AV99*1),2)*BS99),2))*AT99)/100),2)+ROUND(((ROUND((ROUND(((AE99-((EU99*1.2)))*AV99*1),2)*BS99),2)*AT99)/100),2))</f>
        <v>39.840000000000003</v>
      </c>
      <c r="CZ99" s="2">
        <f>(ROUND((((S99+ROUND((ROUND((((EU99*1.2))*AV99*1),2)*BS99),2))*AU99)/100),2)+ROUND(((ROUND((ROUND(((AE99-((EU99*1.2)))*AV99*1),2)*BS99),2)*AU99)/100),2))</f>
        <v>20.36</v>
      </c>
      <c r="DA99" s="2"/>
      <c r="DB99" s="2">
        <v>51</v>
      </c>
      <c r="DC99" s="2" t="s">
        <v>3</v>
      </c>
      <c r="DD99" s="2" t="s">
        <v>70</v>
      </c>
      <c r="DE99" s="2" t="s">
        <v>71</v>
      </c>
      <c r="DF99" s="2" t="s">
        <v>71</v>
      </c>
      <c r="DG99" s="2" t="s">
        <v>71</v>
      </c>
      <c r="DH99" s="2" t="s">
        <v>3</v>
      </c>
      <c r="DI99" s="2" t="s">
        <v>71</v>
      </c>
      <c r="DJ99" s="2" t="s">
        <v>71</v>
      </c>
      <c r="DK99" s="2" t="s">
        <v>3</v>
      </c>
      <c r="DL99" s="2" t="s">
        <v>3</v>
      </c>
      <c r="DM99" s="2" t="s">
        <v>3</v>
      </c>
      <c r="DN99" s="2">
        <v>0</v>
      </c>
      <c r="DO99" s="2">
        <v>0</v>
      </c>
      <c r="DP99" s="2">
        <v>1</v>
      </c>
      <c r="DQ99" s="2">
        <v>1</v>
      </c>
      <c r="DR99" s="2"/>
      <c r="DS99" s="2"/>
      <c r="DT99" s="2"/>
      <c r="DU99" s="2">
        <v>1013</v>
      </c>
      <c r="DV99" s="2" t="s">
        <v>27</v>
      </c>
      <c r="DW99" s="2" t="s">
        <v>27</v>
      </c>
      <c r="DX99" s="2">
        <v>1</v>
      </c>
      <c r="DY99" s="2"/>
      <c r="DZ99" s="2" t="s">
        <v>3</v>
      </c>
      <c r="EA99" s="2" t="s">
        <v>3</v>
      </c>
      <c r="EB99" s="2" t="s">
        <v>3</v>
      </c>
      <c r="EC99" s="2" t="s">
        <v>3</v>
      </c>
      <c r="ED99" s="2"/>
      <c r="EE99" s="2">
        <v>57042962</v>
      </c>
      <c r="EF99" s="2">
        <v>40</v>
      </c>
      <c r="EG99" s="2" t="s">
        <v>31</v>
      </c>
      <c r="EH99" s="2">
        <v>0</v>
      </c>
      <c r="EI99" s="2" t="s">
        <v>3</v>
      </c>
      <c r="EJ99" s="2">
        <v>2</v>
      </c>
      <c r="EK99" s="2">
        <v>72</v>
      </c>
      <c r="EL99" s="2" t="s">
        <v>166</v>
      </c>
      <c r="EM99" s="2" t="s">
        <v>167</v>
      </c>
      <c r="EN99" s="2"/>
      <c r="EO99" s="2" t="s">
        <v>75</v>
      </c>
      <c r="EP99" s="2"/>
      <c r="EQ99" s="2">
        <v>1024</v>
      </c>
      <c r="ER99" s="2">
        <v>36.86</v>
      </c>
      <c r="ES99" s="2">
        <v>0</v>
      </c>
      <c r="ET99" s="2">
        <v>1.91</v>
      </c>
      <c r="EU99" s="2">
        <v>0.28999999999999998</v>
      </c>
      <c r="EV99" s="2">
        <v>34.950000000000003</v>
      </c>
      <c r="EW99" s="2">
        <v>3.09</v>
      </c>
      <c r="EX99" s="2">
        <v>0</v>
      </c>
      <c r="EY99" s="2">
        <v>0</v>
      </c>
      <c r="EZ99" s="2"/>
      <c r="FA99" s="2"/>
      <c r="FB99" s="2"/>
      <c r="FC99" s="2"/>
      <c r="FD99" s="2"/>
      <c r="FE99" s="2"/>
      <c r="FF99" s="2"/>
      <c r="FG99" s="2"/>
      <c r="FH99" s="2"/>
      <c r="FI99" s="2"/>
      <c r="FJ99" s="2"/>
      <c r="FK99" s="2"/>
      <c r="FL99" s="2"/>
      <c r="FM99" s="2"/>
      <c r="FN99" s="2"/>
      <c r="FO99" s="2"/>
      <c r="FP99" s="2"/>
      <c r="FQ99" s="2">
        <v>0</v>
      </c>
      <c r="FR99" s="2">
        <v>0</v>
      </c>
      <c r="FS99" s="2">
        <v>0</v>
      </c>
      <c r="FT99" s="2"/>
      <c r="FU99" s="2"/>
      <c r="FV99" s="2"/>
      <c r="FW99" s="2"/>
      <c r="FX99" s="2">
        <v>90</v>
      </c>
      <c r="FY99" s="2">
        <v>46</v>
      </c>
      <c r="FZ99" s="2"/>
      <c r="GA99" s="2" t="s">
        <v>3</v>
      </c>
      <c r="GB99" s="2"/>
      <c r="GC99" s="2"/>
      <c r="GD99" s="2">
        <v>1</v>
      </c>
      <c r="GE99" s="2"/>
      <c r="GF99" s="2">
        <v>1451808283</v>
      </c>
      <c r="GG99" s="2">
        <v>2</v>
      </c>
      <c r="GH99" s="2">
        <v>1</v>
      </c>
      <c r="GI99" s="2">
        <v>2</v>
      </c>
      <c r="GJ99" s="2">
        <v>0</v>
      </c>
      <c r="GK99" s="2">
        <v>0</v>
      </c>
      <c r="GL99" s="2">
        <f t="shared" si="88"/>
        <v>0</v>
      </c>
      <c r="GM99" s="2">
        <f t="shared" si="89"/>
        <v>106.51</v>
      </c>
      <c r="GN99" s="2">
        <f t="shared" si="90"/>
        <v>0</v>
      </c>
      <c r="GO99" s="2">
        <f t="shared" si="91"/>
        <v>106.51</v>
      </c>
      <c r="GP99" s="2">
        <f t="shared" si="92"/>
        <v>0</v>
      </c>
      <c r="GQ99" s="2"/>
      <c r="GR99" s="2">
        <v>0</v>
      </c>
      <c r="GS99" s="2">
        <v>3</v>
      </c>
      <c r="GT99" s="2">
        <v>0</v>
      </c>
      <c r="GU99" s="2" t="s">
        <v>3</v>
      </c>
      <c r="GV99" s="2">
        <f t="shared" si="93"/>
        <v>0</v>
      </c>
      <c r="GW99" s="2">
        <v>1</v>
      </c>
      <c r="GX99" s="2">
        <f t="shared" si="94"/>
        <v>0</v>
      </c>
      <c r="GY99" s="2"/>
      <c r="GZ99" s="2"/>
      <c r="HA99" s="2">
        <v>0</v>
      </c>
      <c r="HB99" s="2">
        <v>0</v>
      </c>
      <c r="HC99" s="2">
        <f t="shared" si="95"/>
        <v>0</v>
      </c>
      <c r="HD99" s="2"/>
      <c r="HE99" s="2" t="s">
        <v>3</v>
      </c>
      <c r="HF99" s="2" t="s">
        <v>3</v>
      </c>
      <c r="HG99" s="2"/>
      <c r="HH99" s="2"/>
      <c r="HI99" s="2"/>
      <c r="HJ99" s="2"/>
      <c r="HK99" s="2"/>
      <c r="HL99" s="2"/>
      <c r="HM99" s="2" t="s">
        <v>3</v>
      </c>
      <c r="HN99" s="2" t="s">
        <v>3</v>
      </c>
      <c r="HO99" s="2" t="s">
        <v>3</v>
      </c>
      <c r="HP99" s="2" t="s">
        <v>3</v>
      </c>
      <c r="HQ99" s="2" t="s">
        <v>3</v>
      </c>
      <c r="HR99" s="2"/>
      <c r="HS99" s="2">
        <v>0</v>
      </c>
      <c r="HT99" s="2"/>
      <c r="HU99" s="2"/>
      <c r="HV99" s="2"/>
      <c r="HW99" s="2"/>
      <c r="HX99" s="2"/>
      <c r="HY99" s="2"/>
      <c r="HZ99" s="2"/>
      <c r="IA99" s="2"/>
      <c r="IB99" s="2"/>
      <c r="IC99" s="2"/>
      <c r="ID99" s="2"/>
      <c r="IE99" s="2"/>
      <c r="IF99" s="2"/>
      <c r="IG99" s="2"/>
      <c r="IH99" s="2"/>
      <c r="II99" s="2"/>
      <c r="IJ99" s="2"/>
      <c r="IK99" s="2">
        <v>0</v>
      </c>
      <c r="IL99" s="2"/>
      <c r="IM99" s="2"/>
      <c r="IN99" s="2"/>
      <c r="IO99" s="2"/>
      <c r="IP99" s="2"/>
      <c r="IQ99" s="2"/>
      <c r="IR99" s="2"/>
      <c r="IS99" s="2"/>
      <c r="IT99" s="2"/>
      <c r="IU99" s="2"/>
    </row>
    <row r="100" spans="1:255" x14ac:dyDescent="0.25">
      <c r="A100" s="3">
        <v>17</v>
      </c>
      <c r="B100" s="3">
        <v>1</v>
      </c>
      <c r="C100" s="3">
        <f>ROW(SmtRes!A112)</f>
        <v>112</v>
      </c>
      <c r="D100" s="3">
        <f>ROW(EtalonRes!A144)</f>
        <v>144</v>
      </c>
      <c r="E100" s="3" t="s">
        <v>3</v>
      </c>
      <c r="F100" s="3" t="s">
        <v>174</v>
      </c>
      <c r="G100" s="3" t="s">
        <v>175</v>
      </c>
      <c r="H100" s="3" t="s">
        <v>27</v>
      </c>
      <c r="I100" s="3">
        <v>1</v>
      </c>
      <c r="J100" s="3">
        <v>0</v>
      </c>
      <c r="K100" s="3">
        <v>1</v>
      </c>
      <c r="O100" s="3">
        <f t="shared" si="71"/>
        <v>2515.3200000000002</v>
      </c>
      <c r="P100" s="3">
        <f t="shared" si="72"/>
        <v>0</v>
      </c>
      <c r="Q100" s="3">
        <f>(ROUND((ROUND((((ET100*1.2))*AV100*I100),2)*BB100),2)+ROUND((ROUND(((AE100-((EU100*1.2)))*AV100*I100),2)*BS100),2))</f>
        <v>40.99</v>
      </c>
      <c r="R100" s="3">
        <f>(ROUND((ROUND((((EU100*1.2))*AV100*I100),2)*BS100),2)+ROUND((ROUND(((AE100-((EU100*1.2)))*AV100*I100),2)*BS100),2))</f>
        <v>20.29</v>
      </c>
      <c r="S100" s="3">
        <f t="shared" si="73"/>
        <v>2474.33</v>
      </c>
      <c r="T100" s="3">
        <f t="shared" si="74"/>
        <v>0</v>
      </c>
      <c r="U100" s="3">
        <f t="shared" si="75"/>
        <v>3.8822759999999996</v>
      </c>
      <c r="V100" s="3">
        <f t="shared" si="76"/>
        <v>0</v>
      </c>
      <c r="W100" s="3">
        <f t="shared" si="77"/>
        <v>0</v>
      </c>
      <c r="X100" s="3">
        <f>(ROUND((((S100+ROUND((ROUND((((EU100*1.2))*AV100*I100),2)*BS100),2))*AT100)/100),2)+ROUND(((ROUND((ROUND(((AE100-((EU100*1.2)))*AV100*I100),2)*BS100),2)*AT100)/100),2))</f>
        <v>2245.16</v>
      </c>
      <c r="Y100" s="3">
        <f>(ROUND((((S100+ROUND((ROUND((((EU100*1.2))*AV100*I100),2)*BS100),2))*AU100)/100),2)+ROUND(((ROUND((ROUND(((AE100-((EU100*1.2)))*AV100*I100),2)*BS100),2)*AU100)/100),2))</f>
        <v>1147.53</v>
      </c>
      <c r="AA100" s="3">
        <v>-1</v>
      </c>
      <c r="AB100" s="3">
        <f t="shared" si="78"/>
        <v>44.231999999999999</v>
      </c>
      <c r="AC100" s="3">
        <f>ROUND(((ES100*1)),6)</f>
        <v>0</v>
      </c>
      <c r="AD100" s="3">
        <f>ROUND(((((ET100*1.2))-((EU100*1.2)))+AE100),6)</f>
        <v>2.2919999999999998</v>
      </c>
      <c r="AE100" s="3">
        <f t="shared" si="100"/>
        <v>0.34799999999999998</v>
      </c>
      <c r="AF100" s="3">
        <f t="shared" si="100"/>
        <v>41.94</v>
      </c>
      <c r="AG100" s="3">
        <f t="shared" si="79"/>
        <v>0</v>
      </c>
      <c r="AH100" s="3">
        <f t="shared" si="101"/>
        <v>3.7079999999999997</v>
      </c>
      <c r="AI100" s="3">
        <f t="shared" si="101"/>
        <v>0</v>
      </c>
      <c r="AJ100" s="3">
        <f t="shared" si="80"/>
        <v>0</v>
      </c>
      <c r="AK100" s="3">
        <v>36.86</v>
      </c>
      <c r="AL100" s="3">
        <v>0</v>
      </c>
      <c r="AM100" s="3">
        <v>1.91</v>
      </c>
      <c r="AN100" s="3">
        <v>0.28999999999999998</v>
      </c>
      <c r="AO100" s="3">
        <v>34.950000000000003</v>
      </c>
      <c r="AP100" s="3">
        <v>0</v>
      </c>
      <c r="AQ100" s="3">
        <v>3.09</v>
      </c>
      <c r="AR100" s="3">
        <v>0</v>
      </c>
      <c r="AS100" s="3">
        <v>0</v>
      </c>
      <c r="AT100" s="3">
        <v>90</v>
      </c>
      <c r="AU100" s="3">
        <v>46</v>
      </c>
      <c r="AV100" s="3">
        <v>1.0469999999999999</v>
      </c>
      <c r="AW100" s="3">
        <v>1</v>
      </c>
      <c r="AZ100" s="3">
        <v>1</v>
      </c>
      <c r="BA100" s="3">
        <v>56.35</v>
      </c>
      <c r="BB100" s="3">
        <v>17.079999999999998</v>
      </c>
      <c r="BC100" s="3">
        <v>1</v>
      </c>
      <c r="BD100" s="3" t="s">
        <v>3</v>
      </c>
      <c r="BE100" s="3" t="s">
        <v>3</v>
      </c>
      <c r="BF100" s="3" t="s">
        <v>3</v>
      </c>
      <c r="BG100" s="3" t="s">
        <v>3</v>
      </c>
      <c r="BH100" s="3">
        <v>0</v>
      </c>
      <c r="BI100" s="3">
        <v>2</v>
      </c>
      <c r="BJ100" s="3" t="s">
        <v>176</v>
      </c>
      <c r="BM100" s="3">
        <v>72</v>
      </c>
      <c r="BN100" s="3">
        <v>0</v>
      </c>
      <c r="BO100" s="3" t="s">
        <v>174</v>
      </c>
      <c r="BP100" s="3">
        <v>1</v>
      </c>
      <c r="BQ100" s="3">
        <v>40</v>
      </c>
      <c r="BR100" s="3">
        <v>0</v>
      </c>
      <c r="BS100" s="3">
        <v>56.35</v>
      </c>
      <c r="BT100" s="3">
        <v>1</v>
      </c>
      <c r="BU100" s="3">
        <v>1</v>
      </c>
      <c r="BV100" s="3">
        <v>1</v>
      </c>
      <c r="BW100" s="3">
        <v>1</v>
      </c>
      <c r="BX100" s="3">
        <v>1</v>
      </c>
      <c r="BY100" s="3" t="s">
        <v>3</v>
      </c>
      <c r="BZ100" s="3">
        <v>90</v>
      </c>
      <c r="CA100" s="3">
        <v>46</v>
      </c>
      <c r="CB100" s="3" t="s">
        <v>3</v>
      </c>
      <c r="CE100" s="3">
        <v>1566</v>
      </c>
      <c r="CF100" s="3">
        <v>0</v>
      </c>
      <c r="CG100" s="3">
        <v>0</v>
      </c>
      <c r="CM100" s="3">
        <v>0</v>
      </c>
      <c r="CN100" s="3" t="s">
        <v>624</v>
      </c>
      <c r="CO100" s="3">
        <v>0</v>
      </c>
      <c r="CP100" s="3">
        <f t="shared" si="81"/>
        <v>2515.3199999999997</v>
      </c>
      <c r="CQ100" s="3">
        <f t="shared" si="82"/>
        <v>0</v>
      </c>
      <c r="CR100" s="3">
        <f>(ROUND((ROUND((((ET100*1.2))*AV100*1),2)*BB100),2)+ROUND((ROUND(((AE100-((EU100*1.2)))*AV100*1),2)*BS100),2))</f>
        <v>40.99</v>
      </c>
      <c r="CS100" s="3">
        <f>(ROUND((ROUND((((EU100*1.2))*AV100*1),2)*BS100),2)+ROUND((ROUND(((AE100-((EU100*1.2)))*AV100*1),2)*BS100),2))</f>
        <v>20.29</v>
      </c>
      <c r="CT100" s="3">
        <f t="shared" si="83"/>
        <v>2474.33</v>
      </c>
      <c r="CU100" s="3">
        <f t="shared" si="84"/>
        <v>0</v>
      </c>
      <c r="CV100" s="3">
        <f t="shared" si="85"/>
        <v>3.8822759999999996</v>
      </c>
      <c r="CW100" s="3">
        <f t="shared" si="86"/>
        <v>0</v>
      </c>
      <c r="CX100" s="3">
        <f t="shared" si="87"/>
        <v>0</v>
      </c>
      <c r="CY100" s="3">
        <f>(ROUND((((S100+ROUND((ROUND((((EU100*1.2))*AV100*1),2)*BS100),2))*AT100)/100),2)+ROUND(((ROUND((ROUND(((AE100-((EU100*1.2)))*AV100*1),2)*BS100),2)*AT100)/100),2))</f>
        <v>2245.16</v>
      </c>
      <c r="CZ100" s="3">
        <f>(ROUND((((S100+ROUND((ROUND((((EU100*1.2))*AV100*1),2)*BS100),2))*AU100)/100),2)+ROUND(((ROUND((ROUND(((AE100-((EU100*1.2)))*AV100*1),2)*BS100),2)*AU100)/100),2))</f>
        <v>1147.53</v>
      </c>
      <c r="DB100" s="3">
        <v>52</v>
      </c>
      <c r="DC100" s="3" t="s">
        <v>3</v>
      </c>
      <c r="DD100" s="3" t="s">
        <v>70</v>
      </c>
      <c r="DE100" s="3" t="s">
        <v>71</v>
      </c>
      <c r="DF100" s="3" t="s">
        <v>71</v>
      </c>
      <c r="DG100" s="3" t="s">
        <v>71</v>
      </c>
      <c r="DH100" s="3" t="s">
        <v>3</v>
      </c>
      <c r="DI100" s="3" t="s">
        <v>71</v>
      </c>
      <c r="DJ100" s="3" t="s">
        <v>71</v>
      </c>
      <c r="DK100" s="3" t="s">
        <v>3</v>
      </c>
      <c r="DL100" s="3" t="s">
        <v>3</v>
      </c>
      <c r="DM100" s="3" t="s">
        <v>3</v>
      </c>
      <c r="DN100" s="3">
        <v>0</v>
      </c>
      <c r="DO100" s="3">
        <v>0</v>
      </c>
      <c r="DP100" s="3">
        <v>1</v>
      </c>
      <c r="DQ100" s="3">
        <v>1</v>
      </c>
      <c r="DU100" s="3">
        <v>1013</v>
      </c>
      <c r="DV100" s="3" t="s">
        <v>27</v>
      </c>
      <c r="DW100" s="3" t="s">
        <v>27</v>
      </c>
      <c r="DX100" s="3">
        <v>1</v>
      </c>
      <c r="DZ100" s="3" t="s">
        <v>3</v>
      </c>
      <c r="EA100" s="3" t="s">
        <v>3</v>
      </c>
      <c r="EB100" s="3" t="s">
        <v>3</v>
      </c>
      <c r="EC100" s="3" t="s">
        <v>3</v>
      </c>
      <c r="EE100" s="3">
        <v>57042962</v>
      </c>
      <c r="EF100" s="3">
        <v>40</v>
      </c>
      <c r="EG100" s="3" t="s">
        <v>31</v>
      </c>
      <c r="EH100" s="3">
        <v>0</v>
      </c>
      <c r="EI100" s="3" t="s">
        <v>3</v>
      </c>
      <c r="EJ100" s="3">
        <v>2</v>
      </c>
      <c r="EK100" s="3">
        <v>72</v>
      </c>
      <c r="EL100" s="3" t="s">
        <v>166</v>
      </c>
      <c r="EM100" s="3" t="s">
        <v>167</v>
      </c>
      <c r="EO100" s="3" t="s">
        <v>75</v>
      </c>
      <c r="EQ100" s="3">
        <v>1024</v>
      </c>
      <c r="ER100" s="3">
        <v>36.86</v>
      </c>
      <c r="ES100" s="3">
        <v>0</v>
      </c>
      <c r="ET100" s="3">
        <v>1.91</v>
      </c>
      <c r="EU100" s="3">
        <v>0.28999999999999998</v>
      </c>
      <c r="EV100" s="3">
        <v>34.950000000000003</v>
      </c>
      <c r="EW100" s="3">
        <v>3.09</v>
      </c>
      <c r="EX100" s="3">
        <v>0</v>
      </c>
      <c r="EY100" s="3">
        <v>0</v>
      </c>
      <c r="FQ100" s="3">
        <v>0</v>
      </c>
      <c r="FR100" s="3">
        <v>0</v>
      </c>
      <c r="FS100" s="3">
        <v>0</v>
      </c>
      <c r="FX100" s="3">
        <v>90</v>
      </c>
      <c r="FY100" s="3">
        <v>46</v>
      </c>
      <c r="GA100" s="3" t="s">
        <v>3</v>
      </c>
      <c r="GD100" s="3">
        <v>1</v>
      </c>
      <c r="GF100" s="3">
        <v>1451808283</v>
      </c>
      <c r="GG100" s="3">
        <v>2</v>
      </c>
      <c r="GH100" s="3">
        <v>1</v>
      </c>
      <c r="GI100" s="3">
        <v>2</v>
      </c>
      <c r="GJ100" s="3">
        <v>0</v>
      </c>
      <c r="GK100" s="3">
        <v>0</v>
      </c>
      <c r="GL100" s="3">
        <f t="shared" si="88"/>
        <v>0</v>
      </c>
      <c r="GM100" s="3">
        <f t="shared" si="89"/>
        <v>5908.01</v>
      </c>
      <c r="GN100" s="3">
        <f t="shared" si="90"/>
        <v>0</v>
      </c>
      <c r="GO100" s="3">
        <f t="shared" si="91"/>
        <v>5908.01</v>
      </c>
      <c r="GP100" s="3">
        <f t="shared" si="92"/>
        <v>0</v>
      </c>
      <c r="GR100" s="3">
        <v>0</v>
      </c>
      <c r="GS100" s="3">
        <v>3</v>
      </c>
      <c r="GT100" s="3">
        <v>0</v>
      </c>
      <c r="GU100" s="3" t="s">
        <v>3</v>
      </c>
      <c r="GV100" s="3">
        <f t="shared" si="93"/>
        <v>0</v>
      </c>
      <c r="GW100" s="3">
        <v>1</v>
      </c>
      <c r="GX100" s="3">
        <f t="shared" si="94"/>
        <v>0</v>
      </c>
      <c r="HA100" s="3">
        <v>0</v>
      </c>
      <c r="HB100" s="3">
        <v>0</v>
      </c>
      <c r="HC100" s="3">
        <f t="shared" si="95"/>
        <v>0</v>
      </c>
      <c r="HE100" s="3" t="s">
        <v>3</v>
      </c>
      <c r="HF100" s="3" t="s">
        <v>3</v>
      </c>
      <c r="HM100" s="3" t="s">
        <v>3</v>
      </c>
      <c r="HN100" s="3" t="s">
        <v>3</v>
      </c>
      <c r="HO100" s="3" t="s">
        <v>3</v>
      </c>
      <c r="HP100" s="3" t="s">
        <v>3</v>
      </c>
      <c r="HQ100" s="3" t="s">
        <v>3</v>
      </c>
      <c r="HS100" s="3">
        <v>0</v>
      </c>
      <c r="IK100" s="3">
        <v>0</v>
      </c>
    </row>
    <row r="101" spans="1:255" x14ac:dyDescent="0.25">
      <c r="A101" s="2">
        <v>17</v>
      </c>
      <c r="B101" s="2">
        <v>1</v>
      </c>
      <c r="C101" s="2">
        <f>ROW(SmtRes!A113)</f>
        <v>113</v>
      </c>
      <c r="D101" s="2">
        <f>ROW(EtalonRes!A145)</f>
        <v>145</v>
      </c>
      <c r="E101" s="2" t="s">
        <v>3</v>
      </c>
      <c r="F101" s="2" t="s">
        <v>177</v>
      </c>
      <c r="G101" s="2" t="s">
        <v>178</v>
      </c>
      <c r="H101" s="2" t="s">
        <v>27</v>
      </c>
      <c r="I101" s="2">
        <v>1</v>
      </c>
      <c r="J101" s="2">
        <v>0</v>
      </c>
      <c r="K101" s="2">
        <v>1</v>
      </c>
      <c r="L101" s="2"/>
      <c r="M101" s="2"/>
      <c r="N101" s="2"/>
      <c r="O101" s="2">
        <f t="shared" si="71"/>
        <v>132.02000000000001</v>
      </c>
      <c r="P101" s="2">
        <f t="shared" si="72"/>
        <v>12.53</v>
      </c>
      <c r="Q101" s="2">
        <f>(ROUND((ROUND((((ET101*1.2))*AV101*I101),2)*BB101),2)+ROUND((ROUND(((AE101-((EU101*1.2)))*AV101*I101),2)*BS101),2))</f>
        <v>0.08</v>
      </c>
      <c r="R101" s="2">
        <f>(ROUND((ROUND((((EU101*1.2))*AV101*I101),2)*BS101),2)+ROUND((ROUND(((AE101-((EU101*1.2)))*AV101*I101),2)*BS101),2))</f>
        <v>0.01</v>
      </c>
      <c r="S101" s="2">
        <f t="shared" si="73"/>
        <v>119.41</v>
      </c>
      <c r="T101" s="2">
        <f t="shared" si="74"/>
        <v>0</v>
      </c>
      <c r="U101" s="2">
        <f t="shared" si="75"/>
        <v>9.0460799999999999</v>
      </c>
      <c r="V101" s="2">
        <f t="shared" si="76"/>
        <v>0</v>
      </c>
      <c r="W101" s="2">
        <f t="shared" si="77"/>
        <v>0</v>
      </c>
      <c r="X101" s="2">
        <f>(ROUND((((S101+ROUND((ROUND((((EU101*1.2))*AV101*I101),2)*BS101),2))*AT101)/100),2)+ROUND(((ROUND((ROUND(((AE101-((EU101*1.2)))*AV101*I101),2)*BS101),2)*AT101)/100),2))</f>
        <v>107.48</v>
      </c>
      <c r="Y101" s="2">
        <f>(ROUND((((S101+ROUND((ROUND((((EU101*1.2))*AV101*I101),2)*BS101),2))*AU101)/100),2)+ROUND(((ROUND((ROUND(((AE101-((EU101*1.2)))*AV101*I101),2)*BS101),2)*AU101)/100),2))</f>
        <v>54.93</v>
      </c>
      <c r="Z101" s="2"/>
      <c r="AA101" s="2">
        <v>-1</v>
      </c>
      <c r="AB101" s="2">
        <f t="shared" si="78"/>
        <v>126.65</v>
      </c>
      <c r="AC101" s="2">
        <f>ROUND(((ES101*1)),6)</f>
        <v>12.53</v>
      </c>
      <c r="AD101" s="2">
        <f>ROUND(((((ET101*1.2))-((EU101*1.2)))+AE101),6)</f>
        <v>7.1999999999999995E-2</v>
      </c>
      <c r="AE101" s="2">
        <f t="shared" si="100"/>
        <v>1.2E-2</v>
      </c>
      <c r="AF101" s="2">
        <f t="shared" si="100"/>
        <v>114.048</v>
      </c>
      <c r="AG101" s="2">
        <f t="shared" si="79"/>
        <v>0</v>
      </c>
      <c r="AH101" s="2">
        <f t="shared" si="101"/>
        <v>8.64</v>
      </c>
      <c r="AI101" s="2">
        <f t="shared" si="101"/>
        <v>0</v>
      </c>
      <c r="AJ101" s="2">
        <f t="shared" si="80"/>
        <v>0</v>
      </c>
      <c r="AK101" s="2">
        <v>107.63</v>
      </c>
      <c r="AL101" s="2">
        <v>12.53</v>
      </c>
      <c r="AM101" s="2">
        <v>0.06</v>
      </c>
      <c r="AN101" s="2">
        <v>0.01</v>
      </c>
      <c r="AO101" s="2">
        <v>95.04</v>
      </c>
      <c r="AP101" s="2">
        <v>0</v>
      </c>
      <c r="AQ101" s="2">
        <v>7.2</v>
      </c>
      <c r="AR101" s="2">
        <v>0</v>
      </c>
      <c r="AS101" s="2">
        <v>0</v>
      </c>
      <c r="AT101" s="2">
        <v>90</v>
      </c>
      <c r="AU101" s="2">
        <v>46</v>
      </c>
      <c r="AV101" s="2">
        <v>1.0469999999999999</v>
      </c>
      <c r="AW101" s="2">
        <v>1</v>
      </c>
      <c r="AX101" s="2"/>
      <c r="AY101" s="2"/>
      <c r="AZ101" s="2">
        <v>1</v>
      </c>
      <c r="BA101" s="2">
        <v>1</v>
      </c>
      <c r="BB101" s="2">
        <v>1</v>
      </c>
      <c r="BC101" s="2">
        <v>1</v>
      </c>
      <c r="BD101" s="2" t="s">
        <v>3</v>
      </c>
      <c r="BE101" s="2" t="s">
        <v>3</v>
      </c>
      <c r="BF101" s="2" t="s">
        <v>3</v>
      </c>
      <c r="BG101" s="2" t="s">
        <v>3</v>
      </c>
      <c r="BH101" s="2">
        <v>0</v>
      </c>
      <c r="BI101" s="2">
        <v>2</v>
      </c>
      <c r="BJ101" s="2" t="s">
        <v>179</v>
      </c>
      <c r="BK101" s="2"/>
      <c r="BL101" s="2"/>
      <c r="BM101" s="2">
        <v>68</v>
      </c>
      <c r="BN101" s="2">
        <v>0</v>
      </c>
      <c r="BO101" s="2" t="s">
        <v>177</v>
      </c>
      <c r="BP101" s="2">
        <v>1</v>
      </c>
      <c r="BQ101" s="2">
        <v>40</v>
      </c>
      <c r="BR101" s="2">
        <v>0</v>
      </c>
      <c r="BS101" s="2">
        <v>1</v>
      </c>
      <c r="BT101" s="2">
        <v>1</v>
      </c>
      <c r="BU101" s="2">
        <v>1</v>
      </c>
      <c r="BV101" s="2">
        <v>1</v>
      </c>
      <c r="BW101" s="2">
        <v>1</v>
      </c>
      <c r="BX101" s="2">
        <v>1</v>
      </c>
      <c r="BY101" s="2" t="s">
        <v>3</v>
      </c>
      <c r="BZ101" s="2">
        <v>90</v>
      </c>
      <c r="CA101" s="2">
        <v>46</v>
      </c>
      <c r="CB101" s="2" t="s">
        <v>3</v>
      </c>
      <c r="CC101" s="2"/>
      <c r="CD101" s="2"/>
      <c r="CE101" s="2">
        <v>1566</v>
      </c>
      <c r="CF101" s="2">
        <v>0</v>
      </c>
      <c r="CG101" s="2">
        <v>0</v>
      </c>
      <c r="CH101" s="2"/>
      <c r="CI101" s="2"/>
      <c r="CJ101" s="2"/>
      <c r="CK101" s="2"/>
      <c r="CL101" s="2"/>
      <c r="CM101" s="2">
        <v>0</v>
      </c>
      <c r="CN101" s="2" t="s">
        <v>624</v>
      </c>
      <c r="CO101" s="2">
        <v>0</v>
      </c>
      <c r="CP101" s="2">
        <f t="shared" si="81"/>
        <v>132.01999999999998</v>
      </c>
      <c r="CQ101" s="2">
        <f t="shared" si="82"/>
        <v>12.53</v>
      </c>
      <c r="CR101" s="2">
        <f>(ROUND((ROUND((((ET101*1.2))*AV101*1),2)*BB101),2)+ROUND((ROUND(((AE101-((EU101*1.2)))*AV101*1),2)*BS101),2))</f>
        <v>0.08</v>
      </c>
      <c r="CS101" s="2">
        <f>(ROUND((ROUND((((EU101*1.2))*AV101*1),2)*BS101),2)+ROUND((ROUND(((AE101-((EU101*1.2)))*AV101*1),2)*BS101),2))</f>
        <v>0.01</v>
      </c>
      <c r="CT101" s="2">
        <f t="shared" si="83"/>
        <v>119.41</v>
      </c>
      <c r="CU101" s="2">
        <f t="shared" si="84"/>
        <v>0</v>
      </c>
      <c r="CV101" s="2">
        <f t="shared" si="85"/>
        <v>9.0460799999999999</v>
      </c>
      <c r="CW101" s="2">
        <f t="shared" si="86"/>
        <v>0</v>
      </c>
      <c r="CX101" s="2">
        <f t="shared" si="87"/>
        <v>0</v>
      </c>
      <c r="CY101" s="2">
        <f>(ROUND((((S101+ROUND((ROUND((((EU101*1.2))*AV101*1),2)*BS101),2))*AT101)/100),2)+ROUND(((ROUND((ROUND(((AE101-((EU101*1.2)))*AV101*1),2)*BS101),2)*AT101)/100),2))</f>
        <v>107.48</v>
      </c>
      <c r="CZ101" s="2">
        <f>(ROUND((((S101+ROUND((ROUND((((EU101*1.2))*AV101*1),2)*BS101),2))*AU101)/100),2)+ROUND(((ROUND((ROUND(((AE101-((EU101*1.2)))*AV101*1),2)*BS101),2)*AU101)/100),2))</f>
        <v>54.93</v>
      </c>
      <c r="DA101" s="2"/>
      <c r="DB101" s="2">
        <v>53</v>
      </c>
      <c r="DC101" s="2" t="s">
        <v>3</v>
      </c>
      <c r="DD101" s="2" t="s">
        <v>70</v>
      </c>
      <c r="DE101" s="2" t="s">
        <v>71</v>
      </c>
      <c r="DF101" s="2" t="s">
        <v>71</v>
      </c>
      <c r="DG101" s="2" t="s">
        <v>71</v>
      </c>
      <c r="DH101" s="2" t="s">
        <v>3</v>
      </c>
      <c r="DI101" s="2" t="s">
        <v>71</v>
      </c>
      <c r="DJ101" s="2" t="s">
        <v>71</v>
      </c>
      <c r="DK101" s="2" t="s">
        <v>3</v>
      </c>
      <c r="DL101" s="2" t="s">
        <v>3</v>
      </c>
      <c r="DM101" s="2" t="s">
        <v>3</v>
      </c>
      <c r="DN101" s="2">
        <v>0</v>
      </c>
      <c r="DO101" s="2">
        <v>0</v>
      </c>
      <c r="DP101" s="2">
        <v>1</v>
      </c>
      <c r="DQ101" s="2">
        <v>1</v>
      </c>
      <c r="DR101" s="2"/>
      <c r="DS101" s="2"/>
      <c r="DT101" s="2"/>
      <c r="DU101" s="2">
        <v>1013</v>
      </c>
      <c r="DV101" s="2" t="s">
        <v>27</v>
      </c>
      <c r="DW101" s="2" t="s">
        <v>27</v>
      </c>
      <c r="DX101" s="2">
        <v>1</v>
      </c>
      <c r="DY101" s="2"/>
      <c r="DZ101" s="2" t="s">
        <v>3</v>
      </c>
      <c r="EA101" s="2" t="s">
        <v>3</v>
      </c>
      <c r="EB101" s="2" t="s">
        <v>3</v>
      </c>
      <c r="EC101" s="2" t="s">
        <v>3</v>
      </c>
      <c r="ED101" s="2"/>
      <c r="EE101" s="2">
        <v>57042958</v>
      </c>
      <c r="EF101" s="2">
        <v>40</v>
      </c>
      <c r="EG101" s="2" t="s">
        <v>31</v>
      </c>
      <c r="EH101" s="2">
        <v>0</v>
      </c>
      <c r="EI101" s="2" t="s">
        <v>3</v>
      </c>
      <c r="EJ101" s="2">
        <v>2</v>
      </c>
      <c r="EK101" s="2">
        <v>68</v>
      </c>
      <c r="EL101" s="2" t="s">
        <v>32</v>
      </c>
      <c r="EM101" s="2" t="s">
        <v>33</v>
      </c>
      <c r="EN101" s="2"/>
      <c r="EO101" s="2" t="s">
        <v>75</v>
      </c>
      <c r="EP101" s="2"/>
      <c r="EQ101" s="2">
        <v>1024</v>
      </c>
      <c r="ER101" s="2">
        <v>107.63</v>
      </c>
      <c r="ES101" s="2">
        <v>12.53</v>
      </c>
      <c r="ET101" s="2">
        <v>0.06</v>
      </c>
      <c r="EU101" s="2">
        <v>0.01</v>
      </c>
      <c r="EV101" s="2">
        <v>95.04</v>
      </c>
      <c r="EW101" s="2">
        <v>7.2</v>
      </c>
      <c r="EX101" s="2">
        <v>0</v>
      </c>
      <c r="EY101" s="2">
        <v>0</v>
      </c>
      <c r="EZ101" s="2"/>
      <c r="FA101" s="2"/>
      <c r="FB101" s="2"/>
      <c r="FC101" s="2"/>
      <c r="FD101" s="2"/>
      <c r="FE101" s="2"/>
      <c r="FF101" s="2"/>
      <c r="FG101" s="2"/>
      <c r="FH101" s="2"/>
      <c r="FI101" s="2"/>
      <c r="FJ101" s="2"/>
      <c r="FK101" s="2"/>
      <c r="FL101" s="2"/>
      <c r="FM101" s="2"/>
      <c r="FN101" s="2"/>
      <c r="FO101" s="2"/>
      <c r="FP101" s="2"/>
      <c r="FQ101" s="2">
        <v>0</v>
      </c>
      <c r="FR101" s="2">
        <v>0</v>
      </c>
      <c r="FS101" s="2">
        <v>0</v>
      </c>
      <c r="FT101" s="2"/>
      <c r="FU101" s="2"/>
      <c r="FV101" s="2"/>
      <c r="FW101" s="2"/>
      <c r="FX101" s="2">
        <v>90</v>
      </c>
      <c r="FY101" s="2">
        <v>46</v>
      </c>
      <c r="FZ101" s="2"/>
      <c r="GA101" s="2" t="s">
        <v>3</v>
      </c>
      <c r="GB101" s="2"/>
      <c r="GC101" s="2"/>
      <c r="GD101" s="2">
        <v>1</v>
      </c>
      <c r="GE101" s="2"/>
      <c r="GF101" s="2">
        <v>-488197810</v>
      </c>
      <c r="GG101" s="2">
        <v>2</v>
      </c>
      <c r="GH101" s="2">
        <v>1</v>
      </c>
      <c r="GI101" s="2">
        <v>2</v>
      </c>
      <c r="GJ101" s="2">
        <v>0</v>
      </c>
      <c r="GK101" s="2">
        <v>0</v>
      </c>
      <c r="GL101" s="2">
        <f t="shared" si="88"/>
        <v>0</v>
      </c>
      <c r="GM101" s="2">
        <f t="shared" si="89"/>
        <v>294.43</v>
      </c>
      <c r="GN101" s="2">
        <f t="shared" si="90"/>
        <v>0</v>
      </c>
      <c r="GO101" s="2">
        <f t="shared" si="91"/>
        <v>294.43</v>
      </c>
      <c r="GP101" s="2">
        <f t="shared" si="92"/>
        <v>0</v>
      </c>
      <c r="GQ101" s="2"/>
      <c r="GR101" s="2">
        <v>0</v>
      </c>
      <c r="GS101" s="2">
        <v>3</v>
      </c>
      <c r="GT101" s="2">
        <v>0</v>
      </c>
      <c r="GU101" s="2" t="s">
        <v>3</v>
      </c>
      <c r="GV101" s="2">
        <f t="shared" si="93"/>
        <v>0</v>
      </c>
      <c r="GW101" s="2">
        <v>1</v>
      </c>
      <c r="GX101" s="2">
        <f t="shared" si="94"/>
        <v>0</v>
      </c>
      <c r="GY101" s="2"/>
      <c r="GZ101" s="2"/>
      <c r="HA101" s="2">
        <v>0</v>
      </c>
      <c r="HB101" s="2">
        <v>0</v>
      </c>
      <c r="HC101" s="2">
        <f t="shared" si="95"/>
        <v>0</v>
      </c>
      <c r="HD101" s="2"/>
      <c r="HE101" s="2" t="s">
        <v>3</v>
      </c>
      <c r="HF101" s="2" t="s">
        <v>3</v>
      </c>
      <c r="HG101" s="2"/>
      <c r="HH101" s="2"/>
      <c r="HI101" s="2"/>
      <c r="HJ101" s="2"/>
      <c r="HK101" s="2"/>
      <c r="HL101" s="2"/>
      <c r="HM101" s="2" t="s">
        <v>3</v>
      </c>
      <c r="HN101" s="2" t="s">
        <v>3</v>
      </c>
      <c r="HO101" s="2" t="s">
        <v>3</v>
      </c>
      <c r="HP101" s="2" t="s">
        <v>3</v>
      </c>
      <c r="HQ101" s="2" t="s">
        <v>3</v>
      </c>
      <c r="HR101" s="2"/>
      <c r="HS101" s="2">
        <v>0</v>
      </c>
      <c r="HT101" s="2"/>
      <c r="HU101" s="2"/>
      <c r="HV101" s="2"/>
      <c r="HW101" s="2"/>
      <c r="HX101" s="2"/>
      <c r="HY101" s="2"/>
      <c r="HZ101" s="2"/>
      <c r="IA101" s="2"/>
      <c r="IB101" s="2"/>
      <c r="IC101" s="2"/>
      <c r="ID101" s="2"/>
      <c r="IE101" s="2"/>
      <c r="IF101" s="2"/>
      <c r="IG101" s="2"/>
      <c r="IH101" s="2"/>
      <c r="II101" s="2"/>
      <c r="IJ101" s="2"/>
      <c r="IK101" s="2">
        <v>0</v>
      </c>
      <c r="IL101" s="2"/>
      <c r="IM101" s="2"/>
      <c r="IN101" s="2"/>
      <c r="IO101" s="2"/>
      <c r="IP101" s="2"/>
      <c r="IQ101" s="2"/>
      <c r="IR101" s="2"/>
      <c r="IS101" s="2"/>
      <c r="IT101" s="2"/>
      <c r="IU101" s="2"/>
    </row>
    <row r="102" spans="1:255" x14ac:dyDescent="0.25">
      <c r="A102" s="3">
        <v>17</v>
      </c>
      <c r="B102" s="3">
        <v>1</v>
      </c>
      <c r="C102" s="3">
        <f>ROW(SmtRes!A114)</f>
        <v>114</v>
      </c>
      <c r="D102" s="3">
        <f>ROW(EtalonRes!A146)</f>
        <v>146</v>
      </c>
      <c r="E102" s="3" t="s">
        <v>3</v>
      </c>
      <c r="F102" s="3" t="s">
        <v>177</v>
      </c>
      <c r="G102" s="3" t="s">
        <v>178</v>
      </c>
      <c r="H102" s="3" t="s">
        <v>27</v>
      </c>
      <c r="I102" s="3">
        <v>1</v>
      </c>
      <c r="J102" s="3">
        <v>0</v>
      </c>
      <c r="K102" s="3">
        <v>1</v>
      </c>
      <c r="O102" s="3">
        <f t="shared" si="71"/>
        <v>6853.53</v>
      </c>
      <c r="P102" s="3">
        <f t="shared" si="72"/>
        <v>123.3</v>
      </c>
      <c r="Q102" s="3">
        <f>(ROUND((ROUND((((ET102*1.2))*AV102*I102),2)*BB102),2)+ROUND((ROUND(((AE102-((EU102*1.2)))*AV102*I102),2)*BS102),2))</f>
        <v>1.48</v>
      </c>
      <c r="R102" s="3">
        <f>(ROUND((ROUND((((EU102*1.2))*AV102*I102),2)*BS102),2)+ROUND((ROUND(((AE102-((EU102*1.2)))*AV102*I102),2)*BS102),2))</f>
        <v>0.56000000000000005</v>
      </c>
      <c r="S102" s="3">
        <f t="shared" si="73"/>
        <v>6728.75</v>
      </c>
      <c r="T102" s="3">
        <f t="shared" si="74"/>
        <v>0</v>
      </c>
      <c r="U102" s="3">
        <f t="shared" si="75"/>
        <v>9.0460799999999999</v>
      </c>
      <c r="V102" s="3">
        <f t="shared" si="76"/>
        <v>0</v>
      </c>
      <c r="W102" s="3">
        <f t="shared" si="77"/>
        <v>0</v>
      </c>
      <c r="X102" s="3">
        <f>(ROUND((((S102+ROUND((ROUND((((EU102*1.2))*AV102*I102),2)*BS102),2))*AT102)/100),2)+ROUND(((ROUND((ROUND(((AE102-((EU102*1.2)))*AV102*I102),2)*BS102),2)*AT102)/100),2))</f>
        <v>6056.38</v>
      </c>
      <c r="Y102" s="3">
        <f>(ROUND((((S102+ROUND((ROUND((((EU102*1.2))*AV102*I102),2)*BS102),2))*AU102)/100),2)+ROUND(((ROUND((ROUND(((AE102-((EU102*1.2)))*AV102*I102),2)*BS102),2)*AU102)/100),2))</f>
        <v>3095.48</v>
      </c>
      <c r="AA102" s="3">
        <v>-1</v>
      </c>
      <c r="AB102" s="3">
        <f t="shared" si="78"/>
        <v>126.65</v>
      </c>
      <c r="AC102" s="3">
        <f>ROUND(((ES102*1)),6)</f>
        <v>12.53</v>
      </c>
      <c r="AD102" s="3">
        <f>ROUND(((((ET102*1.2))-((EU102*1.2)))+AE102),6)</f>
        <v>7.1999999999999995E-2</v>
      </c>
      <c r="AE102" s="3">
        <f t="shared" si="100"/>
        <v>1.2E-2</v>
      </c>
      <c r="AF102" s="3">
        <f t="shared" si="100"/>
        <v>114.048</v>
      </c>
      <c r="AG102" s="3">
        <f t="shared" si="79"/>
        <v>0</v>
      </c>
      <c r="AH102" s="3">
        <f t="shared" si="101"/>
        <v>8.64</v>
      </c>
      <c r="AI102" s="3">
        <f t="shared" si="101"/>
        <v>0</v>
      </c>
      <c r="AJ102" s="3">
        <f t="shared" si="80"/>
        <v>0</v>
      </c>
      <c r="AK102" s="3">
        <v>107.63</v>
      </c>
      <c r="AL102" s="3">
        <v>12.53</v>
      </c>
      <c r="AM102" s="3">
        <v>0.06</v>
      </c>
      <c r="AN102" s="3">
        <v>0.01</v>
      </c>
      <c r="AO102" s="3">
        <v>95.04</v>
      </c>
      <c r="AP102" s="3">
        <v>0</v>
      </c>
      <c r="AQ102" s="3">
        <v>7.2</v>
      </c>
      <c r="AR102" s="3">
        <v>0</v>
      </c>
      <c r="AS102" s="3">
        <v>0</v>
      </c>
      <c r="AT102" s="3">
        <v>90</v>
      </c>
      <c r="AU102" s="3">
        <v>46</v>
      </c>
      <c r="AV102" s="3">
        <v>1.0469999999999999</v>
      </c>
      <c r="AW102" s="3">
        <v>1</v>
      </c>
      <c r="AZ102" s="3">
        <v>1</v>
      </c>
      <c r="BA102" s="3">
        <v>56.35</v>
      </c>
      <c r="BB102" s="3">
        <v>18.5</v>
      </c>
      <c r="BC102" s="3">
        <v>9.84</v>
      </c>
      <c r="BD102" s="3" t="s">
        <v>3</v>
      </c>
      <c r="BE102" s="3" t="s">
        <v>3</v>
      </c>
      <c r="BF102" s="3" t="s">
        <v>3</v>
      </c>
      <c r="BG102" s="3" t="s">
        <v>3</v>
      </c>
      <c r="BH102" s="3">
        <v>0</v>
      </c>
      <c r="BI102" s="3">
        <v>2</v>
      </c>
      <c r="BJ102" s="3" t="s">
        <v>179</v>
      </c>
      <c r="BM102" s="3">
        <v>68</v>
      </c>
      <c r="BN102" s="3">
        <v>0</v>
      </c>
      <c r="BO102" s="3" t="s">
        <v>177</v>
      </c>
      <c r="BP102" s="3">
        <v>1</v>
      </c>
      <c r="BQ102" s="3">
        <v>40</v>
      </c>
      <c r="BR102" s="3">
        <v>0</v>
      </c>
      <c r="BS102" s="3">
        <v>56.35</v>
      </c>
      <c r="BT102" s="3">
        <v>1</v>
      </c>
      <c r="BU102" s="3">
        <v>1</v>
      </c>
      <c r="BV102" s="3">
        <v>1</v>
      </c>
      <c r="BW102" s="3">
        <v>1</v>
      </c>
      <c r="BX102" s="3">
        <v>1</v>
      </c>
      <c r="BY102" s="3" t="s">
        <v>3</v>
      </c>
      <c r="BZ102" s="3">
        <v>90</v>
      </c>
      <c r="CA102" s="3">
        <v>46</v>
      </c>
      <c r="CB102" s="3" t="s">
        <v>3</v>
      </c>
      <c r="CE102" s="3">
        <v>1566</v>
      </c>
      <c r="CF102" s="3">
        <v>0</v>
      </c>
      <c r="CG102" s="3">
        <v>0</v>
      </c>
      <c r="CM102" s="3">
        <v>0</v>
      </c>
      <c r="CN102" s="3" t="s">
        <v>624</v>
      </c>
      <c r="CO102" s="3">
        <v>0</v>
      </c>
      <c r="CP102" s="3">
        <f t="shared" si="81"/>
        <v>6853.53</v>
      </c>
      <c r="CQ102" s="3">
        <f t="shared" si="82"/>
        <v>123.3</v>
      </c>
      <c r="CR102" s="3">
        <f>(ROUND((ROUND((((ET102*1.2))*AV102*1),2)*BB102),2)+ROUND((ROUND(((AE102-((EU102*1.2)))*AV102*1),2)*BS102),2))</f>
        <v>1.48</v>
      </c>
      <c r="CS102" s="3">
        <f>(ROUND((ROUND((((EU102*1.2))*AV102*1),2)*BS102),2)+ROUND((ROUND(((AE102-((EU102*1.2)))*AV102*1),2)*BS102),2))</f>
        <v>0.56000000000000005</v>
      </c>
      <c r="CT102" s="3">
        <f t="shared" si="83"/>
        <v>6728.75</v>
      </c>
      <c r="CU102" s="3">
        <f t="shared" si="84"/>
        <v>0</v>
      </c>
      <c r="CV102" s="3">
        <f t="shared" si="85"/>
        <v>9.0460799999999999</v>
      </c>
      <c r="CW102" s="3">
        <f t="shared" si="86"/>
        <v>0</v>
      </c>
      <c r="CX102" s="3">
        <f t="shared" si="87"/>
        <v>0</v>
      </c>
      <c r="CY102" s="3">
        <f>(ROUND((((S102+ROUND((ROUND((((EU102*1.2))*AV102*1),2)*BS102),2))*AT102)/100),2)+ROUND(((ROUND((ROUND(((AE102-((EU102*1.2)))*AV102*1),2)*BS102),2)*AT102)/100),2))</f>
        <v>6056.38</v>
      </c>
      <c r="CZ102" s="3">
        <f>(ROUND((((S102+ROUND((ROUND((((EU102*1.2))*AV102*1),2)*BS102),2))*AU102)/100),2)+ROUND(((ROUND((ROUND(((AE102-((EU102*1.2)))*AV102*1),2)*BS102),2)*AU102)/100),2))</f>
        <v>3095.48</v>
      </c>
      <c r="DB102" s="3">
        <v>54</v>
      </c>
      <c r="DC102" s="3" t="s">
        <v>3</v>
      </c>
      <c r="DD102" s="3" t="s">
        <v>70</v>
      </c>
      <c r="DE102" s="3" t="s">
        <v>71</v>
      </c>
      <c r="DF102" s="3" t="s">
        <v>71</v>
      </c>
      <c r="DG102" s="3" t="s">
        <v>71</v>
      </c>
      <c r="DH102" s="3" t="s">
        <v>3</v>
      </c>
      <c r="DI102" s="3" t="s">
        <v>71</v>
      </c>
      <c r="DJ102" s="3" t="s">
        <v>71</v>
      </c>
      <c r="DK102" s="3" t="s">
        <v>3</v>
      </c>
      <c r="DL102" s="3" t="s">
        <v>3</v>
      </c>
      <c r="DM102" s="3" t="s">
        <v>3</v>
      </c>
      <c r="DN102" s="3">
        <v>0</v>
      </c>
      <c r="DO102" s="3">
        <v>0</v>
      </c>
      <c r="DP102" s="3">
        <v>1</v>
      </c>
      <c r="DQ102" s="3">
        <v>1</v>
      </c>
      <c r="DU102" s="3">
        <v>1013</v>
      </c>
      <c r="DV102" s="3" t="s">
        <v>27</v>
      </c>
      <c r="DW102" s="3" t="s">
        <v>27</v>
      </c>
      <c r="DX102" s="3">
        <v>1</v>
      </c>
      <c r="DZ102" s="3" t="s">
        <v>3</v>
      </c>
      <c r="EA102" s="3" t="s">
        <v>3</v>
      </c>
      <c r="EB102" s="3" t="s">
        <v>3</v>
      </c>
      <c r="EC102" s="3" t="s">
        <v>3</v>
      </c>
      <c r="EE102" s="3">
        <v>57042958</v>
      </c>
      <c r="EF102" s="3">
        <v>40</v>
      </c>
      <c r="EG102" s="3" t="s">
        <v>31</v>
      </c>
      <c r="EH102" s="3">
        <v>0</v>
      </c>
      <c r="EI102" s="3" t="s">
        <v>3</v>
      </c>
      <c r="EJ102" s="3">
        <v>2</v>
      </c>
      <c r="EK102" s="3">
        <v>68</v>
      </c>
      <c r="EL102" s="3" t="s">
        <v>32</v>
      </c>
      <c r="EM102" s="3" t="s">
        <v>33</v>
      </c>
      <c r="EO102" s="3" t="s">
        <v>75</v>
      </c>
      <c r="EQ102" s="3">
        <v>1024</v>
      </c>
      <c r="ER102" s="3">
        <v>107.63</v>
      </c>
      <c r="ES102" s="3">
        <v>12.53</v>
      </c>
      <c r="ET102" s="3">
        <v>0.06</v>
      </c>
      <c r="EU102" s="3">
        <v>0.01</v>
      </c>
      <c r="EV102" s="3">
        <v>95.04</v>
      </c>
      <c r="EW102" s="3">
        <v>7.2</v>
      </c>
      <c r="EX102" s="3">
        <v>0</v>
      </c>
      <c r="EY102" s="3">
        <v>0</v>
      </c>
      <c r="FQ102" s="3">
        <v>0</v>
      </c>
      <c r="FR102" s="3">
        <v>0</v>
      </c>
      <c r="FS102" s="3">
        <v>0</v>
      </c>
      <c r="FX102" s="3">
        <v>90</v>
      </c>
      <c r="FY102" s="3">
        <v>46</v>
      </c>
      <c r="GA102" s="3" t="s">
        <v>3</v>
      </c>
      <c r="GD102" s="3">
        <v>1</v>
      </c>
      <c r="GF102" s="3">
        <v>-488197810</v>
      </c>
      <c r="GG102" s="3">
        <v>2</v>
      </c>
      <c r="GH102" s="3">
        <v>1</v>
      </c>
      <c r="GI102" s="3">
        <v>2</v>
      </c>
      <c r="GJ102" s="3">
        <v>0</v>
      </c>
      <c r="GK102" s="3">
        <v>0</v>
      </c>
      <c r="GL102" s="3">
        <f t="shared" si="88"/>
        <v>0</v>
      </c>
      <c r="GM102" s="3">
        <f t="shared" si="89"/>
        <v>16005.39</v>
      </c>
      <c r="GN102" s="3">
        <f t="shared" si="90"/>
        <v>0</v>
      </c>
      <c r="GO102" s="3">
        <f t="shared" si="91"/>
        <v>16005.39</v>
      </c>
      <c r="GP102" s="3">
        <f t="shared" si="92"/>
        <v>0</v>
      </c>
      <c r="GR102" s="3">
        <v>0</v>
      </c>
      <c r="GS102" s="3">
        <v>3</v>
      </c>
      <c r="GT102" s="3">
        <v>0</v>
      </c>
      <c r="GU102" s="3" t="s">
        <v>3</v>
      </c>
      <c r="GV102" s="3">
        <f t="shared" si="93"/>
        <v>0</v>
      </c>
      <c r="GW102" s="3">
        <v>1</v>
      </c>
      <c r="GX102" s="3">
        <f t="shared" si="94"/>
        <v>0</v>
      </c>
      <c r="HA102" s="3">
        <v>0</v>
      </c>
      <c r="HB102" s="3">
        <v>0</v>
      </c>
      <c r="HC102" s="3">
        <f t="shared" si="95"/>
        <v>0</v>
      </c>
      <c r="HE102" s="3" t="s">
        <v>3</v>
      </c>
      <c r="HF102" s="3" t="s">
        <v>3</v>
      </c>
      <c r="HM102" s="3" t="s">
        <v>3</v>
      </c>
      <c r="HN102" s="3" t="s">
        <v>3</v>
      </c>
      <c r="HO102" s="3" t="s">
        <v>3</v>
      </c>
      <c r="HP102" s="3" t="s">
        <v>3</v>
      </c>
      <c r="HQ102" s="3" t="s">
        <v>3</v>
      </c>
      <c r="HS102" s="3">
        <v>0</v>
      </c>
      <c r="IK102" s="3">
        <v>0</v>
      </c>
    </row>
    <row r="103" spans="1:255" x14ac:dyDescent="0.25">
      <c r="A103" s="2">
        <v>17</v>
      </c>
      <c r="B103" s="2">
        <v>1</v>
      </c>
      <c r="C103" s="2"/>
      <c r="D103" s="2"/>
      <c r="E103" s="2" t="s">
        <v>3</v>
      </c>
      <c r="F103" s="2" t="s">
        <v>180</v>
      </c>
      <c r="G103" s="2" t="s">
        <v>181</v>
      </c>
      <c r="H103" s="2" t="s">
        <v>152</v>
      </c>
      <c r="I103" s="2">
        <v>1</v>
      </c>
      <c r="J103" s="2">
        <v>0</v>
      </c>
      <c r="K103" s="2">
        <v>1</v>
      </c>
      <c r="L103" s="2"/>
      <c r="M103" s="2"/>
      <c r="N103" s="2"/>
      <c r="O103" s="2">
        <f t="shared" si="71"/>
        <v>25742.97</v>
      </c>
      <c r="P103" s="2">
        <f t="shared" si="72"/>
        <v>25742.97</v>
      </c>
      <c r="Q103" s="2">
        <f>(ROUND((ROUND(((ET103)*AV103*I103),2)*BB103),2)+ROUND((ROUND(((AE103-(EU103))*AV103*I103),2)*BS103),2))</f>
        <v>0</v>
      </c>
      <c r="R103" s="2">
        <f>(ROUND((ROUND(((EU103)*AV103*I103),2)*BS103),2)+ROUND((ROUND(((AE103-(EU103))*AV103*I103),2)*BS103),2))</f>
        <v>0</v>
      </c>
      <c r="S103" s="2">
        <f t="shared" si="73"/>
        <v>0</v>
      </c>
      <c r="T103" s="2">
        <f t="shared" si="74"/>
        <v>0</v>
      </c>
      <c r="U103" s="2">
        <f t="shared" si="75"/>
        <v>0</v>
      </c>
      <c r="V103" s="2">
        <f t="shared" si="76"/>
        <v>0</v>
      </c>
      <c r="W103" s="2">
        <f t="shared" si="77"/>
        <v>0</v>
      </c>
      <c r="X103" s="2">
        <f>(ROUND((((S103+ROUND((ROUND(((EU103)*AV103*I103),2)*BS103),2))*AT103)/100),2)+ROUND(((ROUND((ROUND(((AE103-(EU103))*AV103*I103),2)*BS103),2)*AT103)/100),2))</f>
        <v>0</v>
      </c>
      <c r="Y103" s="2">
        <f>(ROUND((((S103+ROUND((ROUND(((EU103)*AV103*I103),2)*BS103),2))*AU103)/100),2)+ROUND(((ROUND((ROUND(((AE103-(EU103))*AV103*I103),2)*BS103),2)*AU103)/100),2))</f>
        <v>0</v>
      </c>
      <c r="Z103" s="2"/>
      <c r="AA103" s="2">
        <v>-1</v>
      </c>
      <c r="AB103" s="2">
        <f t="shared" si="78"/>
        <v>25742.97</v>
      </c>
      <c r="AC103" s="2">
        <f>ROUND((ES103),6)</f>
        <v>25742.97</v>
      </c>
      <c r="AD103" s="2">
        <f>ROUND((((ET103)-(EU103))+AE103),6)</f>
        <v>0</v>
      </c>
      <c r="AE103" s="2">
        <f>ROUND((EU103),6)</f>
        <v>0</v>
      </c>
      <c r="AF103" s="2">
        <f>ROUND((EV103),6)</f>
        <v>0</v>
      </c>
      <c r="AG103" s="2">
        <f t="shared" si="79"/>
        <v>0</v>
      </c>
      <c r="AH103" s="2">
        <f>(EW103)</f>
        <v>0</v>
      </c>
      <c r="AI103" s="2">
        <f>(EX103)</f>
        <v>0</v>
      </c>
      <c r="AJ103" s="2">
        <f t="shared" si="80"/>
        <v>0</v>
      </c>
      <c r="AK103" s="2">
        <v>25742.97</v>
      </c>
      <c r="AL103" s="2">
        <v>25742.97</v>
      </c>
      <c r="AM103" s="2">
        <v>0</v>
      </c>
      <c r="AN103" s="2">
        <v>0</v>
      </c>
      <c r="AO103" s="2">
        <v>0</v>
      </c>
      <c r="AP103" s="2">
        <v>0</v>
      </c>
      <c r="AQ103" s="2">
        <v>0</v>
      </c>
      <c r="AR103" s="2">
        <v>0</v>
      </c>
      <c r="AS103" s="2">
        <v>0</v>
      </c>
      <c r="AT103" s="2">
        <v>0</v>
      </c>
      <c r="AU103" s="2">
        <v>0</v>
      </c>
      <c r="AV103" s="2">
        <v>1</v>
      </c>
      <c r="AW103" s="2">
        <v>1</v>
      </c>
      <c r="AX103" s="2"/>
      <c r="AY103" s="2"/>
      <c r="AZ103" s="2">
        <v>1</v>
      </c>
      <c r="BA103" s="2">
        <v>1</v>
      </c>
      <c r="BB103" s="2">
        <v>1</v>
      </c>
      <c r="BC103" s="2">
        <v>1</v>
      </c>
      <c r="BD103" s="2" t="s">
        <v>3</v>
      </c>
      <c r="BE103" s="2" t="s">
        <v>3</v>
      </c>
      <c r="BF103" s="2" t="s">
        <v>3</v>
      </c>
      <c r="BG103" s="2" t="s">
        <v>3</v>
      </c>
      <c r="BH103" s="2">
        <v>3</v>
      </c>
      <c r="BI103" s="2">
        <v>3</v>
      </c>
      <c r="BJ103" s="2" t="s">
        <v>180</v>
      </c>
      <c r="BK103" s="2"/>
      <c r="BL103" s="2"/>
      <c r="BM103" s="2">
        <v>400007</v>
      </c>
      <c r="BN103" s="2">
        <v>0</v>
      </c>
      <c r="BO103" s="2" t="s">
        <v>3</v>
      </c>
      <c r="BP103" s="2">
        <v>0</v>
      </c>
      <c r="BQ103" s="2">
        <v>214</v>
      </c>
      <c r="BR103" s="2">
        <v>0</v>
      </c>
      <c r="BS103" s="2">
        <v>1</v>
      </c>
      <c r="BT103" s="2">
        <v>1</v>
      </c>
      <c r="BU103" s="2">
        <v>1</v>
      </c>
      <c r="BV103" s="2">
        <v>1</v>
      </c>
      <c r="BW103" s="2">
        <v>1</v>
      </c>
      <c r="BX103" s="2">
        <v>1</v>
      </c>
      <c r="BY103" s="2" t="s">
        <v>3</v>
      </c>
      <c r="BZ103" s="2">
        <v>0</v>
      </c>
      <c r="CA103" s="2">
        <v>0</v>
      </c>
      <c r="CB103" s="2" t="s">
        <v>3</v>
      </c>
      <c r="CC103" s="2"/>
      <c r="CD103" s="2"/>
      <c r="CE103" s="2">
        <v>1566</v>
      </c>
      <c r="CF103" s="2">
        <v>0</v>
      </c>
      <c r="CG103" s="2">
        <v>0</v>
      </c>
      <c r="CH103" s="2"/>
      <c r="CI103" s="2"/>
      <c r="CJ103" s="2"/>
      <c r="CK103" s="2"/>
      <c r="CL103" s="2"/>
      <c r="CM103" s="2">
        <v>0</v>
      </c>
      <c r="CN103" s="2" t="s">
        <v>3</v>
      </c>
      <c r="CO103" s="2">
        <v>0</v>
      </c>
      <c r="CP103" s="2">
        <f t="shared" si="81"/>
        <v>25742.97</v>
      </c>
      <c r="CQ103" s="2">
        <f t="shared" si="82"/>
        <v>25742.97</v>
      </c>
      <c r="CR103" s="2">
        <f>(ROUND((ROUND(((ET103)*AV103*1),2)*BB103),2)+ROUND((ROUND(((AE103-(EU103))*AV103*1),2)*BS103),2))</f>
        <v>0</v>
      </c>
      <c r="CS103" s="2">
        <f>(ROUND((ROUND(((EU103)*AV103*1),2)*BS103),2)+ROUND((ROUND(((AE103-(EU103))*AV103*1),2)*BS103),2))</f>
        <v>0</v>
      </c>
      <c r="CT103" s="2">
        <f t="shared" si="83"/>
        <v>0</v>
      </c>
      <c r="CU103" s="2">
        <f t="shared" si="84"/>
        <v>0</v>
      </c>
      <c r="CV103" s="2">
        <f t="shared" si="85"/>
        <v>0</v>
      </c>
      <c r="CW103" s="2">
        <f t="shared" si="86"/>
        <v>0</v>
      </c>
      <c r="CX103" s="2">
        <f t="shared" si="87"/>
        <v>0</v>
      </c>
      <c r="CY103" s="2">
        <f>(ROUND((((S103+ROUND((ROUND(((EU103)*AV103*1),2)*BS103),2))*AT103)/100),2)+ROUND(((ROUND((ROUND(((AE103-(EU103))*AV103*1),2)*BS103),2)*AT103)/100),2))</f>
        <v>0</v>
      </c>
      <c r="CZ103" s="2">
        <f>(ROUND((((S103+ROUND((ROUND(((EU103)*AV103*1),2)*BS103),2))*AU103)/100),2)+ROUND(((ROUND((ROUND(((AE103-(EU103))*AV103*1),2)*BS103),2)*AU103)/100),2))</f>
        <v>0</v>
      </c>
      <c r="DA103" s="2"/>
      <c r="DB103" s="2"/>
      <c r="DC103" s="2" t="s">
        <v>3</v>
      </c>
      <c r="DD103" s="2" t="s">
        <v>3</v>
      </c>
      <c r="DE103" s="2" t="s">
        <v>3</v>
      </c>
      <c r="DF103" s="2" t="s">
        <v>3</v>
      </c>
      <c r="DG103" s="2" t="s">
        <v>3</v>
      </c>
      <c r="DH103" s="2" t="s">
        <v>3</v>
      </c>
      <c r="DI103" s="2" t="s">
        <v>3</v>
      </c>
      <c r="DJ103" s="2" t="s">
        <v>3</v>
      </c>
      <c r="DK103" s="2" t="s">
        <v>3</v>
      </c>
      <c r="DL103" s="2" t="s">
        <v>3</v>
      </c>
      <c r="DM103" s="2" t="s">
        <v>3</v>
      </c>
      <c r="DN103" s="2">
        <v>0</v>
      </c>
      <c r="DO103" s="2">
        <v>0</v>
      </c>
      <c r="DP103" s="2">
        <v>1</v>
      </c>
      <c r="DQ103" s="2">
        <v>1</v>
      </c>
      <c r="DR103" s="2"/>
      <c r="DS103" s="2"/>
      <c r="DT103" s="2"/>
      <c r="DU103" s="2">
        <v>1013</v>
      </c>
      <c r="DV103" s="2" t="s">
        <v>152</v>
      </c>
      <c r="DW103" s="2" t="s">
        <v>152</v>
      </c>
      <c r="DX103" s="2">
        <v>1</v>
      </c>
      <c r="DY103" s="2"/>
      <c r="DZ103" s="2" t="s">
        <v>3</v>
      </c>
      <c r="EA103" s="2" t="s">
        <v>3</v>
      </c>
      <c r="EB103" s="2" t="s">
        <v>3</v>
      </c>
      <c r="EC103" s="2" t="s">
        <v>3</v>
      </c>
      <c r="ED103" s="2"/>
      <c r="EE103" s="2">
        <v>57042890</v>
      </c>
      <c r="EF103" s="2">
        <v>214</v>
      </c>
      <c r="EG103" s="2" t="s">
        <v>153</v>
      </c>
      <c r="EH103" s="2">
        <v>0</v>
      </c>
      <c r="EI103" s="2" t="s">
        <v>3</v>
      </c>
      <c r="EJ103" s="2">
        <v>3</v>
      </c>
      <c r="EK103" s="2">
        <v>400007</v>
      </c>
      <c r="EL103" s="2" t="s">
        <v>153</v>
      </c>
      <c r="EM103" s="2" t="s">
        <v>154</v>
      </c>
      <c r="EN103" s="2"/>
      <c r="EO103" s="2" t="s">
        <v>3</v>
      </c>
      <c r="EP103" s="2"/>
      <c r="EQ103" s="2">
        <v>1040</v>
      </c>
      <c r="ER103" s="2">
        <v>0</v>
      </c>
      <c r="ES103" s="2">
        <v>25742.97</v>
      </c>
      <c r="ET103" s="2">
        <v>0</v>
      </c>
      <c r="EU103" s="2">
        <v>0</v>
      </c>
      <c r="EV103" s="2">
        <v>0</v>
      </c>
      <c r="EW103" s="2">
        <v>0</v>
      </c>
      <c r="EX103" s="2">
        <v>0</v>
      </c>
      <c r="EY103" s="2">
        <v>0</v>
      </c>
      <c r="EZ103" s="2"/>
      <c r="FA103" s="2"/>
      <c r="FB103" s="2"/>
      <c r="FC103" s="2"/>
      <c r="FD103" s="2"/>
      <c r="FE103" s="2"/>
      <c r="FF103" s="2"/>
      <c r="FG103" s="2"/>
      <c r="FH103" s="2"/>
      <c r="FI103" s="2"/>
      <c r="FJ103" s="2"/>
      <c r="FK103" s="2"/>
      <c r="FL103" s="2"/>
      <c r="FM103" s="2"/>
      <c r="FN103" s="2"/>
      <c r="FO103" s="2"/>
      <c r="FP103" s="2"/>
      <c r="FQ103" s="2">
        <v>0</v>
      </c>
      <c r="FR103" s="2">
        <f>P103</f>
        <v>25742.97</v>
      </c>
      <c r="FS103" s="2">
        <v>0</v>
      </c>
      <c r="FT103" s="2"/>
      <c r="FU103" s="2"/>
      <c r="FV103" s="2"/>
      <c r="FW103" s="2"/>
      <c r="FX103" s="2">
        <v>0</v>
      </c>
      <c r="FY103" s="2">
        <v>0</v>
      </c>
      <c r="FZ103" s="2"/>
      <c r="GA103" s="2" t="s">
        <v>182</v>
      </c>
      <c r="GB103" s="2"/>
      <c r="GC103" s="2"/>
      <c r="GD103" s="2">
        <v>1</v>
      </c>
      <c r="GE103" s="2"/>
      <c r="GF103" s="2">
        <v>512376097</v>
      </c>
      <c r="GG103" s="2">
        <v>2</v>
      </c>
      <c r="GH103" s="2">
        <v>4</v>
      </c>
      <c r="GI103" s="2">
        <v>-2</v>
      </c>
      <c r="GJ103" s="2">
        <v>0</v>
      </c>
      <c r="GK103" s="2">
        <v>0</v>
      </c>
      <c r="GL103" s="2">
        <f t="shared" si="88"/>
        <v>0</v>
      </c>
      <c r="GM103" s="2">
        <f t="shared" si="89"/>
        <v>25742.97</v>
      </c>
      <c r="GN103" s="2">
        <f t="shared" si="90"/>
        <v>0</v>
      </c>
      <c r="GO103" s="2">
        <f t="shared" si="91"/>
        <v>0</v>
      </c>
      <c r="GP103" s="2">
        <f t="shared" si="92"/>
        <v>0</v>
      </c>
      <c r="GQ103" s="2"/>
      <c r="GR103" s="2">
        <v>1</v>
      </c>
      <c r="GS103" s="2">
        <v>2</v>
      </c>
      <c r="GT103" s="2">
        <v>0</v>
      </c>
      <c r="GU103" s="2" t="s">
        <v>3</v>
      </c>
      <c r="GV103" s="2">
        <f t="shared" si="93"/>
        <v>0</v>
      </c>
      <c r="GW103" s="2">
        <v>1</v>
      </c>
      <c r="GX103" s="2">
        <f t="shared" si="94"/>
        <v>0</v>
      </c>
      <c r="GY103" s="2"/>
      <c r="GZ103" s="2"/>
      <c r="HA103" s="2">
        <v>0</v>
      </c>
      <c r="HB103" s="2">
        <v>0</v>
      </c>
      <c r="HC103" s="2">
        <f t="shared" si="95"/>
        <v>0</v>
      </c>
      <c r="HD103" s="2"/>
      <c r="HE103" s="2" t="s">
        <v>39</v>
      </c>
      <c r="HF103" s="2" t="s">
        <v>156</v>
      </c>
      <c r="HG103" s="2"/>
      <c r="HH103" s="2"/>
      <c r="HI103" s="2"/>
      <c r="HJ103" s="2"/>
      <c r="HK103" s="2"/>
      <c r="HL103" s="2"/>
      <c r="HM103" s="2" t="s">
        <v>3</v>
      </c>
      <c r="HN103" s="2" t="s">
        <v>3</v>
      </c>
      <c r="HO103" s="2" t="s">
        <v>3</v>
      </c>
      <c r="HP103" s="2" t="s">
        <v>3</v>
      </c>
      <c r="HQ103" s="2" t="s">
        <v>3</v>
      </c>
      <c r="HR103" s="2"/>
      <c r="HS103" s="2">
        <v>0</v>
      </c>
      <c r="HT103" s="2"/>
      <c r="HU103" s="2"/>
      <c r="HV103" s="2"/>
      <c r="HW103" s="2"/>
      <c r="HX103" s="2"/>
      <c r="HY103" s="2"/>
      <c r="HZ103" s="2"/>
      <c r="IA103" s="2"/>
      <c r="IB103" s="2"/>
      <c r="IC103" s="2"/>
      <c r="ID103" s="2"/>
      <c r="IE103" s="2"/>
      <c r="IF103" s="2"/>
      <c r="IG103" s="2"/>
      <c r="IH103" s="2"/>
      <c r="II103" s="2"/>
      <c r="IJ103" s="2"/>
      <c r="IK103" s="2">
        <v>0</v>
      </c>
      <c r="IL103" s="2"/>
      <c r="IM103" s="2"/>
      <c r="IN103" s="2"/>
      <c r="IO103" s="2"/>
      <c r="IP103" s="2"/>
      <c r="IQ103" s="2"/>
      <c r="IR103" s="2"/>
      <c r="IS103" s="2"/>
      <c r="IT103" s="2"/>
      <c r="IU103" s="2"/>
    </row>
    <row r="104" spans="1:255" x14ac:dyDescent="0.25">
      <c r="A104" s="3">
        <v>17</v>
      </c>
      <c r="B104" s="3">
        <v>1</v>
      </c>
      <c r="E104" s="3" t="s">
        <v>3</v>
      </c>
      <c r="F104" s="3" t="s">
        <v>180</v>
      </c>
      <c r="G104" s="3" t="s">
        <v>181</v>
      </c>
      <c r="H104" s="3" t="s">
        <v>152</v>
      </c>
      <c r="I104" s="3">
        <v>1</v>
      </c>
      <c r="J104" s="3">
        <v>0</v>
      </c>
      <c r="K104" s="3">
        <v>1</v>
      </c>
      <c r="O104" s="3">
        <f t="shared" si="71"/>
        <v>194874.28</v>
      </c>
      <c r="P104" s="3">
        <f t="shared" si="72"/>
        <v>194874.28</v>
      </c>
      <c r="Q104" s="3">
        <f>(ROUND((ROUND(((ET104)*AV104*I104),2)*BB104),2)+ROUND((ROUND(((AE104-(EU104))*AV104*I104),2)*BS104),2))</f>
        <v>0</v>
      </c>
      <c r="R104" s="3">
        <f>(ROUND((ROUND(((EU104)*AV104*I104),2)*BS104),2)+ROUND((ROUND(((AE104-(EU104))*AV104*I104),2)*BS104),2))</f>
        <v>0</v>
      </c>
      <c r="S104" s="3">
        <f t="shared" si="73"/>
        <v>0</v>
      </c>
      <c r="T104" s="3">
        <f t="shared" si="74"/>
        <v>0</v>
      </c>
      <c r="U104" s="3">
        <f t="shared" si="75"/>
        <v>0</v>
      </c>
      <c r="V104" s="3">
        <f t="shared" si="76"/>
        <v>0</v>
      </c>
      <c r="W104" s="3">
        <f t="shared" si="77"/>
        <v>0</v>
      </c>
      <c r="X104" s="3">
        <f>(ROUND((((S104+ROUND((ROUND(((EU104)*AV104*I104),2)*BS104),2))*AT104)/100),2)+ROUND(((ROUND((ROUND(((AE104-(EU104))*AV104*I104),2)*BS104),2)*AT104)/100),2))</f>
        <v>0</v>
      </c>
      <c r="Y104" s="3">
        <f>(ROUND((((S104+ROUND((ROUND(((EU104)*AV104*I104),2)*BS104),2))*AU104)/100),2)+ROUND(((ROUND((ROUND(((AE104-(EU104))*AV104*I104),2)*BS104),2)*AU104)/100),2))</f>
        <v>0</v>
      </c>
      <c r="AA104" s="3">
        <v>-1</v>
      </c>
      <c r="AB104" s="3">
        <f t="shared" si="78"/>
        <v>25742.97</v>
      </c>
      <c r="AC104" s="3">
        <f>ROUND((ES104),6)</f>
        <v>25742.97</v>
      </c>
      <c r="AD104" s="3">
        <f>ROUND((((ET104)-(EU104))+AE104),6)</f>
        <v>0</v>
      </c>
      <c r="AE104" s="3">
        <f>ROUND((EU104),6)</f>
        <v>0</v>
      </c>
      <c r="AF104" s="3">
        <f>ROUND((EV104),6)</f>
        <v>0</v>
      </c>
      <c r="AG104" s="3">
        <f t="shared" si="79"/>
        <v>0</v>
      </c>
      <c r="AH104" s="3">
        <f>(EW104)</f>
        <v>0</v>
      </c>
      <c r="AI104" s="3">
        <f>(EX104)</f>
        <v>0</v>
      </c>
      <c r="AJ104" s="3">
        <f t="shared" si="80"/>
        <v>0</v>
      </c>
      <c r="AK104" s="3">
        <v>25742.97</v>
      </c>
      <c r="AL104" s="3">
        <v>25742.97</v>
      </c>
      <c r="AM104" s="3">
        <v>0</v>
      </c>
      <c r="AN104" s="3">
        <v>0</v>
      </c>
      <c r="AO104" s="3">
        <v>0</v>
      </c>
      <c r="AP104" s="3">
        <v>0</v>
      </c>
      <c r="AQ104" s="3">
        <v>0</v>
      </c>
      <c r="AR104" s="3">
        <v>0</v>
      </c>
      <c r="AS104" s="3">
        <v>0</v>
      </c>
      <c r="AT104" s="3">
        <v>0</v>
      </c>
      <c r="AU104" s="3">
        <v>0</v>
      </c>
      <c r="AV104" s="3">
        <v>1</v>
      </c>
      <c r="AW104" s="3">
        <v>1</v>
      </c>
      <c r="AZ104" s="3">
        <v>1</v>
      </c>
      <c r="BA104" s="3">
        <v>1</v>
      </c>
      <c r="BB104" s="3">
        <v>1</v>
      </c>
      <c r="BC104" s="3">
        <v>7.57</v>
      </c>
      <c r="BD104" s="3" t="s">
        <v>3</v>
      </c>
      <c r="BE104" s="3" t="s">
        <v>3</v>
      </c>
      <c r="BF104" s="3" t="s">
        <v>3</v>
      </c>
      <c r="BG104" s="3" t="s">
        <v>3</v>
      </c>
      <c r="BH104" s="3">
        <v>3</v>
      </c>
      <c r="BI104" s="3">
        <v>3</v>
      </c>
      <c r="BJ104" s="3" t="s">
        <v>180</v>
      </c>
      <c r="BM104" s="3">
        <v>400007</v>
      </c>
      <c r="BN104" s="3">
        <v>0</v>
      </c>
      <c r="BO104" s="3" t="s">
        <v>3</v>
      </c>
      <c r="BP104" s="3">
        <v>0</v>
      </c>
      <c r="BQ104" s="3">
        <v>214</v>
      </c>
      <c r="BR104" s="3">
        <v>0</v>
      </c>
      <c r="BS104" s="3">
        <v>1</v>
      </c>
      <c r="BT104" s="3">
        <v>1</v>
      </c>
      <c r="BU104" s="3">
        <v>1</v>
      </c>
      <c r="BV104" s="3">
        <v>1</v>
      </c>
      <c r="BW104" s="3">
        <v>1</v>
      </c>
      <c r="BX104" s="3">
        <v>1</v>
      </c>
      <c r="BY104" s="3" t="s">
        <v>3</v>
      </c>
      <c r="BZ104" s="3">
        <v>0</v>
      </c>
      <c r="CA104" s="3">
        <v>0</v>
      </c>
      <c r="CB104" s="3" t="s">
        <v>3</v>
      </c>
      <c r="CE104" s="3">
        <v>1566</v>
      </c>
      <c r="CF104" s="3">
        <v>0</v>
      </c>
      <c r="CG104" s="3">
        <v>0</v>
      </c>
      <c r="CM104" s="3">
        <v>0</v>
      </c>
      <c r="CN104" s="3" t="s">
        <v>3</v>
      </c>
      <c r="CO104" s="3">
        <v>0</v>
      </c>
      <c r="CP104" s="3">
        <f t="shared" si="81"/>
        <v>194874.28</v>
      </c>
      <c r="CQ104" s="3">
        <f t="shared" si="82"/>
        <v>194874.28</v>
      </c>
      <c r="CR104" s="3">
        <f>(ROUND((ROUND(((ET104)*AV104*1),2)*BB104),2)+ROUND((ROUND(((AE104-(EU104))*AV104*1),2)*BS104),2))</f>
        <v>0</v>
      </c>
      <c r="CS104" s="3">
        <f>(ROUND((ROUND(((EU104)*AV104*1),2)*BS104),2)+ROUND((ROUND(((AE104-(EU104))*AV104*1),2)*BS104),2))</f>
        <v>0</v>
      </c>
      <c r="CT104" s="3">
        <f t="shared" si="83"/>
        <v>0</v>
      </c>
      <c r="CU104" s="3">
        <f t="shared" si="84"/>
        <v>0</v>
      </c>
      <c r="CV104" s="3">
        <f t="shared" si="85"/>
        <v>0</v>
      </c>
      <c r="CW104" s="3">
        <f t="shared" si="86"/>
        <v>0</v>
      </c>
      <c r="CX104" s="3">
        <f t="shared" si="87"/>
        <v>0</v>
      </c>
      <c r="CY104" s="3">
        <f>(ROUND((((S104+ROUND((ROUND(((EU104)*AV104*1),2)*BS104),2))*AT104)/100),2)+ROUND(((ROUND((ROUND(((AE104-(EU104))*AV104*1),2)*BS104),2)*AT104)/100),2))</f>
        <v>0</v>
      </c>
      <c r="CZ104" s="3">
        <f>(ROUND((((S104+ROUND((ROUND(((EU104)*AV104*1),2)*BS104),2))*AU104)/100),2)+ROUND(((ROUND((ROUND(((AE104-(EU104))*AV104*1),2)*BS104),2)*AU104)/100),2))</f>
        <v>0</v>
      </c>
      <c r="DC104" s="3" t="s">
        <v>3</v>
      </c>
      <c r="DD104" s="3" t="s">
        <v>3</v>
      </c>
      <c r="DE104" s="3" t="s">
        <v>3</v>
      </c>
      <c r="DF104" s="3" t="s">
        <v>3</v>
      </c>
      <c r="DG104" s="3" t="s">
        <v>3</v>
      </c>
      <c r="DH104" s="3" t="s">
        <v>3</v>
      </c>
      <c r="DI104" s="3" t="s">
        <v>3</v>
      </c>
      <c r="DJ104" s="3" t="s">
        <v>3</v>
      </c>
      <c r="DK104" s="3" t="s">
        <v>3</v>
      </c>
      <c r="DL104" s="3" t="s">
        <v>3</v>
      </c>
      <c r="DM104" s="3" t="s">
        <v>3</v>
      </c>
      <c r="DN104" s="3">
        <v>0</v>
      </c>
      <c r="DO104" s="3">
        <v>0</v>
      </c>
      <c r="DP104" s="3">
        <v>1</v>
      </c>
      <c r="DQ104" s="3">
        <v>1</v>
      </c>
      <c r="DU104" s="3">
        <v>1013</v>
      </c>
      <c r="DV104" s="3" t="s">
        <v>152</v>
      </c>
      <c r="DW104" s="3" t="s">
        <v>152</v>
      </c>
      <c r="DX104" s="3">
        <v>1</v>
      </c>
      <c r="DZ104" s="3" t="s">
        <v>3</v>
      </c>
      <c r="EA104" s="3" t="s">
        <v>3</v>
      </c>
      <c r="EB104" s="3" t="s">
        <v>3</v>
      </c>
      <c r="EC104" s="3" t="s">
        <v>3</v>
      </c>
      <c r="EE104" s="3">
        <v>57042890</v>
      </c>
      <c r="EF104" s="3">
        <v>214</v>
      </c>
      <c r="EG104" s="3" t="s">
        <v>153</v>
      </c>
      <c r="EH104" s="3">
        <v>0</v>
      </c>
      <c r="EI104" s="3" t="s">
        <v>3</v>
      </c>
      <c r="EJ104" s="3">
        <v>3</v>
      </c>
      <c r="EK104" s="3">
        <v>400007</v>
      </c>
      <c r="EL104" s="3" t="s">
        <v>153</v>
      </c>
      <c r="EM104" s="3" t="s">
        <v>154</v>
      </c>
      <c r="EO104" s="3" t="s">
        <v>3</v>
      </c>
      <c r="EQ104" s="3">
        <v>1040</v>
      </c>
      <c r="ER104" s="3">
        <v>0</v>
      </c>
      <c r="ES104" s="3">
        <v>25742.97</v>
      </c>
      <c r="ET104" s="3">
        <v>0</v>
      </c>
      <c r="EU104" s="3">
        <v>0</v>
      </c>
      <c r="EV104" s="3">
        <v>0</v>
      </c>
      <c r="EW104" s="3">
        <v>0</v>
      </c>
      <c r="EX104" s="3">
        <v>0</v>
      </c>
      <c r="EY104" s="3">
        <v>0</v>
      </c>
      <c r="EZ104" s="3">
        <v>5</v>
      </c>
      <c r="FC104" s="3">
        <v>1</v>
      </c>
      <c r="FD104" s="3">
        <v>18</v>
      </c>
      <c r="FF104" s="3">
        <v>228085</v>
      </c>
      <c r="FQ104" s="3">
        <v>0</v>
      </c>
      <c r="FR104" s="3">
        <f>P104</f>
        <v>194874.28</v>
      </c>
      <c r="FS104" s="3">
        <v>0</v>
      </c>
      <c r="FX104" s="3">
        <v>0</v>
      </c>
      <c r="FY104" s="3">
        <v>0</v>
      </c>
      <c r="GA104" s="3" t="s">
        <v>182</v>
      </c>
      <c r="GD104" s="3">
        <v>1</v>
      </c>
      <c r="GF104" s="3">
        <v>512376097</v>
      </c>
      <c r="GG104" s="3">
        <v>2</v>
      </c>
      <c r="GH104" s="3">
        <v>3</v>
      </c>
      <c r="GI104" s="3">
        <v>5</v>
      </c>
      <c r="GJ104" s="3">
        <v>0</v>
      </c>
      <c r="GK104" s="3">
        <v>0</v>
      </c>
      <c r="GL104" s="3">
        <f t="shared" si="88"/>
        <v>0</v>
      </c>
      <c r="GM104" s="3">
        <f t="shared" si="89"/>
        <v>194874.28</v>
      </c>
      <c r="GN104" s="3">
        <f t="shared" si="90"/>
        <v>0</v>
      </c>
      <c r="GO104" s="3">
        <f t="shared" si="91"/>
        <v>0</v>
      </c>
      <c r="GP104" s="3">
        <f t="shared" si="92"/>
        <v>0</v>
      </c>
      <c r="GR104" s="3">
        <v>1</v>
      </c>
      <c r="GS104" s="3">
        <v>1</v>
      </c>
      <c r="GT104" s="3">
        <v>0</v>
      </c>
      <c r="GU104" s="3" t="s">
        <v>3</v>
      </c>
      <c r="GV104" s="3">
        <f t="shared" si="93"/>
        <v>0</v>
      </c>
      <c r="GW104" s="3">
        <v>1</v>
      </c>
      <c r="GX104" s="3">
        <f t="shared" si="94"/>
        <v>0</v>
      </c>
      <c r="HA104" s="3">
        <v>0</v>
      </c>
      <c r="HB104" s="3">
        <v>0</v>
      </c>
      <c r="HC104" s="3">
        <f t="shared" si="95"/>
        <v>0</v>
      </c>
      <c r="HE104" s="3" t="s">
        <v>39</v>
      </c>
      <c r="HF104" s="3" t="s">
        <v>156</v>
      </c>
      <c r="HM104" s="3" t="s">
        <v>3</v>
      </c>
      <c r="HN104" s="3" t="s">
        <v>3</v>
      </c>
      <c r="HO104" s="3" t="s">
        <v>3</v>
      </c>
      <c r="HP104" s="3" t="s">
        <v>3</v>
      </c>
      <c r="HQ104" s="3" t="s">
        <v>3</v>
      </c>
      <c r="HS104" s="3">
        <v>0</v>
      </c>
      <c r="IK104" s="3">
        <v>0</v>
      </c>
    </row>
    <row r="105" spans="1:255" x14ac:dyDescent="0.25">
      <c r="A105" s="2">
        <v>17</v>
      </c>
      <c r="B105" s="2">
        <v>1</v>
      </c>
      <c r="C105" s="2">
        <f>ROW(SmtRes!A120)</f>
        <v>120</v>
      </c>
      <c r="D105" s="2">
        <f>ROW(EtalonRes!A153)</f>
        <v>153</v>
      </c>
      <c r="E105" s="2" t="s">
        <v>3</v>
      </c>
      <c r="F105" s="2" t="s">
        <v>48</v>
      </c>
      <c r="G105" s="2" t="s">
        <v>183</v>
      </c>
      <c r="H105" s="2" t="s">
        <v>27</v>
      </c>
      <c r="I105" s="2">
        <v>1</v>
      </c>
      <c r="J105" s="2">
        <v>0</v>
      </c>
      <c r="K105" s="2">
        <v>1</v>
      </c>
      <c r="L105" s="2"/>
      <c r="M105" s="2"/>
      <c r="N105" s="2"/>
      <c r="O105" s="2">
        <f t="shared" si="71"/>
        <v>26.17</v>
      </c>
      <c r="P105" s="2">
        <f t="shared" si="72"/>
        <v>2.34</v>
      </c>
      <c r="Q105" s="2">
        <f>(ROUND((ROUND((((ET105*1.2))*AV105*I105),2)*BB105),2)+ROUND((ROUND(((AE105-((EU105*1.2)))*AV105*I105),2)*BS105),2))</f>
        <v>0.03</v>
      </c>
      <c r="R105" s="2">
        <f>(ROUND((ROUND((((EU105*1.2))*AV105*I105),2)*BS105),2)+ROUND((ROUND(((AE105-((EU105*1.2)))*AV105*I105),2)*BS105),2))</f>
        <v>0</v>
      </c>
      <c r="S105" s="2">
        <f t="shared" si="73"/>
        <v>23.8</v>
      </c>
      <c r="T105" s="2">
        <f t="shared" si="74"/>
        <v>0</v>
      </c>
      <c r="U105" s="2">
        <f t="shared" si="75"/>
        <v>1.708704</v>
      </c>
      <c r="V105" s="2">
        <f t="shared" si="76"/>
        <v>0</v>
      </c>
      <c r="W105" s="2">
        <f t="shared" si="77"/>
        <v>0</v>
      </c>
      <c r="X105" s="2">
        <f>(ROUND((((S105+ROUND((ROUND((((EU105*1.2))*AV105*I105),2)*BS105),2))*AT105)/100),2)+ROUND(((ROUND((ROUND(((AE105-((EU105*1.2)))*AV105*I105),2)*BS105),2)*AT105)/100),2))</f>
        <v>21.42</v>
      </c>
      <c r="Y105" s="2">
        <f>(ROUND((((S105+ROUND((ROUND((((EU105*1.2))*AV105*I105),2)*BS105),2))*AU105)/100),2)+ROUND(((ROUND((ROUND(((AE105-((EU105*1.2)))*AV105*I105),2)*BS105),2)*AU105)/100),2))</f>
        <v>10.95</v>
      </c>
      <c r="Z105" s="2"/>
      <c r="AA105" s="2">
        <v>-1</v>
      </c>
      <c r="AB105" s="2">
        <f t="shared" si="78"/>
        <v>25.091999999999999</v>
      </c>
      <c r="AC105" s="2">
        <f>ROUND(((ES105*1)),6)</f>
        <v>2.34</v>
      </c>
      <c r="AD105" s="2">
        <f>ROUND(((((ET105*1.2))-((EU105*1.2)))+AE105),6)</f>
        <v>2.4E-2</v>
      </c>
      <c r="AE105" s="2">
        <f>ROUND(((EU105*1.2)),6)</f>
        <v>0</v>
      </c>
      <c r="AF105" s="2">
        <f>ROUND(((EV105*1.2)),6)</f>
        <v>22.728000000000002</v>
      </c>
      <c r="AG105" s="2">
        <f t="shared" si="79"/>
        <v>0</v>
      </c>
      <c r="AH105" s="2">
        <f>((EW105*1.2))</f>
        <v>1.6320000000000001</v>
      </c>
      <c r="AI105" s="2">
        <f>((EX105*1.2))</f>
        <v>0</v>
      </c>
      <c r="AJ105" s="2">
        <f t="shared" si="80"/>
        <v>0</v>
      </c>
      <c r="AK105" s="2">
        <v>21.3</v>
      </c>
      <c r="AL105" s="2">
        <v>2.34</v>
      </c>
      <c r="AM105" s="2">
        <v>0.02</v>
      </c>
      <c r="AN105" s="2">
        <v>0</v>
      </c>
      <c r="AO105" s="2">
        <v>18.940000000000001</v>
      </c>
      <c r="AP105" s="2">
        <v>0</v>
      </c>
      <c r="AQ105" s="2">
        <v>1.36</v>
      </c>
      <c r="AR105" s="2">
        <v>0</v>
      </c>
      <c r="AS105" s="2">
        <v>0</v>
      </c>
      <c r="AT105" s="2">
        <v>90</v>
      </c>
      <c r="AU105" s="2">
        <v>46</v>
      </c>
      <c r="AV105" s="2">
        <v>1.0469999999999999</v>
      </c>
      <c r="AW105" s="2">
        <v>1</v>
      </c>
      <c r="AX105" s="2"/>
      <c r="AY105" s="2"/>
      <c r="AZ105" s="2">
        <v>1</v>
      </c>
      <c r="BA105" s="2">
        <v>1</v>
      </c>
      <c r="BB105" s="2">
        <v>1</v>
      </c>
      <c r="BC105" s="2">
        <v>1</v>
      </c>
      <c r="BD105" s="2" t="s">
        <v>3</v>
      </c>
      <c r="BE105" s="2" t="s">
        <v>3</v>
      </c>
      <c r="BF105" s="2" t="s">
        <v>3</v>
      </c>
      <c r="BG105" s="2" t="s">
        <v>3</v>
      </c>
      <c r="BH105" s="2">
        <v>0</v>
      </c>
      <c r="BI105" s="2">
        <v>2</v>
      </c>
      <c r="BJ105" s="2" t="s">
        <v>50</v>
      </c>
      <c r="BK105" s="2"/>
      <c r="BL105" s="2"/>
      <c r="BM105" s="2">
        <v>68</v>
      </c>
      <c r="BN105" s="2">
        <v>0</v>
      </c>
      <c r="BO105" s="2" t="s">
        <v>48</v>
      </c>
      <c r="BP105" s="2">
        <v>1</v>
      </c>
      <c r="BQ105" s="2">
        <v>40</v>
      </c>
      <c r="BR105" s="2">
        <v>0</v>
      </c>
      <c r="BS105" s="2">
        <v>1</v>
      </c>
      <c r="BT105" s="2">
        <v>1</v>
      </c>
      <c r="BU105" s="2">
        <v>1</v>
      </c>
      <c r="BV105" s="2">
        <v>1</v>
      </c>
      <c r="BW105" s="2">
        <v>1</v>
      </c>
      <c r="BX105" s="2">
        <v>1</v>
      </c>
      <c r="BY105" s="2" t="s">
        <v>3</v>
      </c>
      <c r="BZ105" s="2">
        <v>90</v>
      </c>
      <c r="CA105" s="2">
        <v>46</v>
      </c>
      <c r="CB105" s="2" t="s">
        <v>3</v>
      </c>
      <c r="CC105" s="2"/>
      <c r="CD105" s="2"/>
      <c r="CE105" s="2">
        <v>1566</v>
      </c>
      <c r="CF105" s="2">
        <v>0</v>
      </c>
      <c r="CG105" s="2">
        <v>0</v>
      </c>
      <c r="CH105" s="2"/>
      <c r="CI105" s="2"/>
      <c r="CJ105" s="2"/>
      <c r="CK105" s="2"/>
      <c r="CL105" s="2"/>
      <c r="CM105" s="2">
        <v>0</v>
      </c>
      <c r="CN105" s="2" t="s">
        <v>624</v>
      </c>
      <c r="CO105" s="2">
        <v>0</v>
      </c>
      <c r="CP105" s="2">
        <f t="shared" si="81"/>
        <v>26.17</v>
      </c>
      <c r="CQ105" s="2">
        <f t="shared" si="82"/>
        <v>2.34</v>
      </c>
      <c r="CR105" s="2">
        <f>(ROUND((ROUND((((ET105*1.2))*AV105*1),2)*BB105),2)+ROUND((ROUND(((AE105-((EU105*1.2)))*AV105*1),2)*BS105),2))</f>
        <v>0.03</v>
      </c>
      <c r="CS105" s="2">
        <f>(ROUND((ROUND((((EU105*1.2))*AV105*1),2)*BS105),2)+ROUND((ROUND(((AE105-((EU105*1.2)))*AV105*1),2)*BS105),2))</f>
        <v>0</v>
      </c>
      <c r="CT105" s="2">
        <f t="shared" si="83"/>
        <v>23.8</v>
      </c>
      <c r="CU105" s="2">
        <f t="shared" si="84"/>
        <v>0</v>
      </c>
      <c r="CV105" s="2">
        <f t="shared" si="85"/>
        <v>1.708704</v>
      </c>
      <c r="CW105" s="2">
        <f t="shared" si="86"/>
        <v>0</v>
      </c>
      <c r="CX105" s="2">
        <f t="shared" si="87"/>
        <v>0</v>
      </c>
      <c r="CY105" s="2">
        <f>(ROUND((((S105+ROUND((ROUND((((EU105*1.2))*AV105*1),2)*BS105),2))*AT105)/100),2)+ROUND(((ROUND((ROUND(((AE105-((EU105*1.2)))*AV105*1),2)*BS105),2)*AT105)/100),2))</f>
        <v>21.42</v>
      </c>
      <c r="CZ105" s="2">
        <f>(ROUND((((S105+ROUND((ROUND((((EU105*1.2))*AV105*1),2)*BS105),2))*AU105)/100),2)+ROUND(((ROUND((ROUND(((AE105-((EU105*1.2)))*AV105*1),2)*BS105),2)*AU105)/100),2))</f>
        <v>10.95</v>
      </c>
      <c r="DA105" s="2"/>
      <c r="DB105" s="2">
        <v>55</v>
      </c>
      <c r="DC105" s="2" t="s">
        <v>3</v>
      </c>
      <c r="DD105" s="2" t="s">
        <v>70</v>
      </c>
      <c r="DE105" s="2" t="s">
        <v>71</v>
      </c>
      <c r="DF105" s="2" t="s">
        <v>71</v>
      </c>
      <c r="DG105" s="2" t="s">
        <v>71</v>
      </c>
      <c r="DH105" s="2" t="s">
        <v>3</v>
      </c>
      <c r="DI105" s="2" t="s">
        <v>71</v>
      </c>
      <c r="DJ105" s="2" t="s">
        <v>71</v>
      </c>
      <c r="DK105" s="2" t="s">
        <v>3</v>
      </c>
      <c r="DL105" s="2" t="s">
        <v>3</v>
      </c>
      <c r="DM105" s="2" t="s">
        <v>3</v>
      </c>
      <c r="DN105" s="2">
        <v>0</v>
      </c>
      <c r="DO105" s="2">
        <v>0</v>
      </c>
      <c r="DP105" s="2">
        <v>1</v>
      </c>
      <c r="DQ105" s="2">
        <v>1</v>
      </c>
      <c r="DR105" s="2"/>
      <c r="DS105" s="2"/>
      <c r="DT105" s="2"/>
      <c r="DU105" s="2">
        <v>1013</v>
      </c>
      <c r="DV105" s="2" t="s">
        <v>27</v>
      </c>
      <c r="DW105" s="2" t="s">
        <v>27</v>
      </c>
      <c r="DX105" s="2">
        <v>1</v>
      </c>
      <c r="DY105" s="2"/>
      <c r="DZ105" s="2" t="s">
        <v>3</v>
      </c>
      <c r="EA105" s="2" t="s">
        <v>3</v>
      </c>
      <c r="EB105" s="2" t="s">
        <v>3</v>
      </c>
      <c r="EC105" s="2" t="s">
        <v>3</v>
      </c>
      <c r="ED105" s="2"/>
      <c r="EE105" s="2">
        <v>57042958</v>
      </c>
      <c r="EF105" s="2">
        <v>40</v>
      </c>
      <c r="EG105" s="2" t="s">
        <v>31</v>
      </c>
      <c r="EH105" s="2">
        <v>0</v>
      </c>
      <c r="EI105" s="2" t="s">
        <v>3</v>
      </c>
      <c r="EJ105" s="2">
        <v>2</v>
      </c>
      <c r="EK105" s="2">
        <v>68</v>
      </c>
      <c r="EL105" s="2" t="s">
        <v>32</v>
      </c>
      <c r="EM105" s="2" t="s">
        <v>33</v>
      </c>
      <c r="EN105" s="2"/>
      <c r="EO105" s="2" t="s">
        <v>75</v>
      </c>
      <c r="EP105" s="2"/>
      <c r="EQ105" s="2">
        <v>1024</v>
      </c>
      <c r="ER105" s="2">
        <v>21.3</v>
      </c>
      <c r="ES105" s="2">
        <v>2.34</v>
      </c>
      <c r="ET105" s="2">
        <v>0.02</v>
      </c>
      <c r="EU105" s="2">
        <v>0</v>
      </c>
      <c r="EV105" s="2">
        <v>18.940000000000001</v>
      </c>
      <c r="EW105" s="2">
        <v>1.36</v>
      </c>
      <c r="EX105" s="2">
        <v>0</v>
      </c>
      <c r="EY105" s="2">
        <v>0</v>
      </c>
      <c r="EZ105" s="2"/>
      <c r="FA105" s="2"/>
      <c r="FB105" s="2"/>
      <c r="FC105" s="2"/>
      <c r="FD105" s="2"/>
      <c r="FE105" s="2"/>
      <c r="FF105" s="2"/>
      <c r="FG105" s="2"/>
      <c r="FH105" s="2"/>
      <c r="FI105" s="2"/>
      <c r="FJ105" s="2"/>
      <c r="FK105" s="2"/>
      <c r="FL105" s="2"/>
      <c r="FM105" s="2"/>
      <c r="FN105" s="2"/>
      <c r="FO105" s="2"/>
      <c r="FP105" s="2"/>
      <c r="FQ105" s="2">
        <v>0</v>
      </c>
      <c r="FR105" s="2">
        <v>0</v>
      </c>
      <c r="FS105" s="2">
        <v>0</v>
      </c>
      <c r="FT105" s="2"/>
      <c r="FU105" s="2"/>
      <c r="FV105" s="2"/>
      <c r="FW105" s="2"/>
      <c r="FX105" s="2">
        <v>90</v>
      </c>
      <c r="FY105" s="2">
        <v>46</v>
      </c>
      <c r="FZ105" s="2"/>
      <c r="GA105" s="2" t="s">
        <v>3</v>
      </c>
      <c r="GB105" s="2"/>
      <c r="GC105" s="2"/>
      <c r="GD105" s="2">
        <v>1</v>
      </c>
      <c r="GE105" s="2"/>
      <c r="GF105" s="2">
        <v>-635599801</v>
      </c>
      <c r="GG105" s="2">
        <v>2</v>
      </c>
      <c r="GH105" s="2">
        <v>1</v>
      </c>
      <c r="GI105" s="2">
        <v>2</v>
      </c>
      <c r="GJ105" s="2">
        <v>0</v>
      </c>
      <c r="GK105" s="2">
        <v>0</v>
      </c>
      <c r="GL105" s="2">
        <f t="shared" si="88"/>
        <v>0</v>
      </c>
      <c r="GM105" s="2">
        <f t="shared" si="89"/>
        <v>58.54</v>
      </c>
      <c r="GN105" s="2">
        <f t="shared" si="90"/>
        <v>0</v>
      </c>
      <c r="GO105" s="2">
        <f t="shared" si="91"/>
        <v>58.54</v>
      </c>
      <c r="GP105" s="2">
        <f t="shared" si="92"/>
        <v>0</v>
      </c>
      <c r="GQ105" s="2"/>
      <c r="GR105" s="2">
        <v>0</v>
      </c>
      <c r="GS105" s="2">
        <v>3</v>
      </c>
      <c r="GT105" s="2">
        <v>0</v>
      </c>
      <c r="GU105" s="2" t="s">
        <v>3</v>
      </c>
      <c r="GV105" s="2">
        <f t="shared" si="93"/>
        <v>0</v>
      </c>
      <c r="GW105" s="2">
        <v>1</v>
      </c>
      <c r="GX105" s="2">
        <f t="shared" si="94"/>
        <v>0</v>
      </c>
      <c r="GY105" s="2"/>
      <c r="GZ105" s="2"/>
      <c r="HA105" s="2">
        <v>0</v>
      </c>
      <c r="HB105" s="2">
        <v>0</v>
      </c>
      <c r="HC105" s="2">
        <f t="shared" si="95"/>
        <v>0</v>
      </c>
      <c r="HD105" s="2"/>
      <c r="HE105" s="2" t="s">
        <v>3</v>
      </c>
      <c r="HF105" s="2" t="s">
        <v>3</v>
      </c>
      <c r="HG105" s="2"/>
      <c r="HH105" s="2"/>
      <c r="HI105" s="2"/>
      <c r="HJ105" s="2"/>
      <c r="HK105" s="2"/>
      <c r="HL105" s="2"/>
      <c r="HM105" s="2" t="s">
        <v>3</v>
      </c>
      <c r="HN105" s="2" t="s">
        <v>3</v>
      </c>
      <c r="HO105" s="2" t="s">
        <v>3</v>
      </c>
      <c r="HP105" s="2" t="s">
        <v>3</v>
      </c>
      <c r="HQ105" s="2" t="s">
        <v>3</v>
      </c>
      <c r="HR105" s="2"/>
      <c r="HS105" s="2">
        <v>0</v>
      </c>
      <c r="HT105" s="2"/>
      <c r="HU105" s="2"/>
      <c r="HV105" s="2"/>
      <c r="HW105" s="2"/>
      <c r="HX105" s="2"/>
      <c r="HY105" s="2"/>
      <c r="HZ105" s="2"/>
      <c r="IA105" s="2"/>
      <c r="IB105" s="2"/>
      <c r="IC105" s="2"/>
      <c r="ID105" s="2"/>
      <c r="IE105" s="2"/>
      <c r="IF105" s="2"/>
      <c r="IG105" s="2"/>
      <c r="IH105" s="2"/>
      <c r="II105" s="2"/>
      <c r="IJ105" s="2"/>
      <c r="IK105" s="2">
        <v>0</v>
      </c>
      <c r="IL105" s="2"/>
      <c r="IM105" s="2"/>
      <c r="IN105" s="2"/>
      <c r="IO105" s="2"/>
      <c r="IP105" s="2"/>
      <c r="IQ105" s="2"/>
      <c r="IR105" s="2"/>
      <c r="IS105" s="2"/>
      <c r="IT105" s="2"/>
      <c r="IU105" s="2"/>
    </row>
    <row r="106" spans="1:255" x14ac:dyDescent="0.25">
      <c r="A106" s="3">
        <v>17</v>
      </c>
      <c r="B106" s="3">
        <v>1</v>
      </c>
      <c r="C106" s="3">
        <f>ROW(SmtRes!A126)</f>
        <v>126</v>
      </c>
      <c r="D106" s="3">
        <f>ROW(EtalonRes!A160)</f>
        <v>160</v>
      </c>
      <c r="E106" s="3" t="s">
        <v>3</v>
      </c>
      <c r="F106" s="3" t="s">
        <v>48</v>
      </c>
      <c r="G106" s="3" t="s">
        <v>183</v>
      </c>
      <c r="H106" s="3" t="s">
        <v>27</v>
      </c>
      <c r="I106" s="3">
        <v>1</v>
      </c>
      <c r="J106" s="3">
        <v>0</v>
      </c>
      <c r="K106" s="3">
        <v>1</v>
      </c>
      <c r="O106" s="3">
        <f t="shared" si="71"/>
        <v>1365.42</v>
      </c>
      <c r="P106" s="3">
        <f t="shared" si="72"/>
        <v>23.96</v>
      </c>
      <c r="Q106" s="3">
        <f>(ROUND((ROUND((((ET106*1.2))*AV106*I106),2)*BB106),2)+ROUND((ROUND(((AE106-((EU106*1.2)))*AV106*I106),2)*BS106),2))</f>
        <v>0.33</v>
      </c>
      <c r="R106" s="3">
        <f>(ROUND((ROUND((((EU106*1.2))*AV106*I106),2)*BS106),2)+ROUND((ROUND(((AE106-((EU106*1.2)))*AV106*I106),2)*BS106),2))</f>
        <v>0</v>
      </c>
      <c r="S106" s="3">
        <f t="shared" si="73"/>
        <v>1341.13</v>
      </c>
      <c r="T106" s="3">
        <f t="shared" si="74"/>
        <v>0</v>
      </c>
      <c r="U106" s="3">
        <f t="shared" si="75"/>
        <v>1.708704</v>
      </c>
      <c r="V106" s="3">
        <f t="shared" si="76"/>
        <v>0</v>
      </c>
      <c r="W106" s="3">
        <f t="shared" si="77"/>
        <v>0</v>
      </c>
      <c r="X106" s="3">
        <f>(ROUND((((S106+ROUND((ROUND((((EU106*1.2))*AV106*I106),2)*BS106),2))*AT106)/100),2)+ROUND(((ROUND((ROUND(((AE106-((EU106*1.2)))*AV106*I106),2)*BS106),2)*AT106)/100),2))</f>
        <v>1207.02</v>
      </c>
      <c r="Y106" s="3">
        <f>(ROUND((((S106+ROUND((ROUND((((EU106*1.2))*AV106*I106),2)*BS106),2))*AU106)/100),2)+ROUND(((ROUND((ROUND(((AE106-((EU106*1.2)))*AV106*I106),2)*BS106),2)*AU106)/100),2))</f>
        <v>616.91999999999996</v>
      </c>
      <c r="AA106" s="3">
        <v>-1</v>
      </c>
      <c r="AB106" s="3">
        <f t="shared" si="78"/>
        <v>25.091999999999999</v>
      </c>
      <c r="AC106" s="3">
        <f>ROUND(((ES106*1)),6)</f>
        <v>2.34</v>
      </c>
      <c r="AD106" s="3">
        <f>ROUND(((((ET106*1.2))-((EU106*1.2)))+AE106),6)</f>
        <v>2.4E-2</v>
      </c>
      <c r="AE106" s="3">
        <f>ROUND(((EU106*1.2)),6)</f>
        <v>0</v>
      </c>
      <c r="AF106" s="3">
        <f>ROUND(((EV106*1.2)),6)</f>
        <v>22.728000000000002</v>
      </c>
      <c r="AG106" s="3">
        <f t="shared" si="79"/>
        <v>0</v>
      </c>
      <c r="AH106" s="3">
        <f>((EW106*1.2))</f>
        <v>1.6320000000000001</v>
      </c>
      <c r="AI106" s="3">
        <f>((EX106*1.2))</f>
        <v>0</v>
      </c>
      <c r="AJ106" s="3">
        <f t="shared" si="80"/>
        <v>0</v>
      </c>
      <c r="AK106" s="3">
        <v>21.3</v>
      </c>
      <c r="AL106" s="3">
        <v>2.34</v>
      </c>
      <c r="AM106" s="3">
        <v>0.02</v>
      </c>
      <c r="AN106" s="3">
        <v>0</v>
      </c>
      <c r="AO106" s="3">
        <v>18.940000000000001</v>
      </c>
      <c r="AP106" s="3">
        <v>0</v>
      </c>
      <c r="AQ106" s="3">
        <v>1.36</v>
      </c>
      <c r="AR106" s="3">
        <v>0</v>
      </c>
      <c r="AS106" s="3">
        <v>0</v>
      </c>
      <c r="AT106" s="3">
        <v>90</v>
      </c>
      <c r="AU106" s="3">
        <v>46</v>
      </c>
      <c r="AV106" s="3">
        <v>1.0469999999999999</v>
      </c>
      <c r="AW106" s="3">
        <v>1</v>
      </c>
      <c r="AZ106" s="3">
        <v>1</v>
      </c>
      <c r="BA106" s="3">
        <v>56.35</v>
      </c>
      <c r="BB106" s="3">
        <v>11</v>
      </c>
      <c r="BC106" s="3">
        <v>10.24</v>
      </c>
      <c r="BD106" s="3" t="s">
        <v>3</v>
      </c>
      <c r="BE106" s="3" t="s">
        <v>3</v>
      </c>
      <c r="BF106" s="3" t="s">
        <v>3</v>
      </c>
      <c r="BG106" s="3" t="s">
        <v>3</v>
      </c>
      <c r="BH106" s="3">
        <v>0</v>
      </c>
      <c r="BI106" s="3">
        <v>2</v>
      </c>
      <c r="BJ106" s="3" t="s">
        <v>50</v>
      </c>
      <c r="BM106" s="3">
        <v>68</v>
      </c>
      <c r="BN106" s="3">
        <v>0</v>
      </c>
      <c r="BO106" s="3" t="s">
        <v>48</v>
      </c>
      <c r="BP106" s="3">
        <v>1</v>
      </c>
      <c r="BQ106" s="3">
        <v>40</v>
      </c>
      <c r="BR106" s="3">
        <v>0</v>
      </c>
      <c r="BS106" s="3">
        <v>56.35</v>
      </c>
      <c r="BT106" s="3">
        <v>1</v>
      </c>
      <c r="BU106" s="3">
        <v>1</v>
      </c>
      <c r="BV106" s="3">
        <v>1</v>
      </c>
      <c r="BW106" s="3">
        <v>1</v>
      </c>
      <c r="BX106" s="3">
        <v>1</v>
      </c>
      <c r="BY106" s="3" t="s">
        <v>3</v>
      </c>
      <c r="BZ106" s="3">
        <v>90</v>
      </c>
      <c r="CA106" s="3">
        <v>46</v>
      </c>
      <c r="CB106" s="3" t="s">
        <v>3</v>
      </c>
      <c r="CE106" s="3">
        <v>1566</v>
      </c>
      <c r="CF106" s="3">
        <v>0</v>
      </c>
      <c r="CG106" s="3">
        <v>0</v>
      </c>
      <c r="CM106" s="3">
        <v>0</v>
      </c>
      <c r="CN106" s="3" t="s">
        <v>624</v>
      </c>
      <c r="CO106" s="3">
        <v>0</v>
      </c>
      <c r="CP106" s="3">
        <f t="shared" si="81"/>
        <v>1365.42</v>
      </c>
      <c r="CQ106" s="3">
        <f t="shared" si="82"/>
        <v>23.96</v>
      </c>
      <c r="CR106" s="3">
        <f>(ROUND((ROUND((((ET106*1.2))*AV106*1),2)*BB106),2)+ROUND((ROUND(((AE106-((EU106*1.2)))*AV106*1),2)*BS106),2))</f>
        <v>0.33</v>
      </c>
      <c r="CS106" s="3">
        <f>(ROUND((ROUND((((EU106*1.2))*AV106*1),2)*BS106),2)+ROUND((ROUND(((AE106-((EU106*1.2)))*AV106*1),2)*BS106),2))</f>
        <v>0</v>
      </c>
      <c r="CT106" s="3">
        <f t="shared" si="83"/>
        <v>1341.13</v>
      </c>
      <c r="CU106" s="3">
        <f t="shared" si="84"/>
        <v>0</v>
      </c>
      <c r="CV106" s="3">
        <f t="shared" si="85"/>
        <v>1.708704</v>
      </c>
      <c r="CW106" s="3">
        <f t="shared" si="86"/>
        <v>0</v>
      </c>
      <c r="CX106" s="3">
        <f t="shared" si="87"/>
        <v>0</v>
      </c>
      <c r="CY106" s="3">
        <f>(ROUND((((S106+ROUND((ROUND((((EU106*1.2))*AV106*1),2)*BS106),2))*AT106)/100),2)+ROUND(((ROUND((ROUND(((AE106-((EU106*1.2)))*AV106*1),2)*BS106),2)*AT106)/100),2))</f>
        <v>1207.02</v>
      </c>
      <c r="CZ106" s="3">
        <f>(ROUND((((S106+ROUND((ROUND((((EU106*1.2))*AV106*1),2)*BS106),2))*AU106)/100),2)+ROUND(((ROUND((ROUND(((AE106-((EU106*1.2)))*AV106*1),2)*BS106),2)*AU106)/100),2))</f>
        <v>616.91999999999996</v>
      </c>
      <c r="DB106" s="3">
        <v>56</v>
      </c>
      <c r="DC106" s="3" t="s">
        <v>3</v>
      </c>
      <c r="DD106" s="3" t="s">
        <v>70</v>
      </c>
      <c r="DE106" s="3" t="s">
        <v>71</v>
      </c>
      <c r="DF106" s="3" t="s">
        <v>71</v>
      </c>
      <c r="DG106" s="3" t="s">
        <v>71</v>
      </c>
      <c r="DH106" s="3" t="s">
        <v>3</v>
      </c>
      <c r="DI106" s="3" t="s">
        <v>71</v>
      </c>
      <c r="DJ106" s="3" t="s">
        <v>71</v>
      </c>
      <c r="DK106" s="3" t="s">
        <v>3</v>
      </c>
      <c r="DL106" s="3" t="s">
        <v>3</v>
      </c>
      <c r="DM106" s="3" t="s">
        <v>3</v>
      </c>
      <c r="DN106" s="3">
        <v>0</v>
      </c>
      <c r="DO106" s="3">
        <v>0</v>
      </c>
      <c r="DP106" s="3">
        <v>1</v>
      </c>
      <c r="DQ106" s="3">
        <v>1</v>
      </c>
      <c r="DU106" s="3">
        <v>1013</v>
      </c>
      <c r="DV106" s="3" t="s">
        <v>27</v>
      </c>
      <c r="DW106" s="3" t="s">
        <v>27</v>
      </c>
      <c r="DX106" s="3">
        <v>1</v>
      </c>
      <c r="DZ106" s="3" t="s">
        <v>3</v>
      </c>
      <c r="EA106" s="3" t="s">
        <v>3</v>
      </c>
      <c r="EB106" s="3" t="s">
        <v>3</v>
      </c>
      <c r="EC106" s="3" t="s">
        <v>3</v>
      </c>
      <c r="EE106" s="3">
        <v>57042958</v>
      </c>
      <c r="EF106" s="3">
        <v>40</v>
      </c>
      <c r="EG106" s="3" t="s">
        <v>31</v>
      </c>
      <c r="EH106" s="3">
        <v>0</v>
      </c>
      <c r="EI106" s="3" t="s">
        <v>3</v>
      </c>
      <c r="EJ106" s="3">
        <v>2</v>
      </c>
      <c r="EK106" s="3">
        <v>68</v>
      </c>
      <c r="EL106" s="3" t="s">
        <v>32</v>
      </c>
      <c r="EM106" s="3" t="s">
        <v>33</v>
      </c>
      <c r="EO106" s="3" t="s">
        <v>75</v>
      </c>
      <c r="EQ106" s="3">
        <v>1024</v>
      </c>
      <c r="ER106" s="3">
        <v>21.3</v>
      </c>
      <c r="ES106" s="3">
        <v>2.34</v>
      </c>
      <c r="ET106" s="3">
        <v>0.02</v>
      </c>
      <c r="EU106" s="3">
        <v>0</v>
      </c>
      <c r="EV106" s="3">
        <v>18.940000000000001</v>
      </c>
      <c r="EW106" s="3">
        <v>1.36</v>
      </c>
      <c r="EX106" s="3">
        <v>0</v>
      </c>
      <c r="EY106" s="3">
        <v>0</v>
      </c>
      <c r="FQ106" s="3">
        <v>0</v>
      </c>
      <c r="FR106" s="3">
        <v>0</v>
      </c>
      <c r="FS106" s="3">
        <v>0</v>
      </c>
      <c r="FX106" s="3">
        <v>90</v>
      </c>
      <c r="FY106" s="3">
        <v>46</v>
      </c>
      <c r="GA106" s="3" t="s">
        <v>3</v>
      </c>
      <c r="GD106" s="3">
        <v>1</v>
      </c>
      <c r="GF106" s="3">
        <v>-635599801</v>
      </c>
      <c r="GG106" s="3">
        <v>2</v>
      </c>
      <c r="GH106" s="3">
        <v>1</v>
      </c>
      <c r="GI106" s="3">
        <v>2</v>
      </c>
      <c r="GJ106" s="3">
        <v>0</v>
      </c>
      <c r="GK106" s="3">
        <v>0</v>
      </c>
      <c r="GL106" s="3">
        <f t="shared" si="88"/>
        <v>0</v>
      </c>
      <c r="GM106" s="3">
        <f t="shared" si="89"/>
        <v>3189.36</v>
      </c>
      <c r="GN106" s="3">
        <f t="shared" si="90"/>
        <v>0</v>
      </c>
      <c r="GO106" s="3">
        <f t="shared" si="91"/>
        <v>3189.36</v>
      </c>
      <c r="GP106" s="3">
        <f t="shared" si="92"/>
        <v>0</v>
      </c>
      <c r="GR106" s="3">
        <v>0</v>
      </c>
      <c r="GS106" s="3">
        <v>3</v>
      </c>
      <c r="GT106" s="3">
        <v>0</v>
      </c>
      <c r="GU106" s="3" t="s">
        <v>3</v>
      </c>
      <c r="GV106" s="3">
        <f t="shared" si="93"/>
        <v>0</v>
      </c>
      <c r="GW106" s="3">
        <v>1</v>
      </c>
      <c r="GX106" s="3">
        <f t="shared" si="94"/>
        <v>0</v>
      </c>
      <c r="HA106" s="3">
        <v>0</v>
      </c>
      <c r="HB106" s="3">
        <v>0</v>
      </c>
      <c r="HC106" s="3">
        <f t="shared" si="95"/>
        <v>0</v>
      </c>
      <c r="HE106" s="3" t="s">
        <v>3</v>
      </c>
      <c r="HF106" s="3" t="s">
        <v>3</v>
      </c>
      <c r="HM106" s="3" t="s">
        <v>3</v>
      </c>
      <c r="HN106" s="3" t="s">
        <v>3</v>
      </c>
      <c r="HO106" s="3" t="s">
        <v>3</v>
      </c>
      <c r="HP106" s="3" t="s">
        <v>3</v>
      </c>
      <c r="HQ106" s="3" t="s">
        <v>3</v>
      </c>
      <c r="HS106" s="3">
        <v>0</v>
      </c>
      <c r="IK106" s="3">
        <v>0</v>
      </c>
    </row>
    <row r="107" spans="1:255" x14ac:dyDescent="0.25">
      <c r="A107" s="2">
        <v>17</v>
      </c>
      <c r="B107" s="2">
        <v>1</v>
      </c>
      <c r="C107" s="2"/>
      <c r="D107" s="2"/>
      <c r="E107" s="2" t="s">
        <v>3</v>
      </c>
      <c r="F107" s="2" t="s">
        <v>184</v>
      </c>
      <c r="G107" s="2" t="s">
        <v>185</v>
      </c>
      <c r="H107" s="2" t="s">
        <v>152</v>
      </c>
      <c r="I107" s="2">
        <v>1</v>
      </c>
      <c r="J107" s="2">
        <v>0</v>
      </c>
      <c r="K107" s="2">
        <v>1</v>
      </c>
      <c r="L107" s="2"/>
      <c r="M107" s="2"/>
      <c r="N107" s="2"/>
      <c r="O107" s="2">
        <f t="shared" si="71"/>
        <v>5609.55</v>
      </c>
      <c r="P107" s="2">
        <f t="shared" si="72"/>
        <v>5609.55</v>
      </c>
      <c r="Q107" s="2">
        <f>(ROUND((ROUND(((ET107)*AV107*I107),2)*BB107),2)+ROUND((ROUND(((AE107-(EU107))*AV107*I107),2)*BS107),2))</f>
        <v>0</v>
      </c>
      <c r="R107" s="2">
        <f>(ROUND((ROUND(((EU107)*AV107*I107),2)*BS107),2)+ROUND((ROUND(((AE107-(EU107))*AV107*I107),2)*BS107),2))</f>
        <v>0</v>
      </c>
      <c r="S107" s="2">
        <f t="shared" si="73"/>
        <v>0</v>
      </c>
      <c r="T107" s="2">
        <f t="shared" si="74"/>
        <v>0</v>
      </c>
      <c r="U107" s="2">
        <f t="shared" si="75"/>
        <v>0</v>
      </c>
      <c r="V107" s="2">
        <f t="shared" si="76"/>
        <v>0</v>
      </c>
      <c r="W107" s="2">
        <f t="shared" si="77"/>
        <v>0</v>
      </c>
      <c r="X107" s="2">
        <f>(ROUND((((S107+ROUND((ROUND(((EU107)*AV107*I107),2)*BS107),2))*AT107)/100),2)+ROUND(((ROUND((ROUND(((AE107-(EU107))*AV107*I107),2)*BS107),2)*AT107)/100),2))</f>
        <v>0</v>
      </c>
      <c r="Y107" s="2">
        <f>(ROUND((((S107+ROUND((ROUND(((EU107)*AV107*I107),2)*BS107),2))*AU107)/100),2)+ROUND(((ROUND((ROUND(((AE107-(EU107))*AV107*I107),2)*BS107),2)*AU107)/100),2))</f>
        <v>0</v>
      </c>
      <c r="Z107" s="2"/>
      <c r="AA107" s="2">
        <v>-1</v>
      </c>
      <c r="AB107" s="2">
        <f t="shared" si="78"/>
        <v>5609.55</v>
      </c>
      <c r="AC107" s="2">
        <f>ROUND((ES107),6)</f>
        <v>5609.55</v>
      </c>
      <c r="AD107" s="2">
        <f>ROUND((((ET107)-(EU107))+AE107),6)</f>
        <v>0</v>
      </c>
      <c r="AE107" s="2">
        <f>ROUND((EU107),6)</f>
        <v>0</v>
      </c>
      <c r="AF107" s="2">
        <f>ROUND((EV107),6)</f>
        <v>0</v>
      </c>
      <c r="AG107" s="2">
        <f t="shared" si="79"/>
        <v>0</v>
      </c>
      <c r="AH107" s="2">
        <f>(EW107)</f>
        <v>0</v>
      </c>
      <c r="AI107" s="2">
        <f>(EX107)</f>
        <v>0</v>
      </c>
      <c r="AJ107" s="2">
        <f t="shared" si="80"/>
        <v>0</v>
      </c>
      <c r="AK107" s="2">
        <v>5609.55</v>
      </c>
      <c r="AL107" s="2">
        <v>5609.55</v>
      </c>
      <c r="AM107" s="2">
        <v>0</v>
      </c>
      <c r="AN107" s="2">
        <v>0</v>
      </c>
      <c r="AO107" s="2">
        <v>0</v>
      </c>
      <c r="AP107" s="2">
        <v>0</v>
      </c>
      <c r="AQ107" s="2">
        <v>0</v>
      </c>
      <c r="AR107" s="2">
        <v>0</v>
      </c>
      <c r="AS107" s="2">
        <v>0</v>
      </c>
      <c r="AT107" s="2">
        <v>0</v>
      </c>
      <c r="AU107" s="2">
        <v>0</v>
      </c>
      <c r="AV107" s="2">
        <v>1</v>
      </c>
      <c r="AW107" s="2">
        <v>1</v>
      </c>
      <c r="AX107" s="2"/>
      <c r="AY107" s="2"/>
      <c r="AZ107" s="2">
        <v>1</v>
      </c>
      <c r="BA107" s="2">
        <v>1</v>
      </c>
      <c r="BB107" s="2">
        <v>1</v>
      </c>
      <c r="BC107" s="2">
        <v>1</v>
      </c>
      <c r="BD107" s="2" t="s">
        <v>3</v>
      </c>
      <c r="BE107" s="2" t="s">
        <v>3</v>
      </c>
      <c r="BF107" s="2" t="s">
        <v>3</v>
      </c>
      <c r="BG107" s="2" t="s">
        <v>3</v>
      </c>
      <c r="BH107" s="2">
        <v>3</v>
      </c>
      <c r="BI107" s="2">
        <v>3</v>
      </c>
      <c r="BJ107" s="2" t="s">
        <v>184</v>
      </c>
      <c r="BK107" s="2"/>
      <c r="BL107" s="2"/>
      <c r="BM107" s="2">
        <v>400007</v>
      </c>
      <c r="BN107" s="2">
        <v>0</v>
      </c>
      <c r="BO107" s="2" t="s">
        <v>3</v>
      </c>
      <c r="BP107" s="2">
        <v>0</v>
      </c>
      <c r="BQ107" s="2">
        <v>214</v>
      </c>
      <c r="BR107" s="2">
        <v>0</v>
      </c>
      <c r="BS107" s="2">
        <v>1</v>
      </c>
      <c r="BT107" s="2">
        <v>1</v>
      </c>
      <c r="BU107" s="2">
        <v>1</v>
      </c>
      <c r="BV107" s="2">
        <v>1</v>
      </c>
      <c r="BW107" s="2">
        <v>1</v>
      </c>
      <c r="BX107" s="2">
        <v>1</v>
      </c>
      <c r="BY107" s="2" t="s">
        <v>3</v>
      </c>
      <c r="BZ107" s="2">
        <v>0</v>
      </c>
      <c r="CA107" s="2">
        <v>0</v>
      </c>
      <c r="CB107" s="2" t="s">
        <v>3</v>
      </c>
      <c r="CC107" s="2"/>
      <c r="CD107" s="2"/>
      <c r="CE107" s="2">
        <v>1566</v>
      </c>
      <c r="CF107" s="2">
        <v>0</v>
      </c>
      <c r="CG107" s="2">
        <v>0</v>
      </c>
      <c r="CH107" s="2"/>
      <c r="CI107" s="2"/>
      <c r="CJ107" s="2"/>
      <c r="CK107" s="2"/>
      <c r="CL107" s="2"/>
      <c r="CM107" s="2">
        <v>0</v>
      </c>
      <c r="CN107" s="2" t="s">
        <v>3</v>
      </c>
      <c r="CO107" s="2">
        <v>0</v>
      </c>
      <c r="CP107" s="2">
        <f t="shared" si="81"/>
        <v>5609.55</v>
      </c>
      <c r="CQ107" s="2">
        <f t="shared" si="82"/>
        <v>5609.55</v>
      </c>
      <c r="CR107" s="2">
        <f>(ROUND((ROUND(((ET107)*AV107*1),2)*BB107),2)+ROUND((ROUND(((AE107-(EU107))*AV107*1),2)*BS107),2))</f>
        <v>0</v>
      </c>
      <c r="CS107" s="2">
        <f>(ROUND((ROUND(((EU107)*AV107*1),2)*BS107),2)+ROUND((ROUND(((AE107-(EU107))*AV107*1),2)*BS107),2))</f>
        <v>0</v>
      </c>
      <c r="CT107" s="2">
        <f t="shared" si="83"/>
        <v>0</v>
      </c>
      <c r="CU107" s="2">
        <f t="shared" si="84"/>
        <v>0</v>
      </c>
      <c r="CV107" s="2">
        <f t="shared" si="85"/>
        <v>0</v>
      </c>
      <c r="CW107" s="2">
        <f t="shared" si="86"/>
        <v>0</v>
      </c>
      <c r="CX107" s="2">
        <f t="shared" si="87"/>
        <v>0</v>
      </c>
      <c r="CY107" s="2">
        <f>(ROUND((((S107+ROUND((ROUND(((EU107)*AV107*1),2)*BS107),2))*AT107)/100),2)+ROUND(((ROUND((ROUND(((AE107-(EU107))*AV107*1),2)*BS107),2)*AT107)/100),2))</f>
        <v>0</v>
      </c>
      <c r="CZ107" s="2">
        <f>(ROUND((((S107+ROUND((ROUND(((EU107)*AV107*1),2)*BS107),2))*AU107)/100),2)+ROUND(((ROUND((ROUND(((AE107-(EU107))*AV107*1),2)*BS107),2)*AU107)/100),2))</f>
        <v>0</v>
      </c>
      <c r="DA107" s="2"/>
      <c r="DB107" s="2"/>
      <c r="DC107" s="2" t="s">
        <v>3</v>
      </c>
      <c r="DD107" s="2" t="s">
        <v>3</v>
      </c>
      <c r="DE107" s="2" t="s">
        <v>3</v>
      </c>
      <c r="DF107" s="2" t="s">
        <v>3</v>
      </c>
      <c r="DG107" s="2" t="s">
        <v>3</v>
      </c>
      <c r="DH107" s="2" t="s">
        <v>3</v>
      </c>
      <c r="DI107" s="2" t="s">
        <v>3</v>
      </c>
      <c r="DJ107" s="2" t="s">
        <v>3</v>
      </c>
      <c r="DK107" s="2" t="s">
        <v>3</v>
      </c>
      <c r="DL107" s="2" t="s">
        <v>3</v>
      </c>
      <c r="DM107" s="2" t="s">
        <v>3</v>
      </c>
      <c r="DN107" s="2">
        <v>0</v>
      </c>
      <c r="DO107" s="2">
        <v>0</v>
      </c>
      <c r="DP107" s="2">
        <v>1</v>
      </c>
      <c r="DQ107" s="2">
        <v>1</v>
      </c>
      <c r="DR107" s="2"/>
      <c r="DS107" s="2"/>
      <c r="DT107" s="2"/>
      <c r="DU107" s="2">
        <v>1013</v>
      </c>
      <c r="DV107" s="2" t="s">
        <v>152</v>
      </c>
      <c r="DW107" s="2" t="s">
        <v>152</v>
      </c>
      <c r="DX107" s="2">
        <v>1</v>
      </c>
      <c r="DY107" s="2"/>
      <c r="DZ107" s="2" t="s">
        <v>3</v>
      </c>
      <c r="EA107" s="2" t="s">
        <v>3</v>
      </c>
      <c r="EB107" s="2" t="s">
        <v>3</v>
      </c>
      <c r="EC107" s="2" t="s">
        <v>3</v>
      </c>
      <c r="ED107" s="2"/>
      <c r="EE107" s="2">
        <v>57042890</v>
      </c>
      <c r="EF107" s="2">
        <v>214</v>
      </c>
      <c r="EG107" s="2" t="s">
        <v>153</v>
      </c>
      <c r="EH107" s="2">
        <v>0</v>
      </c>
      <c r="EI107" s="2" t="s">
        <v>3</v>
      </c>
      <c r="EJ107" s="2">
        <v>3</v>
      </c>
      <c r="EK107" s="2">
        <v>400007</v>
      </c>
      <c r="EL107" s="2" t="s">
        <v>153</v>
      </c>
      <c r="EM107" s="2" t="s">
        <v>154</v>
      </c>
      <c r="EN107" s="2"/>
      <c r="EO107" s="2" t="s">
        <v>3</v>
      </c>
      <c r="EP107" s="2"/>
      <c r="EQ107" s="2">
        <v>1040</v>
      </c>
      <c r="ER107" s="2">
        <v>0</v>
      </c>
      <c r="ES107" s="2">
        <v>5609.55</v>
      </c>
      <c r="ET107" s="2">
        <v>0</v>
      </c>
      <c r="EU107" s="2">
        <v>0</v>
      </c>
      <c r="EV107" s="2">
        <v>0</v>
      </c>
      <c r="EW107" s="2">
        <v>0</v>
      </c>
      <c r="EX107" s="2">
        <v>0</v>
      </c>
      <c r="EY107" s="2">
        <v>0</v>
      </c>
      <c r="EZ107" s="2"/>
      <c r="FA107" s="2"/>
      <c r="FB107" s="2"/>
      <c r="FC107" s="2"/>
      <c r="FD107" s="2"/>
      <c r="FE107" s="2"/>
      <c r="FF107" s="2"/>
      <c r="FG107" s="2"/>
      <c r="FH107" s="2"/>
      <c r="FI107" s="2"/>
      <c r="FJ107" s="2"/>
      <c r="FK107" s="2"/>
      <c r="FL107" s="2"/>
      <c r="FM107" s="2"/>
      <c r="FN107" s="2"/>
      <c r="FO107" s="2"/>
      <c r="FP107" s="2"/>
      <c r="FQ107" s="2">
        <v>0</v>
      </c>
      <c r="FR107" s="2">
        <f>P107</f>
        <v>5609.55</v>
      </c>
      <c r="FS107" s="2">
        <v>0</v>
      </c>
      <c r="FT107" s="2"/>
      <c r="FU107" s="2"/>
      <c r="FV107" s="2"/>
      <c r="FW107" s="2"/>
      <c r="FX107" s="2">
        <v>0</v>
      </c>
      <c r="FY107" s="2">
        <v>0</v>
      </c>
      <c r="FZ107" s="2"/>
      <c r="GA107" s="2" t="s">
        <v>186</v>
      </c>
      <c r="GB107" s="2"/>
      <c r="GC107" s="2"/>
      <c r="GD107" s="2">
        <v>1</v>
      </c>
      <c r="GE107" s="2"/>
      <c r="GF107" s="2">
        <v>699234727</v>
      </c>
      <c r="GG107" s="2">
        <v>2</v>
      </c>
      <c r="GH107" s="2">
        <v>4</v>
      </c>
      <c r="GI107" s="2">
        <v>-2</v>
      </c>
      <c r="GJ107" s="2">
        <v>0</v>
      </c>
      <c r="GK107" s="2">
        <v>0</v>
      </c>
      <c r="GL107" s="2">
        <f t="shared" si="88"/>
        <v>0</v>
      </c>
      <c r="GM107" s="2">
        <f t="shared" si="89"/>
        <v>5609.55</v>
      </c>
      <c r="GN107" s="2">
        <f t="shared" si="90"/>
        <v>0</v>
      </c>
      <c r="GO107" s="2">
        <f t="shared" si="91"/>
        <v>0</v>
      </c>
      <c r="GP107" s="2">
        <f t="shared" si="92"/>
        <v>0</v>
      </c>
      <c r="GQ107" s="2"/>
      <c r="GR107" s="2">
        <v>1</v>
      </c>
      <c r="GS107" s="2">
        <v>2</v>
      </c>
      <c r="GT107" s="2">
        <v>0</v>
      </c>
      <c r="GU107" s="2" t="s">
        <v>3</v>
      </c>
      <c r="GV107" s="2">
        <f t="shared" si="93"/>
        <v>0</v>
      </c>
      <c r="GW107" s="2">
        <v>1</v>
      </c>
      <c r="GX107" s="2">
        <f t="shared" si="94"/>
        <v>0</v>
      </c>
      <c r="GY107" s="2"/>
      <c r="GZ107" s="2"/>
      <c r="HA107" s="2">
        <v>0</v>
      </c>
      <c r="HB107" s="2">
        <v>0</v>
      </c>
      <c r="HC107" s="2">
        <f t="shared" si="95"/>
        <v>0</v>
      </c>
      <c r="HD107" s="2"/>
      <c r="HE107" s="2" t="s">
        <v>39</v>
      </c>
      <c r="HF107" s="2" t="s">
        <v>156</v>
      </c>
      <c r="HG107" s="2"/>
      <c r="HH107" s="2"/>
      <c r="HI107" s="2"/>
      <c r="HJ107" s="2"/>
      <c r="HK107" s="2"/>
      <c r="HL107" s="2"/>
      <c r="HM107" s="2" t="s">
        <v>3</v>
      </c>
      <c r="HN107" s="2" t="s">
        <v>3</v>
      </c>
      <c r="HO107" s="2" t="s">
        <v>3</v>
      </c>
      <c r="HP107" s="2" t="s">
        <v>3</v>
      </c>
      <c r="HQ107" s="2" t="s">
        <v>3</v>
      </c>
      <c r="HR107" s="2"/>
      <c r="HS107" s="2">
        <v>0</v>
      </c>
      <c r="HT107" s="2"/>
      <c r="HU107" s="2"/>
      <c r="HV107" s="2"/>
      <c r="HW107" s="2"/>
      <c r="HX107" s="2"/>
      <c r="HY107" s="2"/>
      <c r="HZ107" s="2"/>
      <c r="IA107" s="2"/>
      <c r="IB107" s="2"/>
      <c r="IC107" s="2"/>
      <c r="ID107" s="2"/>
      <c r="IE107" s="2"/>
      <c r="IF107" s="2"/>
      <c r="IG107" s="2"/>
      <c r="IH107" s="2"/>
      <c r="II107" s="2"/>
      <c r="IJ107" s="2"/>
      <c r="IK107" s="2">
        <v>0</v>
      </c>
      <c r="IL107" s="2"/>
      <c r="IM107" s="2"/>
      <c r="IN107" s="2"/>
      <c r="IO107" s="2"/>
      <c r="IP107" s="2"/>
      <c r="IQ107" s="2"/>
      <c r="IR107" s="2"/>
      <c r="IS107" s="2"/>
      <c r="IT107" s="2"/>
      <c r="IU107" s="2"/>
    </row>
    <row r="108" spans="1:255" x14ac:dyDescent="0.25">
      <c r="A108" s="3">
        <v>17</v>
      </c>
      <c r="B108" s="3">
        <v>1</v>
      </c>
      <c r="E108" s="3" t="s">
        <v>3</v>
      </c>
      <c r="F108" s="3" t="s">
        <v>184</v>
      </c>
      <c r="G108" s="3" t="s">
        <v>185</v>
      </c>
      <c r="H108" s="3" t="s">
        <v>152</v>
      </c>
      <c r="I108" s="3">
        <v>1</v>
      </c>
      <c r="J108" s="3">
        <v>0</v>
      </c>
      <c r="K108" s="3">
        <v>1</v>
      </c>
      <c r="O108" s="3">
        <f t="shared" si="71"/>
        <v>42464.29</v>
      </c>
      <c r="P108" s="3">
        <f t="shared" si="72"/>
        <v>42464.29</v>
      </c>
      <c r="Q108" s="3">
        <f>(ROUND((ROUND(((ET108)*AV108*I108),2)*BB108),2)+ROUND((ROUND(((AE108-(EU108))*AV108*I108),2)*BS108),2))</f>
        <v>0</v>
      </c>
      <c r="R108" s="3">
        <f>(ROUND((ROUND(((EU108)*AV108*I108),2)*BS108),2)+ROUND((ROUND(((AE108-(EU108))*AV108*I108),2)*BS108),2))</f>
        <v>0</v>
      </c>
      <c r="S108" s="3">
        <f t="shared" si="73"/>
        <v>0</v>
      </c>
      <c r="T108" s="3">
        <f t="shared" si="74"/>
        <v>0</v>
      </c>
      <c r="U108" s="3">
        <f t="shared" si="75"/>
        <v>0</v>
      </c>
      <c r="V108" s="3">
        <f t="shared" si="76"/>
        <v>0</v>
      </c>
      <c r="W108" s="3">
        <f t="shared" si="77"/>
        <v>0</v>
      </c>
      <c r="X108" s="3">
        <f>(ROUND((((S108+ROUND((ROUND(((EU108)*AV108*I108),2)*BS108),2))*AT108)/100),2)+ROUND(((ROUND((ROUND(((AE108-(EU108))*AV108*I108),2)*BS108),2)*AT108)/100),2))</f>
        <v>0</v>
      </c>
      <c r="Y108" s="3">
        <f>(ROUND((((S108+ROUND((ROUND(((EU108)*AV108*I108),2)*BS108),2))*AU108)/100),2)+ROUND(((ROUND((ROUND(((AE108-(EU108))*AV108*I108),2)*BS108),2)*AU108)/100),2))</f>
        <v>0</v>
      </c>
      <c r="AA108" s="3">
        <v>-1</v>
      </c>
      <c r="AB108" s="3">
        <f t="shared" si="78"/>
        <v>5609.55</v>
      </c>
      <c r="AC108" s="3">
        <f>ROUND((ES108),6)</f>
        <v>5609.55</v>
      </c>
      <c r="AD108" s="3">
        <f>ROUND((((ET108)-(EU108))+AE108),6)</f>
        <v>0</v>
      </c>
      <c r="AE108" s="3">
        <f>ROUND((EU108),6)</f>
        <v>0</v>
      </c>
      <c r="AF108" s="3">
        <f>ROUND((EV108),6)</f>
        <v>0</v>
      </c>
      <c r="AG108" s="3">
        <f t="shared" si="79"/>
        <v>0</v>
      </c>
      <c r="AH108" s="3">
        <f>(EW108)</f>
        <v>0</v>
      </c>
      <c r="AI108" s="3">
        <f>(EX108)</f>
        <v>0</v>
      </c>
      <c r="AJ108" s="3">
        <f t="shared" si="80"/>
        <v>0</v>
      </c>
      <c r="AK108" s="3">
        <v>5609.55</v>
      </c>
      <c r="AL108" s="3">
        <v>5609.55</v>
      </c>
      <c r="AM108" s="3">
        <v>0</v>
      </c>
      <c r="AN108" s="3">
        <v>0</v>
      </c>
      <c r="AO108" s="3">
        <v>0</v>
      </c>
      <c r="AP108" s="3">
        <v>0</v>
      </c>
      <c r="AQ108" s="3">
        <v>0</v>
      </c>
      <c r="AR108" s="3">
        <v>0</v>
      </c>
      <c r="AS108" s="3">
        <v>0</v>
      </c>
      <c r="AT108" s="3">
        <v>0</v>
      </c>
      <c r="AU108" s="3">
        <v>0</v>
      </c>
      <c r="AV108" s="3">
        <v>1</v>
      </c>
      <c r="AW108" s="3">
        <v>1</v>
      </c>
      <c r="AZ108" s="3">
        <v>1</v>
      </c>
      <c r="BA108" s="3">
        <v>1</v>
      </c>
      <c r="BB108" s="3">
        <v>1</v>
      </c>
      <c r="BC108" s="3">
        <v>7.57</v>
      </c>
      <c r="BD108" s="3" t="s">
        <v>3</v>
      </c>
      <c r="BE108" s="3" t="s">
        <v>3</v>
      </c>
      <c r="BF108" s="3" t="s">
        <v>3</v>
      </c>
      <c r="BG108" s="3" t="s">
        <v>3</v>
      </c>
      <c r="BH108" s="3">
        <v>3</v>
      </c>
      <c r="BI108" s="3">
        <v>3</v>
      </c>
      <c r="BJ108" s="3" t="s">
        <v>184</v>
      </c>
      <c r="BM108" s="3">
        <v>400007</v>
      </c>
      <c r="BN108" s="3">
        <v>0</v>
      </c>
      <c r="BO108" s="3" t="s">
        <v>3</v>
      </c>
      <c r="BP108" s="3">
        <v>0</v>
      </c>
      <c r="BQ108" s="3">
        <v>214</v>
      </c>
      <c r="BR108" s="3">
        <v>0</v>
      </c>
      <c r="BS108" s="3">
        <v>1</v>
      </c>
      <c r="BT108" s="3">
        <v>1</v>
      </c>
      <c r="BU108" s="3">
        <v>1</v>
      </c>
      <c r="BV108" s="3">
        <v>1</v>
      </c>
      <c r="BW108" s="3">
        <v>1</v>
      </c>
      <c r="BX108" s="3">
        <v>1</v>
      </c>
      <c r="BY108" s="3" t="s">
        <v>3</v>
      </c>
      <c r="BZ108" s="3">
        <v>0</v>
      </c>
      <c r="CA108" s="3">
        <v>0</v>
      </c>
      <c r="CB108" s="3" t="s">
        <v>3</v>
      </c>
      <c r="CE108" s="3">
        <v>1566</v>
      </c>
      <c r="CF108" s="3">
        <v>0</v>
      </c>
      <c r="CG108" s="3">
        <v>0</v>
      </c>
      <c r="CM108" s="3">
        <v>0</v>
      </c>
      <c r="CN108" s="3" t="s">
        <v>3</v>
      </c>
      <c r="CO108" s="3">
        <v>0</v>
      </c>
      <c r="CP108" s="3">
        <f t="shared" si="81"/>
        <v>42464.29</v>
      </c>
      <c r="CQ108" s="3">
        <f t="shared" si="82"/>
        <v>42464.29</v>
      </c>
      <c r="CR108" s="3">
        <f>(ROUND((ROUND(((ET108)*AV108*1),2)*BB108),2)+ROUND((ROUND(((AE108-(EU108))*AV108*1),2)*BS108),2))</f>
        <v>0</v>
      </c>
      <c r="CS108" s="3">
        <f>(ROUND((ROUND(((EU108)*AV108*1),2)*BS108),2)+ROUND((ROUND(((AE108-(EU108))*AV108*1),2)*BS108),2))</f>
        <v>0</v>
      </c>
      <c r="CT108" s="3">
        <f t="shared" si="83"/>
        <v>0</v>
      </c>
      <c r="CU108" s="3">
        <f t="shared" si="84"/>
        <v>0</v>
      </c>
      <c r="CV108" s="3">
        <f t="shared" si="85"/>
        <v>0</v>
      </c>
      <c r="CW108" s="3">
        <f t="shared" si="86"/>
        <v>0</v>
      </c>
      <c r="CX108" s="3">
        <f t="shared" si="87"/>
        <v>0</v>
      </c>
      <c r="CY108" s="3">
        <f>(ROUND((((S108+ROUND((ROUND(((EU108)*AV108*1),2)*BS108),2))*AT108)/100),2)+ROUND(((ROUND((ROUND(((AE108-(EU108))*AV108*1),2)*BS108),2)*AT108)/100),2))</f>
        <v>0</v>
      </c>
      <c r="CZ108" s="3">
        <f>(ROUND((((S108+ROUND((ROUND(((EU108)*AV108*1),2)*BS108),2))*AU108)/100),2)+ROUND(((ROUND((ROUND(((AE108-(EU108))*AV108*1),2)*BS108),2)*AU108)/100),2))</f>
        <v>0</v>
      </c>
      <c r="DC108" s="3" t="s">
        <v>3</v>
      </c>
      <c r="DD108" s="3" t="s">
        <v>3</v>
      </c>
      <c r="DE108" s="3" t="s">
        <v>3</v>
      </c>
      <c r="DF108" s="3" t="s">
        <v>3</v>
      </c>
      <c r="DG108" s="3" t="s">
        <v>3</v>
      </c>
      <c r="DH108" s="3" t="s">
        <v>3</v>
      </c>
      <c r="DI108" s="3" t="s">
        <v>3</v>
      </c>
      <c r="DJ108" s="3" t="s">
        <v>3</v>
      </c>
      <c r="DK108" s="3" t="s">
        <v>3</v>
      </c>
      <c r="DL108" s="3" t="s">
        <v>3</v>
      </c>
      <c r="DM108" s="3" t="s">
        <v>3</v>
      </c>
      <c r="DN108" s="3">
        <v>0</v>
      </c>
      <c r="DO108" s="3">
        <v>0</v>
      </c>
      <c r="DP108" s="3">
        <v>1</v>
      </c>
      <c r="DQ108" s="3">
        <v>1</v>
      </c>
      <c r="DU108" s="3">
        <v>1013</v>
      </c>
      <c r="DV108" s="3" t="s">
        <v>152</v>
      </c>
      <c r="DW108" s="3" t="s">
        <v>152</v>
      </c>
      <c r="DX108" s="3">
        <v>1</v>
      </c>
      <c r="DZ108" s="3" t="s">
        <v>3</v>
      </c>
      <c r="EA108" s="3" t="s">
        <v>3</v>
      </c>
      <c r="EB108" s="3" t="s">
        <v>3</v>
      </c>
      <c r="EC108" s="3" t="s">
        <v>3</v>
      </c>
      <c r="EE108" s="3">
        <v>57042890</v>
      </c>
      <c r="EF108" s="3">
        <v>214</v>
      </c>
      <c r="EG108" s="3" t="s">
        <v>153</v>
      </c>
      <c r="EH108" s="3">
        <v>0</v>
      </c>
      <c r="EI108" s="3" t="s">
        <v>3</v>
      </c>
      <c r="EJ108" s="3">
        <v>3</v>
      </c>
      <c r="EK108" s="3">
        <v>400007</v>
      </c>
      <c r="EL108" s="3" t="s">
        <v>153</v>
      </c>
      <c r="EM108" s="3" t="s">
        <v>154</v>
      </c>
      <c r="EO108" s="3" t="s">
        <v>3</v>
      </c>
      <c r="EQ108" s="3">
        <v>1040</v>
      </c>
      <c r="ER108" s="3">
        <v>0</v>
      </c>
      <c r="ES108" s="3">
        <v>5609.55</v>
      </c>
      <c r="ET108" s="3">
        <v>0</v>
      </c>
      <c r="EU108" s="3">
        <v>0</v>
      </c>
      <c r="EV108" s="3">
        <v>0</v>
      </c>
      <c r="EW108" s="3">
        <v>0</v>
      </c>
      <c r="EX108" s="3">
        <v>0</v>
      </c>
      <c r="EY108" s="3">
        <v>0</v>
      </c>
      <c r="EZ108" s="3">
        <v>5</v>
      </c>
      <c r="FC108" s="3">
        <v>1</v>
      </c>
      <c r="FD108" s="3">
        <v>18</v>
      </c>
      <c r="FF108" s="3">
        <v>49701</v>
      </c>
      <c r="FQ108" s="3">
        <v>0</v>
      </c>
      <c r="FR108" s="3">
        <f>P108</f>
        <v>42464.29</v>
      </c>
      <c r="FS108" s="3">
        <v>0</v>
      </c>
      <c r="FX108" s="3">
        <v>0</v>
      </c>
      <c r="FY108" s="3">
        <v>0</v>
      </c>
      <c r="GA108" s="3" t="s">
        <v>186</v>
      </c>
      <c r="GD108" s="3">
        <v>1</v>
      </c>
      <c r="GF108" s="3">
        <v>699234727</v>
      </c>
      <c r="GG108" s="3">
        <v>2</v>
      </c>
      <c r="GH108" s="3">
        <v>3</v>
      </c>
      <c r="GI108" s="3">
        <v>5</v>
      </c>
      <c r="GJ108" s="3">
        <v>0</v>
      </c>
      <c r="GK108" s="3">
        <v>0</v>
      </c>
      <c r="GL108" s="3">
        <f t="shared" si="88"/>
        <v>0</v>
      </c>
      <c r="GM108" s="3">
        <f t="shared" si="89"/>
        <v>42464.29</v>
      </c>
      <c r="GN108" s="3">
        <f t="shared" si="90"/>
        <v>0</v>
      </c>
      <c r="GO108" s="3">
        <f t="shared" si="91"/>
        <v>0</v>
      </c>
      <c r="GP108" s="3">
        <f t="shared" si="92"/>
        <v>0</v>
      </c>
      <c r="GR108" s="3">
        <v>1</v>
      </c>
      <c r="GS108" s="3">
        <v>1</v>
      </c>
      <c r="GT108" s="3">
        <v>0</v>
      </c>
      <c r="GU108" s="3" t="s">
        <v>3</v>
      </c>
      <c r="GV108" s="3">
        <f t="shared" si="93"/>
        <v>0</v>
      </c>
      <c r="GW108" s="3">
        <v>1</v>
      </c>
      <c r="GX108" s="3">
        <f t="shared" si="94"/>
        <v>0</v>
      </c>
      <c r="HA108" s="3">
        <v>0</v>
      </c>
      <c r="HB108" s="3">
        <v>0</v>
      </c>
      <c r="HC108" s="3">
        <f t="shared" si="95"/>
        <v>0</v>
      </c>
      <c r="HE108" s="3" t="s">
        <v>39</v>
      </c>
      <c r="HF108" s="3" t="s">
        <v>156</v>
      </c>
      <c r="HM108" s="3" t="s">
        <v>3</v>
      </c>
      <c r="HN108" s="3" t="s">
        <v>3</v>
      </c>
      <c r="HO108" s="3" t="s">
        <v>3</v>
      </c>
      <c r="HP108" s="3" t="s">
        <v>3</v>
      </c>
      <c r="HQ108" s="3" t="s">
        <v>3</v>
      </c>
      <c r="HS108" s="3">
        <v>0</v>
      </c>
      <c r="IK108" s="3">
        <v>0</v>
      </c>
    </row>
    <row r="109" spans="1:255" x14ac:dyDescent="0.25">
      <c r="A109" s="2">
        <v>17</v>
      </c>
      <c r="B109" s="2">
        <v>1</v>
      </c>
      <c r="C109" s="2">
        <f>ROW(SmtRes!A128)</f>
        <v>128</v>
      </c>
      <c r="D109" s="2">
        <f>ROW(EtalonRes!A163)</f>
        <v>163</v>
      </c>
      <c r="E109" s="2" t="s">
        <v>3</v>
      </c>
      <c r="F109" s="2" t="s">
        <v>163</v>
      </c>
      <c r="G109" s="2" t="s">
        <v>164</v>
      </c>
      <c r="H109" s="2" t="s">
        <v>27</v>
      </c>
      <c r="I109" s="2">
        <v>1</v>
      </c>
      <c r="J109" s="2">
        <v>0</v>
      </c>
      <c r="K109" s="2">
        <v>1</v>
      </c>
      <c r="L109" s="2"/>
      <c r="M109" s="2"/>
      <c r="N109" s="2"/>
      <c r="O109" s="2">
        <f t="shared" si="71"/>
        <v>15.27</v>
      </c>
      <c r="P109" s="2">
        <f t="shared" si="72"/>
        <v>0</v>
      </c>
      <c r="Q109" s="2">
        <f>(ROUND((ROUND((((ET109*1.2))*AV109*I109),2)*BB109),2)+ROUND((ROUND(((AE109-((EU109*1.2)))*AV109*I109),2)*BS109),2))</f>
        <v>0.63</v>
      </c>
      <c r="R109" s="2">
        <f>(ROUND((ROUND((((EU109*1.2))*AV109*I109),2)*BS109),2)+ROUND((ROUND(((AE109-((EU109*1.2)))*AV109*I109),2)*BS109),2))</f>
        <v>0.1</v>
      </c>
      <c r="S109" s="2">
        <f t="shared" si="73"/>
        <v>14.64</v>
      </c>
      <c r="T109" s="2">
        <f t="shared" si="74"/>
        <v>0</v>
      </c>
      <c r="U109" s="2">
        <f t="shared" si="75"/>
        <v>1.2940919999999998</v>
      </c>
      <c r="V109" s="2">
        <f t="shared" si="76"/>
        <v>0</v>
      </c>
      <c r="W109" s="2">
        <f t="shared" si="77"/>
        <v>0</v>
      </c>
      <c r="X109" s="2">
        <f>(ROUND((((S109+ROUND((ROUND((((EU109*1.2))*AV109*I109),2)*BS109),2))*AT109)/100),2)+ROUND(((ROUND((ROUND(((AE109-((EU109*1.2)))*AV109*I109),2)*BS109),2)*AT109)/100),2))</f>
        <v>13.27</v>
      </c>
      <c r="Y109" s="2">
        <f>(ROUND((((S109+ROUND((ROUND((((EU109*1.2))*AV109*I109),2)*BS109),2))*AU109)/100),2)+ROUND(((ROUND((ROUND(((AE109-((EU109*1.2)))*AV109*I109),2)*BS109),2)*AU109)/100),2))</f>
        <v>6.78</v>
      </c>
      <c r="Z109" s="2"/>
      <c r="AA109" s="2">
        <v>-1</v>
      </c>
      <c r="AB109" s="2">
        <f t="shared" si="78"/>
        <v>14.58</v>
      </c>
      <c r="AC109" s="2">
        <f>ROUND(((ES109*1)),6)</f>
        <v>0</v>
      </c>
      <c r="AD109" s="2">
        <f>ROUND(((((ET109*1.2))-((EU109*1.2)))+AE109),6)</f>
        <v>0.6</v>
      </c>
      <c r="AE109" s="2">
        <f t="shared" ref="AE109:AF112" si="102">ROUND(((EU109*1.2)),6)</f>
        <v>9.6000000000000002E-2</v>
      </c>
      <c r="AF109" s="2">
        <f t="shared" si="102"/>
        <v>13.98</v>
      </c>
      <c r="AG109" s="2">
        <f t="shared" si="79"/>
        <v>0</v>
      </c>
      <c r="AH109" s="2">
        <f t="shared" ref="AH109:AI112" si="103">((EW109*1.2))</f>
        <v>1.236</v>
      </c>
      <c r="AI109" s="2">
        <f t="shared" si="103"/>
        <v>0</v>
      </c>
      <c r="AJ109" s="2">
        <f t="shared" si="80"/>
        <v>0</v>
      </c>
      <c r="AK109" s="2">
        <v>12.15</v>
      </c>
      <c r="AL109" s="2">
        <v>0</v>
      </c>
      <c r="AM109" s="2">
        <v>0.5</v>
      </c>
      <c r="AN109" s="2">
        <v>0.08</v>
      </c>
      <c r="AO109" s="2">
        <v>11.65</v>
      </c>
      <c r="AP109" s="2">
        <v>0</v>
      </c>
      <c r="AQ109" s="2">
        <v>1.03</v>
      </c>
      <c r="AR109" s="2">
        <v>0</v>
      </c>
      <c r="AS109" s="2">
        <v>0</v>
      </c>
      <c r="AT109" s="2">
        <v>90</v>
      </c>
      <c r="AU109" s="2">
        <v>46</v>
      </c>
      <c r="AV109" s="2">
        <v>1.0469999999999999</v>
      </c>
      <c r="AW109" s="2">
        <v>1</v>
      </c>
      <c r="AX109" s="2"/>
      <c r="AY109" s="2"/>
      <c r="AZ109" s="2">
        <v>1</v>
      </c>
      <c r="BA109" s="2">
        <v>1</v>
      </c>
      <c r="BB109" s="2">
        <v>1</v>
      </c>
      <c r="BC109" s="2">
        <v>1</v>
      </c>
      <c r="BD109" s="2" t="s">
        <v>3</v>
      </c>
      <c r="BE109" s="2" t="s">
        <v>3</v>
      </c>
      <c r="BF109" s="2" t="s">
        <v>3</v>
      </c>
      <c r="BG109" s="2" t="s">
        <v>3</v>
      </c>
      <c r="BH109" s="2">
        <v>0</v>
      </c>
      <c r="BI109" s="2">
        <v>2</v>
      </c>
      <c r="BJ109" s="2" t="s">
        <v>165</v>
      </c>
      <c r="BK109" s="2"/>
      <c r="BL109" s="2"/>
      <c r="BM109" s="2">
        <v>72</v>
      </c>
      <c r="BN109" s="2">
        <v>0</v>
      </c>
      <c r="BO109" s="2" t="s">
        <v>163</v>
      </c>
      <c r="BP109" s="2">
        <v>1</v>
      </c>
      <c r="BQ109" s="2">
        <v>40</v>
      </c>
      <c r="BR109" s="2">
        <v>0</v>
      </c>
      <c r="BS109" s="2">
        <v>1</v>
      </c>
      <c r="BT109" s="2">
        <v>1</v>
      </c>
      <c r="BU109" s="2">
        <v>1</v>
      </c>
      <c r="BV109" s="2">
        <v>1</v>
      </c>
      <c r="BW109" s="2">
        <v>1</v>
      </c>
      <c r="BX109" s="2">
        <v>1</v>
      </c>
      <c r="BY109" s="2" t="s">
        <v>3</v>
      </c>
      <c r="BZ109" s="2">
        <v>90</v>
      </c>
      <c r="CA109" s="2">
        <v>46</v>
      </c>
      <c r="CB109" s="2" t="s">
        <v>3</v>
      </c>
      <c r="CC109" s="2"/>
      <c r="CD109" s="2"/>
      <c r="CE109" s="2">
        <v>1566</v>
      </c>
      <c r="CF109" s="2">
        <v>0</v>
      </c>
      <c r="CG109" s="2">
        <v>0</v>
      </c>
      <c r="CH109" s="2"/>
      <c r="CI109" s="2"/>
      <c r="CJ109" s="2"/>
      <c r="CK109" s="2"/>
      <c r="CL109" s="2"/>
      <c r="CM109" s="2">
        <v>0</v>
      </c>
      <c r="CN109" s="2" t="s">
        <v>624</v>
      </c>
      <c r="CO109" s="2">
        <v>0</v>
      </c>
      <c r="CP109" s="2">
        <f t="shared" si="81"/>
        <v>15.270000000000001</v>
      </c>
      <c r="CQ109" s="2">
        <f t="shared" si="82"/>
        <v>0</v>
      </c>
      <c r="CR109" s="2">
        <f>(ROUND((ROUND((((ET109*1.2))*AV109*1),2)*BB109),2)+ROUND((ROUND(((AE109-((EU109*1.2)))*AV109*1),2)*BS109),2))</f>
        <v>0.63</v>
      </c>
      <c r="CS109" s="2">
        <f>(ROUND((ROUND((((EU109*1.2))*AV109*1),2)*BS109),2)+ROUND((ROUND(((AE109-((EU109*1.2)))*AV109*1),2)*BS109),2))</f>
        <v>0.1</v>
      </c>
      <c r="CT109" s="2">
        <f t="shared" si="83"/>
        <v>14.64</v>
      </c>
      <c r="CU109" s="2">
        <f t="shared" si="84"/>
        <v>0</v>
      </c>
      <c r="CV109" s="2">
        <f t="shared" si="85"/>
        <v>1.2940919999999998</v>
      </c>
      <c r="CW109" s="2">
        <f t="shared" si="86"/>
        <v>0</v>
      </c>
      <c r="CX109" s="2">
        <f t="shared" si="87"/>
        <v>0</v>
      </c>
      <c r="CY109" s="2">
        <f>(ROUND((((S109+ROUND((ROUND((((EU109*1.2))*AV109*1),2)*BS109),2))*AT109)/100),2)+ROUND(((ROUND((ROUND(((AE109-((EU109*1.2)))*AV109*1),2)*BS109),2)*AT109)/100),2))</f>
        <v>13.27</v>
      </c>
      <c r="CZ109" s="2">
        <f>(ROUND((((S109+ROUND((ROUND((((EU109*1.2))*AV109*1),2)*BS109),2))*AU109)/100),2)+ROUND(((ROUND((ROUND(((AE109-((EU109*1.2)))*AV109*1),2)*BS109),2)*AU109)/100),2))</f>
        <v>6.78</v>
      </c>
      <c r="DA109" s="2"/>
      <c r="DB109" s="2">
        <v>57</v>
      </c>
      <c r="DC109" s="2" t="s">
        <v>3</v>
      </c>
      <c r="DD109" s="2" t="s">
        <v>70</v>
      </c>
      <c r="DE109" s="2" t="s">
        <v>71</v>
      </c>
      <c r="DF109" s="2" t="s">
        <v>71</v>
      </c>
      <c r="DG109" s="2" t="s">
        <v>71</v>
      </c>
      <c r="DH109" s="2" t="s">
        <v>3</v>
      </c>
      <c r="DI109" s="2" t="s">
        <v>71</v>
      </c>
      <c r="DJ109" s="2" t="s">
        <v>71</v>
      </c>
      <c r="DK109" s="2" t="s">
        <v>3</v>
      </c>
      <c r="DL109" s="2" t="s">
        <v>3</v>
      </c>
      <c r="DM109" s="2" t="s">
        <v>3</v>
      </c>
      <c r="DN109" s="2">
        <v>0</v>
      </c>
      <c r="DO109" s="2">
        <v>0</v>
      </c>
      <c r="DP109" s="2">
        <v>1</v>
      </c>
      <c r="DQ109" s="2">
        <v>1</v>
      </c>
      <c r="DR109" s="2"/>
      <c r="DS109" s="2"/>
      <c r="DT109" s="2"/>
      <c r="DU109" s="2">
        <v>1013</v>
      </c>
      <c r="DV109" s="2" t="s">
        <v>27</v>
      </c>
      <c r="DW109" s="2" t="s">
        <v>27</v>
      </c>
      <c r="DX109" s="2">
        <v>1</v>
      </c>
      <c r="DY109" s="2"/>
      <c r="DZ109" s="2" t="s">
        <v>3</v>
      </c>
      <c r="EA109" s="2" t="s">
        <v>3</v>
      </c>
      <c r="EB109" s="2" t="s">
        <v>3</v>
      </c>
      <c r="EC109" s="2" t="s">
        <v>3</v>
      </c>
      <c r="ED109" s="2"/>
      <c r="EE109" s="2">
        <v>57042962</v>
      </c>
      <c r="EF109" s="2">
        <v>40</v>
      </c>
      <c r="EG109" s="2" t="s">
        <v>31</v>
      </c>
      <c r="EH109" s="2">
        <v>0</v>
      </c>
      <c r="EI109" s="2" t="s">
        <v>3</v>
      </c>
      <c r="EJ109" s="2">
        <v>2</v>
      </c>
      <c r="EK109" s="2">
        <v>72</v>
      </c>
      <c r="EL109" s="2" t="s">
        <v>166</v>
      </c>
      <c r="EM109" s="2" t="s">
        <v>167</v>
      </c>
      <c r="EN109" s="2"/>
      <c r="EO109" s="2" t="s">
        <v>75</v>
      </c>
      <c r="EP109" s="2"/>
      <c r="EQ109" s="2">
        <v>1024</v>
      </c>
      <c r="ER109" s="2">
        <v>12.15</v>
      </c>
      <c r="ES109" s="2">
        <v>0</v>
      </c>
      <c r="ET109" s="2">
        <v>0.5</v>
      </c>
      <c r="EU109" s="2">
        <v>0.08</v>
      </c>
      <c r="EV109" s="2">
        <v>11.65</v>
      </c>
      <c r="EW109" s="2">
        <v>1.03</v>
      </c>
      <c r="EX109" s="2">
        <v>0</v>
      </c>
      <c r="EY109" s="2">
        <v>0</v>
      </c>
      <c r="EZ109" s="2"/>
      <c r="FA109" s="2"/>
      <c r="FB109" s="2"/>
      <c r="FC109" s="2"/>
      <c r="FD109" s="2"/>
      <c r="FE109" s="2"/>
      <c r="FF109" s="2"/>
      <c r="FG109" s="2"/>
      <c r="FH109" s="2"/>
      <c r="FI109" s="2"/>
      <c r="FJ109" s="2"/>
      <c r="FK109" s="2"/>
      <c r="FL109" s="2"/>
      <c r="FM109" s="2"/>
      <c r="FN109" s="2"/>
      <c r="FO109" s="2"/>
      <c r="FP109" s="2"/>
      <c r="FQ109" s="2">
        <v>0</v>
      </c>
      <c r="FR109" s="2">
        <v>0</v>
      </c>
      <c r="FS109" s="2">
        <v>0</v>
      </c>
      <c r="FT109" s="2"/>
      <c r="FU109" s="2"/>
      <c r="FV109" s="2"/>
      <c r="FW109" s="2"/>
      <c r="FX109" s="2">
        <v>90</v>
      </c>
      <c r="FY109" s="2">
        <v>46</v>
      </c>
      <c r="FZ109" s="2"/>
      <c r="GA109" s="2" t="s">
        <v>3</v>
      </c>
      <c r="GB109" s="2"/>
      <c r="GC109" s="2"/>
      <c r="GD109" s="2">
        <v>1</v>
      </c>
      <c r="GE109" s="2"/>
      <c r="GF109" s="2">
        <v>-920792427</v>
      </c>
      <c r="GG109" s="2">
        <v>2</v>
      </c>
      <c r="GH109" s="2">
        <v>1</v>
      </c>
      <c r="GI109" s="2">
        <v>2</v>
      </c>
      <c r="GJ109" s="2">
        <v>0</v>
      </c>
      <c r="GK109" s="2">
        <v>0</v>
      </c>
      <c r="GL109" s="2">
        <f t="shared" si="88"/>
        <v>0</v>
      </c>
      <c r="GM109" s="2">
        <f t="shared" si="89"/>
        <v>35.32</v>
      </c>
      <c r="GN109" s="2">
        <f t="shared" si="90"/>
        <v>0</v>
      </c>
      <c r="GO109" s="2">
        <f t="shared" si="91"/>
        <v>35.32</v>
      </c>
      <c r="GP109" s="2">
        <f t="shared" si="92"/>
        <v>0</v>
      </c>
      <c r="GQ109" s="2"/>
      <c r="GR109" s="2">
        <v>0</v>
      </c>
      <c r="GS109" s="2">
        <v>3</v>
      </c>
      <c r="GT109" s="2">
        <v>0</v>
      </c>
      <c r="GU109" s="2" t="s">
        <v>3</v>
      </c>
      <c r="GV109" s="2">
        <f t="shared" si="93"/>
        <v>0</v>
      </c>
      <c r="GW109" s="2">
        <v>1</v>
      </c>
      <c r="GX109" s="2">
        <f t="shared" si="94"/>
        <v>0</v>
      </c>
      <c r="GY109" s="2"/>
      <c r="GZ109" s="2"/>
      <c r="HA109" s="2">
        <v>0</v>
      </c>
      <c r="HB109" s="2">
        <v>0</v>
      </c>
      <c r="HC109" s="2">
        <f t="shared" si="95"/>
        <v>0</v>
      </c>
      <c r="HD109" s="2"/>
      <c r="HE109" s="2" t="s">
        <v>3</v>
      </c>
      <c r="HF109" s="2" t="s">
        <v>3</v>
      </c>
      <c r="HG109" s="2"/>
      <c r="HH109" s="2"/>
      <c r="HI109" s="2"/>
      <c r="HJ109" s="2"/>
      <c r="HK109" s="2"/>
      <c r="HL109" s="2"/>
      <c r="HM109" s="2" t="s">
        <v>3</v>
      </c>
      <c r="HN109" s="2" t="s">
        <v>3</v>
      </c>
      <c r="HO109" s="2" t="s">
        <v>3</v>
      </c>
      <c r="HP109" s="2" t="s">
        <v>3</v>
      </c>
      <c r="HQ109" s="2" t="s">
        <v>3</v>
      </c>
      <c r="HR109" s="2"/>
      <c r="HS109" s="2">
        <v>0</v>
      </c>
      <c r="HT109" s="2"/>
      <c r="HU109" s="2"/>
      <c r="HV109" s="2"/>
      <c r="HW109" s="2"/>
      <c r="HX109" s="2"/>
      <c r="HY109" s="2"/>
      <c r="HZ109" s="2"/>
      <c r="IA109" s="2"/>
      <c r="IB109" s="2"/>
      <c r="IC109" s="2"/>
      <c r="ID109" s="2"/>
      <c r="IE109" s="2"/>
      <c r="IF109" s="2"/>
      <c r="IG109" s="2"/>
      <c r="IH109" s="2"/>
      <c r="II109" s="2"/>
      <c r="IJ109" s="2"/>
      <c r="IK109" s="2">
        <v>0</v>
      </c>
      <c r="IL109" s="2"/>
      <c r="IM109" s="2"/>
      <c r="IN109" s="2"/>
      <c r="IO109" s="2"/>
      <c r="IP109" s="2"/>
      <c r="IQ109" s="2"/>
      <c r="IR109" s="2"/>
      <c r="IS109" s="2"/>
      <c r="IT109" s="2"/>
      <c r="IU109" s="2"/>
    </row>
    <row r="110" spans="1:255" x14ac:dyDescent="0.25">
      <c r="A110" s="3">
        <v>17</v>
      </c>
      <c r="B110" s="3">
        <v>1</v>
      </c>
      <c r="C110" s="3">
        <f>ROW(SmtRes!A130)</f>
        <v>130</v>
      </c>
      <c r="D110" s="3">
        <f>ROW(EtalonRes!A166)</f>
        <v>166</v>
      </c>
      <c r="E110" s="3" t="s">
        <v>3</v>
      </c>
      <c r="F110" s="3" t="s">
        <v>163</v>
      </c>
      <c r="G110" s="3" t="s">
        <v>164</v>
      </c>
      <c r="H110" s="3" t="s">
        <v>27</v>
      </c>
      <c r="I110" s="3">
        <v>1</v>
      </c>
      <c r="J110" s="3">
        <v>0</v>
      </c>
      <c r="K110" s="3">
        <v>1</v>
      </c>
      <c r="O110" s="3">
        <f t="shared" si="71"/>
        <v>835.68</v>
      </c>
      <c r="P110" s="3">
        <f t="shared" si="72"/>
        <v>0</v>
      </c>
      <c r="Q110" s="3">
        <f>(ROUND((ROUND((((ET110*1.2))*AV110*I110),2)*BB110),2)+ROUND((ROUND(((AE110-((EU110*1.2)))*AV110*I110),2)*BS110),2))</f>
        <v>10.72</v>
      </c>
      <c r="R110" s="3">
        <f>(ROUND((ROUND((((EU110*1.2))*AV110*I110),2)*BS110),2)+ROUND((ROUND(((AE110-((EU110*1.2)))*AV110*I110),2)*BS110),2))</f>
        <v>5.64</v>
      </c>
      <c r="S110" s="3">
        <f t="shared" si="73"/>
        <v>824.96</v>
      </c>
      <c r="T110" s="3">
        <f t="shared" si="74"/>
        <v>0</v>
      </c>
      <c r="U110" s="3">
        <f t="shared" si="75"/>
        <v>1.2940919999999998</v>
      </c>
      <c r="V110" s="3">
        <f t="shared" si="76"/>
        <v>0</v>
      </c>
      <c r="W110" s="3">
        <f t="shared" si="77"/>
        <v>0</v>
      </c>
      <c r="X110" s="3">
        <f>(ROUND((((S110+ROUND((ROUND((((EU110*1.2))*AV110*I110),2)*BS110),2))*AT110)/100),2)+ROUND(((ROUND((ROUND(((AE110-((EU110*1.2)))*AV110*I110),2)*BS110),2)*AT110)/100),2))</f>
        <v>747.54</v>
      </c>
      <c r="Y110" s="3">
        <f>(ROUND((((S110+ROUND((ROUND((((EU110*1.2))*AV110*I110),2)*BS110),2))*AU110)/100),2)+ROUND(((ROUND((ROUND(((AE110-((EU110*1.2)))*AV110*I110),2)*BS110),2)*AU110)/100),2))</f>
        <v>382.08</v>
      </c>
      <c r="AA110" s="3">
        <v>-1</v>
      </c>
      <c r="AB110" s="3">
        <f t="shared" si="78"/>
        <v>14.58</v>
      </c>
      <c r="AC110" s="3">
        <f>ROUND(((ES110*1)),6)</f>
        <v>0</v>
      </c>
      <c r="AD110" s="3">
        <f>ROUND(((((ET110*1.2))-((EU110*1.2)))+AE110),6)</f>
        <v>0.6</v>
      </c>
      <c r="AE110" s="3">
        <f t="shared" si="102"/>
        <v>9.6000000000000002E-2</v>
      </c>
      <c r="AF110" s="3">
        <f t="shared" si="102"/>
        <v>13.98</v>
      </c>
      <c r="AG110" s="3">
        <f t="shared" si="79"/>
        <v>0</v>
      </c>
      <c r="AH110" s="3">
        <f t="shared" si="103"/>
        <v>1.236</v>
      </c>
      <c r="AI110" s="3">
        <f t="shared" si="103"/>
        <v>0</v>
      </c>
      <c r="AJ110" s="3">
        <f t="shared" si="80"/>
        <v>0</v>
      </c>
      <c r="AK110" s="3">
        <v>12.15</v>
      </c>
      <c r="AL110" s="3">
        <v>0</v>
      </c>
      <c r="AM110" s="3">
        <v>0.5</v>
      </c>
      <c r="AN110" s="3">
        <v>0.08</v>
      </c>
      <c r="AO110" s="3">
        <v>11.65</v>
      </c>
      <c r="AP110" s="3">
        <v>0</v>
      </c>
      <c r="AQ110" s="3">
        <v>1.03</v>
      </c>
      <c r="AR110" s="3">
        <v>0</v>
      </c>
      <c r="AS110" s="3">
        <v>0</v>
      </c>
      <c r="AT110" s="3">
        <v>90</v>
      </c>
      <c r="AU110" s="3">
        <v>46</v>
      </c>
      <c r="AV110" s="3">
        <v>1.0469999999999999</v>
      </c>
      <c r="AW110" s="3">
        <v>1</v>
      </c>
      <c r="AZ110" s="3">
        <v>1</v>
      </c>
      <c r="BA110" s="3">
        <v>56.35</v>
      </c>
      <c r="BB110" s="3">
        <v>17.02</v>
      </c>
      <c r="BC110" s="3">
        <v>1</v>
      </c>
      <c r="BD110" s="3" t="s">
        <v>3</v>
      </c>
      <c r="BE110" s="3" t="s">
        <v>3</v>
      </c>
      <c r="BF110" s="3" t="s">
        <v>3</v>
      </c>
      <c r="BG110" s="3" t="s">
        <v>3</v>
      </c>
      <c r="BH110" s="3">
        <v>0</v>
      </c>
      <c r="BI110" s="3">
        <v>2</v>
      </c>
      <c r="BJ110" s="3" t="s">
        <v>165</v>
      </c>
      <c r="BM110" s="3">
        <v>72</v>
      </c>
      <c r="BN110" s="3">
        <v>0</v>
      </c>
      <c r="BO110" s="3" t="s">
        <v>163</v>
      </c>
      <c r="BP110" s="3">
        <v>1</v>
      </c>
      <c r="BQ110" s="3">
        <v>40</v>
      </c>
      <c r="BR110" s="3">
        <v>0</v>
      </c>
      <c r="BS110" s="3">
        <v>56.35</v>
      </c>
      <c r="BT110" s="3">
        <v>1</v>
      </c>
      <c r="BU110" s="3">
        <v>1</v>
      </c>
      <c r="BV110" s="3">
        <v>1</v>
      </c>
      <c r="BW110" s="3">
        <v>1</v>
      </c>
      <c r="BX110" s="3">
        <v>1</v>
      </c>
      <c r="BY110" s="3" t="s">
        <v>3</v>
      </c>
      <c r="BZ110" s="3">
        <v>90</v>
      </c>
      <c r="CA110" s="3">
        <v>46</v>
      </c>
      <c r="CB110" s="3" t="s">
        <v>3</v>
      </c>
      <c r="CE110" s="3">
        <v>1566</v>
      </c>
      <c r="CF110" s="3">
        <v>0</v>
      </c>
      <c r="CG110" s="3">
        <v>0</v>
      </c>
      <c r="CM110" s="3">
        <v>0</v>
      </c>
      <c r="CN110" s="3" t="s">
        <v>624</v>
      </c>
      <c r="CO110" s="3">
        <v>0</v>
      </c>
      <c r="CP110" s="3">
        <f t="shared" si="81"/>
        <v>835.68000000000006</v>
      </c>
      <c r="CQ110" s="3">
        <f t="shared" si="82"/>
        <v>0</v>
      </c>
      <c r="CR110" s="3">
        <f>(ROUND((ROUND((((ET110*1.2))*AV110*1),2)*BB110),2)+ROUND((ROUND(((AE110-((EU110*1.2)))*AV110*1),2)*BS110),2))</f>
        <v>10.72</v>
      </c>
      <c r="CS110" s="3">
        <f>(ROUND((ROUND((((EU110*1.2))*AV110*1),2)*BS110),2)+ROUND((ROUND(((AE110-((EU110*1.2)))*AV110*1),2)*BS110),2))</f>
        <v>5.64</v>
      </c>
      <c r="CT110" s="3">
        <f t="shared" si="83"/>
        <v>824.96</v>
      </c>
      <c r="CU110" s="3">
        <f t="shared" si="84"/>
        <v>0</v>
      </c>
      <c r="CV110" s="3">
        <f t="shared" si="85"/>
        <v>1.2940919999999998</v>
      </c>
      <c r="CW110" s="3">
        <f t="shared" si="86"/>
        <v>0</v>
      </c>
      <c r="CX110" s="3">
        <f t="shared" si="87"/>
        <v>0</v>
      </c>
      <c r="CY110" s="3">
        <f>(ROUND((((S110+ROUND((ROUND((((EU110*1.2))*AV110*1),2)*BS110),2))*AT110)/100),2)+ROUND(((ROUND((ROUND(((AE110-((EU110*1.2)))*AV110*1),2)*BS110),2)*AT110)/100),2))</f>
        <v>747.54</v>
      </c>
      <c r="CZ110" s="3">
        <f>(ROUND((((S110+ROUND((ROUND((((EU110*1.2))*AV110*1),2)*BS110),2))*AU110)/100),2)+ROUND(((ROUND((ROUND(((AE110-((EU110*1.2)))*AV110*1),2)*BS110),2)*AU110)/100),2))</f>
        <v>382.08</v>
      </c>
      <c r="DB110" s="3">
        <v>58</v>
      </c>
      <c r="DC110" s="3" t="s">
        <v>3</v>
      </c>
      <c r="DD110" s="3" t="s">
        <v>70</v>
      </c>
      <c r="DE110" s="3" t="s">
        <v>71</v>
      </c>
      <c r="DF110" s="3" t="s">
        <v>71</v>
      </c>
      <c r="DG110" s="3" t="s">
        <v>71</v>
      </c>
      <c r="DH110" s="3" t="s">
        <v>3</v>
      </c>
      <c r="DI110" s="3" t="s">
        <v>71</v>
      </c>
      <c r="DJ110" s="3" t="s">
        <v>71</v>
      </c>
      <c r="DK110" s="3" t="s">
        <v>3</v>
      </c>
      <c r="DL110" s="3" t="s">
        <v>3</v>
      </c>
      <c r="DM110" s="3" t="s">
        <v>3</v>
      </c>
      <c r="DN110" s="3">
        <v>0</v>
      </c>
      <c r="DO110" s="3">
        <v>0</v>
      </c>
      <c r="DP110" s="3">
        <v>1</v>
      </c>
      <c r="DQ110" s="3">
        <v>1</v>
      </c>
      <c r="DU110" s="3">
        <v>1013</v>
      </c>
      <c r="DV110" s="3" t="s">
        <v>27</v>
      </c>
      <c r="DW110" s="3" t="s">
        <v>27</v>
      </c>
      <c r="DX110" s="3">
        <v>1</v>
      </c>
      <c r="DZ110" s="3" t="s">
        <v>3</v>
      </c>
      <c r="EA110" s="3" t="s">
        <v>3</v>
      </c>
      <c r="EB110" s="3" t="s">
        <v>3</v>
      </c>
      <c r="EC110" s="3" t="s">
        <v>3</v>
      </c>
      <c r="EE110" s="3">
        <v>57042962</v>
      </c>
      <c r="EF110" s="3">
        <v>40</v>
      </c>
      <c r="EG110" s="3" t="s">
        <v>31</v>
      </c>
      <c r="EH110" s="3">
        <v>0</v>
      </c>
      <c r="EI110" s="3" t="s">
        <v>3</v>
      </c>
      <c r="EJ110" s="3">
        <v>2</v>
      </c>
      <c r="EK110" s="3">
        <v>72</v>
      </c>
      <c r="EL110" s="3" t="s">
        <v>166</v>
      </c>
      <c r="EM110" s="3" t="s">
        <v>167</v>
      </c>
      <c r="EO110" s="3" t="s">
        <v>75</v>
      </c>
      <c r="EQ110" s="3">
        <v>1024</v>
      </c>
      <c r="ER110" s="3">
        <v>12.15</v>
      </c>
      <c r="ES110" s="3">
        <v>0</v>
      </c>
      <c r="ET110" s="3">
        <v>0.5</v>
      </c>
      <c r="EU110" s="3">
        <v>0.08</v>
      </c>
      <c r="EV110" s="3">
        <v>11.65</v>
      </c>
      <c r="EW110" s="3">
        <v>1.03</v>
      </c>
      <c r="EX110" s="3">
        <v>0</v>
      </c>
      <c r="EY110" s="3">
        <v>0</v>
      </c>
      <c r="FQ110" s="3">
        <v>0</v>
      </c>
      <c r="FR110" s="3">
        <v>0</v>
      </c>
      <c r="FS110" s="3">
        <v>0</v>
      </c>
      <c r="FX110" s="3">
        <v>90</v>
      </c>
      <c r="FY110" s="3">
        <v>46</v>
      </c>
      <c r="GA110" s="3" t="s">
        <v>3</v>
      </c>
      <c r="GD110" s="3">
        <v>1</v>
      </c>
      <c r="GF110" s="3">
        <v>-920792427</v>
      </c>
      <c r="GG110" s="3">
        <v>2</v>
      </c>
      <c r="GH110" s="3">
        <v>1</v>
      </c>
      <c r="GI110" s="3">
        <v>2</v>
      </c>
      <c r="GJ110" s="3">
        <v>0</v>
      </c>
      <c r="GK110" s="3">
        <v>0</v>
      </c>
      <c r="GL110" s="3">
        <f t="shared" si="88"/>
        <v>0</v>
      </c>
      <c r="GM110" s="3">
        <f t="shared" si="89"/>
        <v>1965.3</v>
      </c>
      <c r="GN110" s="3">
        <f t="shared" si="90"/>
        <v>0</v>
      </c>
      <c r="GO110" s="3">
        <f t="shared" si="91"/>
        <v>1965.3</v>
      </c>
      <c r="GP110" s="3">
        <f t="shared" si="92"/>
        <v>0</v>
      </c>
      <c r="GR110" s="3">
        <v>0</v>
      </c>
      <c r="GS110" s="3">
        <v>3</v>
      </c>
      <c r="GT110" s="3">
        <v>0</v>
      </c>
      <c r="GU110" s="3" t="s">
        <v>3</v>
      </c>
      <c r="GV110" s="3">
        <f t="shared" si="93"/>
        <v>0</v>
      </c>
      <c r="GW110" s="3">
        <v>1</v>
      </c>
      <c r="GX110" s="3">
        <f t="shared" si="94"/>
        <v>0</v>
      </c>
      <c r="HA110" s="3">
        <v>0</v>
      </c>
      <c r="HB110" s="3">
        <v>0</v>
      </c>
      <c r="HC110" s="3">
        <f t="shared" si="95"/>
        <v>0</v>
      </c>
      <c r="HE110" s="3" t="s">
        <v>3</v>
      </c>
      <c r="HF110" s="3" t="s">
        <v>3</v>
      </c>
      <c r="HM110" s="3" t="s">
        <v>3</v>
      </c>
      <c r="HN110" s="3" t="s">
        <v>3</v>
      </c>
      <c r="HO110" s="3" t="s">
        <v>3</v>
      </c>
      <c r="HP110" s="3" t="s">
        <v>3</v>
      </c>
      <c r="HQ110" s="3" t="s">
        <v>3</v>
      </c>
      <c r="HS110" s="3">
        <v>0</v>
      </c>
      <c r="IK110" s="3">
        <v>0</v>
      </c>
    </row>
    <row r="111" spans="1:255" x14ac:dyDescent="0.25">
      <c r="A111" s="2">
        <v>17</v>
      </c>
      <c r="B111" s="2">
        <v>1</v>
      </c>
      <c r="C111" s="2">
        <f>ROW(SmtRes!A133)</f>
        <v>133</v>
      </c>
      <c r="D111" s="2">
        <f>ROW(EtalonRes!A172)</f>
        <v>172</v>
      </c>
      <c r="E111" s="2" t="s">
        <v>3</v>
      </c>
      <c r="F111" s="2" t="s">
        <v>187</v>
      </c>
      <c r="G111" s="2" t="s">
        <v>188</v>
      </c>
      <c r="H111" s="2" t="s">
        <v>27</v>
      </c>
      <c r="I111" s="2">
        <v>1</v>
      </c>
      <c r="J111" s="2">
        <v>0</v>
      </c>
      <c r="K111" s="2">
        <v>1</v>
      </c>
      <c r="L111" s="2"/>
      <c r="M111" s="2"/>
      <c r="N111" s="2"/>
      <c r="O111" s="2">
        <f t="shared" si="71"/>
        <v>43.69</v>
      </c>
      <c r="P111" s="2">
        <f t="shared" si="72"/>
        <v>3.18</v>
      </c>
      <c r="Q111" s="2">
        <f>(ROUND((ROUND((((ET111*1.2))*AV111*I111),2)*BB111),2)+ROUND((ROUND(((AE111-((EU111*1.2)))*AV111*I111),2)*BS111),2))</f>
        <v>8.36</v>
      </c>
      <c r="R111" s="2">
        <f>(ROUND((ROUND((((EU111*1.2))*AV111*I111),2)*BS111),2)+ROUND((ROUND(((AE111-((EU111*1.2)))*AV111*I111),2)*BS111),2))</f>
        <v>1.27</v>
      </c>
      <c r="S111" s="2">
        <f t="shared" si="73"/>
        <v>32.15</v>
      </c>
      <c r="T111" s="2">
        <f t="shared" si="74"/>
        <v>0</v>
      </c>
      <c r="U111" s="2">
        <f t="shared" si="75"/>
        <v>2.4751079999999996</v>
      </c>
      <c r="V111" s="2">
        <f t="shared" si="76"/>
        <v>0</v>
      </c>
      <c r="W111" s="2">
        <f t="shared" si="77"/>
        <v>0</v>
      </c>
      <c r="X111" s="2">
        <f>(ROUND((((S111+ROUND((ROUND((((EU111*1.2))*AV111*I111),2)*BS111),2))*AT111)/100),2)+ROUND(((ROUND((ROUND(((AE111-((EU111*1.2)))*AV111*I111),2)*BS111),2)*AT111)/100),2))</f>
        <v>32.42</v>
      </c>
      <c r="Y111" s="2">
        <f>(ROUND((((S111+ROUND((ROUND((((EU111*1.2))*AV111*I111),2)*BS111),2))*AU111)/100),2)+ROUND(((ROUND((ROUND(((AE111-((EU111*1.2)))*AV111*I111),2)*BS111),2)*AU111)/100),2))</f>
        <v>17.04</v>
      </c>
      <c r="Z111" s="2"/>
      <c r="AA111" s="2">
        <v>-1</v>
      </c>
      <c r="AB111" s="2">
        <f t="shared" si="78"/>
        <v>41.868000000000002</v>
      </c>
      <c r="AC111" s="2">
        <f>ROUND(((ES111*1)),6)</f>
        <v>3.18</v>
      </c>
      <c r="AD111" s="2">
        <f>ROUND(((((ET111*1.2))-((EU111*1.2)))+AE111),6)</f>
        <v>7.98</v>
      </c>
      <c r="AE111" s="2">
        <f t="shared" si="102"/>
        <v>1.212</v>
      </c>
      <c r="AF111" s="2">
        <f t="shared" si="102"/>
        <v>30.707999999999998</v>
      </c>
      <c r="AG111" s="2">
        <f t="shared" si="79"/>
        <v>0</v>
      </c>
      <c r="AH111" s="2">
        <f t="shared" si="103"/>
        <v>2.3639999999999999</v>
      </c>
      <c r="AI111" s="2">
        <f t="shared" si="103"/>
        <v>0</v>
      </c>
      <c r="AJ111" s="2">
        <f t="shared" si="80"/>
        <v>0</v>
      </c>
      <c r="AK111" s="2">
        <v>35.42</v>
      </c>
      <c r="AL111" s="2">
        <v>3.18</v>
      </c>
      <c r="AM111" s="2">
        <v>6.65</v>
      </c>
      <c r="AN111" s="2">
        <v>1.01</v>
      </c>
      <c r="AO111" s="2">
        <v>25.59</v>
      </c>
      <c r="AP111" s="2">
        <v>0</v>
      </c>
      <c r="AQ111" s="2">
        <v>1.97</v>
      </c>
      <c r="AR111" s="2">
        <v>0</v>
      </c>
      <c r="AS111" s="2">
        <v>0</v>
      </c>
      <c r="AT111" s="2">
        <v>97</v>
      </c>
      <c r="AU111" s="2">
        <v>51</v>
      </c>
      <c r="AV111" s="2">
        <v>1.0469999999999999</v>
      </c>
      <c r="AW111" s="2">
        <v>1</v>
      </c>
      <c r="AX111" s="2"/>
      <c r="AY111" s="2"/>
      <c r="AZ111" s="2">
        <v>1</v>
      </c>
      <c r="BA111" s="2">
        <v>1</v>
      </c>
      <c r="BB111" s="2">
        <v>1</v>
      </c>
      <c r="BC111" s="2">
        <v>1</v>
      </c>
      <c r="BD111" s="2" t="s">
        <v>3</v>
      </c>
      <c r="BE111" s="2" t="s">
        <v>3</v>
      </c>
      <c r="BF111" s="2" t="s">
        <v>3</v>
      </c>
      <c r="BG111" s="2" t="s">
        <v>3</v>
      </c>
      <c r="BH111" s="2">
        <v>0</v>
      </c>
      <c r="BI111" s="2">
        <v>2</v>
      </c>
      <c r="BJ111" s="2" t="s">
        <v>189</v>
      </c>
      <c r="BK111" s="2"/>
      <c r="BL111" s="2"/>
      <c r="BM111" s="2">
        <v>67</v>
      </c>
      <c r="BN111" s="2">
        <v>0</v>
      </c>
      <c r="BO111" s="2" t="s">
        <v>187</v>
      </c>
      <c r="BP111" s="2">
        <v>1</v>
      </c>
      <c r="BQ111" s="2">
        <v>40</v>
      </c>
      <c r="BR111" s="2">
        <v>0</v>
      </c>
      <c r="BS111" s="2">
        <v>1</v>
      </c>
      <c r="BT111" s="2">
        <v>1</v>
      </c>
      <c r="BU111" s="2">
        <v>1</v>
      </c>
      <c r="BV111" s="2">
        <v>1</v>
      </c>
      <c r="BW111" s="2">
        <v>1</v>
      </c>
      <c r="BX111" s="2">
        <v>1</v>
      </c>
      <c r="BY111" s="2" t="s">
        <v>3</v>
      </c>
      <c r="BZ111" s="2">
        <v>97</v>
      </c>
      <c r="CA111" s="2">
        <v>51</v>
      </c>
      <c r="CB111" s="2" t="s">
        <v>3</v>
      </c>
      <c r="CC111" s="2"/>
      <c r="CD111" s="2"/>
      <c r="CE111" s="2">
        <v>1566</v>
      </c>
      <c r="CF111" s="2">
        <v>0</v>
      </c>
      <c r="CG111" s="2">
        <v>0</v>
      </c>
      <c r="CH111" s="2"/>
      <c r="CI111" s="2"/>
      <c r="CJ111" s="2"/>
      <c r="CK111" s="2"/>
      <c r="CL111" s="2"/>
      <c r="CM111" s="2">
        <v>0</v>
      </c>
      <c r="CN111" s="2" t="s">
        <v>624</v>
      </c>
      <c r="CO111" s="2">
        <v>0</v>
      </c>
      <c r="CP111" s="2">
        <f t="shared" si="81"/>
        <v>43.69</v>
      </c>
      <c r="CQ111" s="2">
        <f t="shared" si="82"/>
        <v>3.18</v>
      </c>
      <c r="CR111" s="2">
        <f>(ROUND((ROUND((((ET111*1.2))*AV111*1),2)*BB111),2)+ROUND((ROUND(((AE111-((EU111*1.2)))*AV111*1),2)*BS111),2))</f>
        <v>8.36</v>
      </c>
      <c r="CS111" s="2">
        <f>(ROUND((ROUND((((EU111*1.2))*AV111*1),2)*BS111),2)+ROUND((ROUND(((AE111-((EU111*1.2)))*AV111*1),2)*BS111),2))</f>
        <v>1.27</v>
      </c>
      <c r="CT111" s="2">
        <f t="shared" si="83"/>
        <v>32.15</v>
      </c>
      <c r="CU111" s="2">
        <f t="shared" si="84"/>
        <v>0</v>
      </c>
      <c r="CV111" s="2">
        <f t="shared" si="85"/>
        <v>2.4751079999999996</v>
      </c>
      <c r="CW111" s="2">
        <f t="shared" si="86"/>
        <v>0</v>
      </c>
      <c r="CX111" s="2">
        <f t="shared" si="87"/>
        <v>0</v>
      </c>
      <c r="CY111" s="2">
        <f>(ROUND((((S111+ROUND((ROUND((((EU111*1.2))*AV111*1),2)*BS111),2))*AT111)/100),2)+ROUND(((ROUND((ROUND(((AE111-((EU111*1.2)))*AV111*1),2)*BS111),2)*AT111)/100),2))</f>
        <v>32.42</v>
      </c>
      <c r="CZ111" s="2">
        <f>(ROUND((((S111+ROUND((ROUND((((EU111*1.2))*AV111*1),2)*BS111),2))*AU111)/100),2)+ROUND(((ROUND((ROUND(((AE111-((EU111*1.2)))*AV111*1),2)*BS111),2)*AU111)/100),2))</f>
        <v>17.04</v>
      </c>
      <c r="DA111" s="2"/>
      <c r="DB111" s="2">
        <v>59</v>
      </c>
      <c r="DC111" s="2" t="s">
        <v>3</v>
      </c>
      <c r="DD111" s="2" t="s">
        <v>70</v>
      </c>
      <c r="DE111" s="2" t="s">
        <v>71</v>
      </c>
      <c r="DF111" s="2" t="s">
        <v>71</v>
      </c>
      <c r="DG111" s="2" t="s">
        <v>71</v>
      </c>
      <c r="DH111" s="2" t="s">
        <v>3</v>
      </c>
      <c r="DI111" s="2" t="s">
        <v>71</v>
      </c>
      <c r="DJ111" s="2" t="s">
        <v>71</v>
      </c>
      <c r="DK111" s="2" t="s">
        <v>3</v>
      </c>
      <c r="DL111" s="2" t="s">
        <v>3</v>
      </c>
      <c r="DM111" s="2" t="s">
        <v>3</v>
      </c>
      <c r="DN111" s="2">
        <v>0</v>
      </c>
      <c r="DO111" s="2">
        <v>0</v>
      </c>
      <c r="DP111" s="2">
        <v>1</v>
      </c>
      <c r="DQ111" s="2">
        <v>1</v>
      </c>
      <c r="DR111" s="2"/>
      <c r="DS111" s="2"/>
      <c r="DT111" s="2"/>
      <c r="DU111" s="2">
        <v>1013</v>
      </c>
      <c r="DV111" s="2" t="s">
        <v>27</v>
      </c>
      <c r="DW111" s="2" t="s">
        <v>27</v>
      </c>
      <c r="DX111" s="2">
        <v>1</v>
      </c>
      <c r="DY111" s="2"/>
      <c r="DZ111" s="2" t="s">
        <v>3</v>
      </c>
      <c r="EA111" s="2" t="s">
        <v>3</v>
      </c>
      <c r="EB111" s="2" t="s">
        <v>3</v>
      </c>
      <c r="EC111" s="2" t="s">
        <v>3</v>
      </c>
      <c r="ED111" s="2"/>
      <c r="EE111" s="2">
        <v>57042957</v>
      </c>
      <c r="EF111" s="2">
        <v>40</v>
      </c>
      <c r="EG111" s="2" t="s">
        <v>31</v>
      </c>
      <c r="EH111" s="2">
        <v>0</v>
      </c>
      <c r="EI111" s="2" t="s">
        <v>3</v>
      </c>
      <c r="EJ111" s="2">
        <v>2</v>
      </c>
      <c r="EK111" s="2">
        <v>67</v>
      </c>
      <c r="EL111" s="2" t="s">
        <v>190</v>
      </c>
      <c r="EM111" s="2" t="s">
        <v>191</v>
      </c>
      <c r="EN111" s="2"/>
      <c r="EO111" s="2" t="s">
        <v>75</v>
      </c>
      <c r="EP111" s="2"/>
      <c r="EQ111" s="2">
        <v>1024</v>
      </c>
      <c r="ER111" s="2">
        <v>35.42</v>
      </c>
      <c r="ES111" s="2">
        <v>3.18</v>
      </c>
      <c r="ET111" s="2">
        <v>6.65</v>
      </c>
      <c r="EU111" s="2">
        <v>1.01</v>
      </c>
      <c r="EV111" s="2">
        <v>25.59</v>
      </c>
      <c r="EW111" s="2">
        <v>1.97</v>
      </c>
      <c r="EX111" s="2">
        <v>0</v>
      </c>
      <c r="EY111" s="2">
        <v>0</v>
      </c>
      <c r="EZ111" s="2"/>
      <c r="FA111" s="2"/>
      <c r="FB111" s="2"/>
      <c r="FC111" s="2"/>
      <c r="FD111" s="2"/>
      <c r="FE111" s="2"/>
      <c r="FF111" s="2"/>
      <c r="FG111" s="2"/>
      <c r="FH111" s="2"/>
      <c r="FI111" s="2"/>
      <c r="FJ111" s="2"/>
      <c r="FK111" s="2"/>
      <c r="FL111" s="2"/>
      <c r="FM111" s="2"/>
      <c r="FN111" s="2"/>
      <c r="FO111" s="2"/>
      <c r="FP111" s="2"/>
      <c r="FQ111" s="2">
        <v>0</v>
      </c>
      <c r="FR111" s="2">
        <v>0</v>
      </c>
      <c r="FS111" s="2">
        <v>0</v>
      </c>
      <c r="FT111" s="2"/>
      <c r="FU111" s="2"/>
      <c r="FV111" s="2"/>
      <c r="FW111" s="2"/>
      <c r="FX111" s="2">
        <v>97</v>
      </c>
      <c r="FY111" s="2">
        <v>51</v>
      </c>
      <c r="FZ111" s="2"/>
      <c r="GA111" s="2" t="s">
        <v>3</v>
      </c>
      <c r="GB111" s="2"/>
      <c r="GC111" s="2"/>
      <c r="GD111" s="2">
        <v>1</v>
      </c>
      <c r="GE111" s="2"/>
      <c r="GF111" s="2">
        <v>598536093</v>
      </c>
      <c r="GG111" s="2">
        <v>2</v>
      </c>
      <c r="GH111" s="2">
        <v>1</v>
      </c>
      <c r="GI111" s="2">
        <v>2</v>
      </c>
      <c r="GJ111" s="2">
        <v>0</v>
      </c>
      <c r="GK111" s="2">
        <v>0</v>
      </c>
      <c r="GL111" s="2">
        <f t="shared" si="88"/>
        <v>0</v>
      </c>
      <c r="GM111" s="2">
        <f t="shared" si="89"/>
        <v>93.15</v>
      </c>
      <c r="GN111" s="2">
        <f t="shared" si="90"/>
        <v>0</v>
      </c>
      <c r="GO111" s="2">
        <f t="shared" si="91"/>
        <v>93.15</v>
      </c>
      <c r="GP111" s="2">
        <f t="shared" si="92"/>
        <v>0</v>
      </c>
      <c r="GQ111" s="2"/>
      <c r="GR111" s="2">
        <v>0</v>
      </c>
      <c r="GS111" s="2">
        <v>3</v>
      </c>
      <c r="GT111" s="2">
        <v>0</v>
      </c>
      <c r="GU111" s="2" t="s">
        <v>3</v>
      </c>
      <c r="GV111" s="2">
        <f t="shared" si="93"/>
        <v>0</v>
      </c>
      <c r="GW111" s="2">
        <v>1</v>
      </c>
      <c r="GX111" s="2">
        <f t="shared" si="94"/>
        <v>0</v>
      </c>
      <c r="GY111" s="2"/>
      <c r="GZ111" s="2"/>
      <c r="HA111" s="2">
        <v>0</v>
      </c>
      <c r="HB111" s="2">
        <v>0</v>
      </c>
      <c r="HC111" s="2">
        <f t="shared" si="95"/>
        <v>0</v>
      </c>
      <c r="HD111" s="2"/>
      <c r="HE111" s="2" t="s">
        <v>3</v>
      </c>
      <c r="HF111" s="2" t="s">
        <v>3</v>
      </c>
      <c r="HG111" s="2"/>
      <c r="HH111" s="2"/>
      <c r="HI111" s="2"/>
      <c r="HJ111" s="2"/>
      <c r="HK111" s="2"/>
      <c r="HL111" s="2"/>
      <c r="HM111" s="2" t="s">
        <v>3</v>
      </c>
      <c r="HN111" s="2" t="s">
        <v>3</v>
      </c>
      <c r="HO111" s="2" t="s">
        <v>3</v>
      </c>
      <c r="HP111" s="2" t="s">
        <v>3</v>
      </c>
      <c r="HQ111" s="2" t="s">
        <v>3</v>
      </c>
      <c r="HR111" s="2"/>
      <c r="HS111" s="2">
        <v>0</v>
      </c>
      <c r="HT111" s="2"/>
      <c r="HU111" s="2"/>
      <c r="HV111" s="2"/>
      <c r="HW111" s="2"/>
      <c r="HX111" s="2"/>
      <c r="HY111" s="2"/>
      <c r="HZ111" s="2"/>
      <c r="IA111" s="2"/>
      <c r="IB111" s="2"/>
      <c r="IC111" s="2"/>
      <c r="ID111" s="2"/>
      <c r="IE111" s="2"/>
      <c r="IF111" s="2"/>
      <c r="IG111" s="2"/>
      <c r="IH111" s="2"/>
      <c r="II111" s="2"/>
      <c r="IJ111" s="2"/>
      <c r="IK111" s="2">
        <v>0</v>
      </c>
      <c r="IL111" s="2"/>
      <c r="IM111" s="2"/>
      <c r="IN111" s="2"/>
      <c r="IO111" s="2"/>
      <c r="IP111" s="2"/>
      <c r="IQ111" s="2"/>
      <c r="IR111" s="2"/>
      <c r="IS111" s="2"/>
      <c r="IT111" s="2"/>
      <c r="IU111" s="2"/>
    </row>
    <row r="112" spans="1:255" x14ac:dyDescent="0.25">
      <c r="A112" s="3">
        <v>17</v>
      </c>
      <c r="B112" s="3">
        <v>1</v>
      </c>
      <c r="C112" s="3">
        <f>ROW(SmtRes!A136)</f>
        <v>136</v>
      </c>
      <c r="D112" s="3">
        <f>ROW(EtalonRes!A178)</f>
        <v>178</v>
      </c>
      <c r="E112" s="3" t="s">
        <v>3</v>
      </c>
      <c r="F112" s="3" t="s">
        <v>187</v>
      </c>
      <c r="G112" s="3" t="s">
        <v>188</v>
      </c>
      <c r="H112" s="3" t="s">
        <v>27</v>
      </c>
      <c r="I112" s="3">
        <v>1</v>
      </c>
      <c r="J112" s="3">
        <v>0</v>
      </c>
      <c r="K112" s="3">
        <v>1</v>
      </c>
      <c r="O112" s="3">
        <f t="shared" si="71"/>
        <v>1959.99</v>
      </c>
      <c r="P112" s="3">
        <f t="shared" si="72"/>
        <v>5.72</v>
      </c>
      <c r="Q112" s="3">
        <f>(ROUND((ROUND((((ET112*1.2))*AV112*I112),2)*BB112),2)+ROUND((ROUND(((AE112-((EU112*1.2)))*AV112*I112),2)*BS112),2))</f>
        <v>142.62</v>
      </c>
      <c r="R112" s="3">
        <f>(ROUND((ROUND((((EU112*1.2))*AV112*I112),2)*BS112),2)+ROUND((ROUND(((AE112-((EU112*1.2)))*AV112*I112),2)*BS112),2))</f>
        <v>71.56</v>
      </c>
      <c r="S112" s="3">
        <f t="shared" si="73"/>
        <v>1811.65</v>
      </c>
      <c r="T112" s="3">
        <f t="shared" si="74"/>
        <v>0</v>
      </c>
      <c r="U112" s="3">
        <f t="shared" si="75"/>
        <v>2.4751079999999996</v>
      </c>
      <c r="V112" s="3">
        <f t="shared" si="76"/>
        <v>0</v>
      </c>
      <c r="W112" s="3">
        <f t="shared" si="77"/>
        <v>0</v>
      </c>
      <c r="X112" s="3">
        <f>(ROUND((((S112+ROUND((ROUND((((EU112*1.2))*AV112*I112),2)*BS112),2))*AT112)/100),2)+ROUND(((ROUND((ROUND(((AE112-((EU112*1.2)))*AV112*I112),2)*BS112),2)*AT112)/100),2))</f>
        <v>1826.71</v>
      </c>
      <c r="Y112" s="3">
        <f>(ROUND((((S112+ROUND((ROUND((((EU112*1.2))*AV112*I112),2)*BS112),2))*AU112)/100),2)+ROUND(((ROUND((ROUND(((AE112-((EU112*1.2)))*AV112*I112),2)*BS112),2)*AU112)/100),2))</f>
        <v>960.44</v>
      </c>
      <c r="AA112" s="3">
        <v>-1</v>
      </c>
      <c r="AB112" s="3">
        <f t="shared" si="78"/>
        <v>41.868000000000002</v>
      </c>
      <c r="AC112" s="3">
        <f>ROUND(((ES112*1)),6)</f>
        <v>3.18</v>
      </c>
      <c r="AD112" s="3">
        <f>ROUND(((((ET112*1.2))-((EU112*1.2)))+AE112),6)</f>
        <v>7.98</v>
      </c>
      <c r="AE112" s="3">
        <f t="shared" si="102"/>
        <v>1.212</v>
      </c>
      <c r="AF112" s="3">
        <f t="shared" si="102"/>
        <v>30.707999999999998</v>
      </c>
      <c r="AG112" s="3">
        <f t="shared" si="79"/>
        <v>0</v>
      </c>
      <c r="AH112" s="3">
        <f t="shared" si="103"/>
        <v>2.3639999999999999</v>
      </c>
      <c r="AI112" s="3">
        <f t="shared" si="103"/>
        <v>0</v>
      </c>
      <c r="AJ112" s="3">
        <f t="shared" si="80"/>
        <v>0</v>
      </c>
      <c r="AK112" s="3">
        <v>35.42</v>
      </c>
      <c r="AL112" s="3">
        <v>3.18</v>
      </c>
      <c r="AM112" s="3">
        <v>6.65</v>
      </c>
      <c r="AN112" s="3">
        <v>1.01</v>
      </c>
      <c r="AO112" s="3">
        <v>25.59</v>
      </c>
      <c r="AP112" s="3">
        <v>0</v>
      </c>
      <c r="AQ112" s="3">
        <v>1.97</v>
      </c>
      <c r="AR112" s="3">
        <v>0</v>
      </c>
      <c r="AS112" s="3">
        <v>0</v>
      </c>
      <c r="AT112" s="3">
        <v>97</v>
      </c>
      <c r="AU112" s="3">
        <v>51</v>
      </c>
      <c r="AV112" s="3">
        <v>1.0469999999999999</v>
      </c>
      <c r="AW112" s="3">
        <v>1</v>
      </c>
      <c r="AZ112" s="3">
        <v>1</v>
      </c>
      <c r="BA112" s="3">
        <v>56.35</v>
      </c>
      <c r="BB112" s="3">
        <v>17.059999999999999</v>
      </c>
      <c r="BC112" s="3">
        <v>1.8</v>
      </c>
      <c r="BD112" s="3" t="s">
        <v>3</v>
      </c>
      <c r="BE112" s="3" t="s">
        <v>3</v>
      </c>
      <c r="BF112" s="3" t="s">
        <v>3</v>
      </c>
      <c r="BG112" s="3" t="s">
        <v>3</v>
      </c>
      <c r="BH112" s="3">
        <v>0</v>
      </c>
      <c r="BI112" s="3">
        <v>2</v>
      </c>
      <c r="BJ112" s="3" t="s">
        <v>189</v>
      </c>
      <c r="BM112" s="3">
        <v>67</v>
      </c>
      <c r="BN112" s="3">
        <v>0</v>
      </c>
      <c r="BO112" s="3" t="s">
        <v>187</v>
      </c>
      <c r="BP112" s="3">
        <v>1</v>
      </c>
      <c r="BQ112" s="3">
        <v>40</v>
      </c>
      <c r="BR112" s="3">
        <v>0</v>
      </c>
      <c r="BS112" s="3">
        <v>56.35</v>
      </c>
      <c r="BT112" s="3">
        <v>1</v>
      </c>
      <c r="BU112" s="3">
        <v>1</v>
      </c>
      <c r="BV112" s="3">
        <v>1</v>
      </c>
      <c r="BW112" s="3">
        <v>1</v>
      </c>
      <c r="BX112" s="3">
        <v>1</v>
      </c>
      <c r="BY112" s="3" t="s">
        <v>3</v>
      </c>
      <c r="BZ112" s="3">
        <v>97</v>
      </c>
      <c r="CA112" s="3">
        <v>51</v>
      </c>
      <c r="CB112" s="3" t="s">
        <v>3</v>
      </c>
      <c r="CE112" s="3">
        <v>1566</v>
      </c>
      <c r="CF112" s="3">
        <v>0</v>
      </c>
      <c r="CG112" s="3">
        <v>0</v>
      </c>
      <c r="CM112" s="3">
        <v>0</v>
      </c>
      <c r="CN112" s="3" t="s">
        <v>624</v>
      </c>
      <c r="CO112" s="3">
        <v>0</v>
      </c>
      <c r="CP112" s="3">
        <f t="shared" si="81"/>
        <v>1959.99</v>
      </c>
      <c r="CQ112" s="3">
        <f t="shared" si="82"/>
        <v>5.72</v>
      </c>
      <c r="CR112" s="3">
        <f>(ROUND((ROUND((((ET112*1.2))*AV112*1),2)*BB112),2)+ROUND((ROUND(((AE112-((EU112*1.2)))*AV112*1),2)*BS112),2))</f>
        <v>142.62</v>
      </c>
      <c r="CS112" s="3">
        <f>(ROUND((ROUND((((EU112*1.2))*AV112*1),2)*BS112),2)+ROUND((ROUND(((AE112-((EU112*1.2)))*AV112*1),2)*BS112),2))</f>
        <v>71.56</v>
      </c>
      <c r="CT112" s="3">
        <f t="shared" si="83"/>
        <v>1811.65</v>
      </c>
      <c r="CU112" s="3">
        <f t="shared" si="84"/>
        <v>0</v>
      </c>
      <c r="CV112" s="3">
        <f t="shared" si="85"/>
        <v>2.4751079999999996</v>
      </c>
      <c r="CW112" s="3">
        <f t="shared" si="86"/>
        <v>0</v>
      </c>
      <c r="CX112" s="3">
        <f t="shared" si="87"/>
        <v>0</v>
      </c>
      <c r="CY112" s="3">
        <f>(ROUND((((S112+ROUND((ROUND((((EU112*1.2))*AV112*1),2)*BS112),2))*AT112)/100),2)+ROUND(((ROUND((ROUND(((AE112-((EU112*1.2)))*AV112*1),2)*BS112),2)*AT112)/100),2))</f>
        <v>1826.71</v>
      </c>
      <c r="CZ112" s="3">
        <f>(ROUND((((S112+ROUND((ROUND((((EU112*1.2))*AV112*1),2)*BS112),2))*AU112)/100),2)+ROUND(((ROUND((ROUND(((AE112-((EU112*1.2)))*AV112*1),2)*BS112),2)*AU112)/100),2))</f>
        <v>960.44</v>
      </c>
      <c r="DB112" s="3">
        <v>60</v>
      </c>
      <c r="DC112" s="3" t="s">
        <v>3</v>
      </c>
      <c r="DD112" s="3" t="s">
        <v>70</v>
      </c>
      <c r="DE112" s="3" t="s">
        <v>71</v>
      </c>
      <c r="DF112" s="3" t="s">
        <v>71</v>
      </c>
      <c r="DG112" s="3" t="s">
        <v>71</v>
      </c>
      <c r="DH112" s="3" t="s">
        <v>3</v>
      </c>
      <c r="DI112" s="3" t="s">
        <v>71</v>
      </c>
      <c r="DJ112" s="3" t="s">
        <v>71</v>
      </c>
      <c r="DK112" s="3" t="s">
        <v>3</v>
      </c>
      <c r="DL112" s="3" t="s">
        <v>3</v>
      </c>
      <c r="DM112" s="3" t="s">
        <v>3</v>
      </c>
      <c r="DN112" s="3">
        <v>0</v>
      </c>
      <c r="DO112" s="3">
        <v>0</v>
      </c>
      <c r="DP112" s="3">
        <v>1</v>
      </c>
      <c r="DQ112" s="3">
        <v>1</v>
      </c>
      <c r="DU112" s="3">
        <v>1013</v>
      </c>
      <c r="DV112" s="3" t="s">
        <v>27</v>
      </c>
      <c r="DW112" s="3" t="s">
        <v>27</v>
      </c>
      <c r="DX112" s="3">
        <v>1</v>
      </c>
      <c r="DZ112" s="3" t="s">
        <v>3</v>
      </c>
      <c r="EA112" s="3" t="s">
        <v>3</v>
      </c>
      <c r="EB112" s="3" t="s">
        <v>3</v>
      </c>
      <c r="EC112" s="3" t="s">
        <v>3</v>
      </c>
      <c r="EE112" s="3">
        <v>57042957</v>
      </c>
      <c r="EF112" s="3">
        <v>40</v>
      </c>
      <c r="EG112" s="3" t="s">
        <v>31</v>
      </c>
      <c r="EH112" s="3">
        <v>0</v>
      </c>
      <c r="EI112" s="3" t="s">
        <v>3</v>
      </c>
      <c r="EJ112" s="3">
        <v>2</v>
      </c>
      <c r="EK112" s="3">
        <v>67</v>
      </c>
      <c r="EL112" s="3" t="s">
        <v>190</v>
      </c>
      <c r="EM112" s="3" t="s">
        <v>191</v>
      </c>
      <c r="EO112" s="3" t="s">
        <v>75</v>
      </c>
      <c r="EQ112" s="3">
        <v>1024</v>
      </c>
      <c r="ER112" s="3">
        <v>35.42</v>
      </c>
      <c r="ES112" s="3">
        <v>3.18</v>
      </c>
      <c r="ET112" s="3">
        <v>6.65</v>
      </c>
      <c r="EU112" s="3">
        <v>1.01</v>
      </c>
      <c r="EV112" s="3">
        <v>25.59</v>
      </c>
      <c r="EW112" s="3">
        <v>1.97</v>
      </c>
      <c r="EX112" s="3">
        <v>0</v>
      </c>
      <c r="EY112" s="3">
        <v>0</v>
      </c>
      <c r="FQ112" s="3">
        <v>0</v>
      </c>
      <c r="FR112" s="3">
        <v>0</v>
      </c>
      <c r="FS112" s="3">
        <v>0</v>
      </c>
      <c r="FX112" s="3">
        <v>97</v>
      </c>
      <c r="FY112" s="3">
        <v>51</v>
      </c>
      <c r="GA112" s="3" t="s">
        <v>3</v>
      </c>
      <c r="GD112" s="3">
        <v>1</v>
      </c>
      <c r="GF112" s="3">
        <v>598536093</v>
      </c>
      <c r="GG112" s="3">
        <v>2</v>
      </c>
      <c r="GH112" s="3">
        <v>1</v>
      </c>
      <c r="GI112" s="3">
        <v>2</v>
      </c>
      <c r="GJ112" s="3">
        <v>0</v>
      </c>
      <c r="GK112" s="3">
        <v>0</v>
      </c>
      <c r="GL112" s="3">
        <f t="shared" si="88"/>
        <v>0</v>
      </c>
      <c r="GM112" s="3">
        <f t="shared" si="89"/>
        <v>4747.1400000000003</v>
      </c>
      <c r="GN112" s="3">
        <f t="shared" si="90"/>
        <v>0</v>
      </c>
      <c r="GO112" s="3">
        <f t="shared" si="91"/>
        <v>4747.1400000000003</v>
      </c>
      <c r="GP112" s="3">
        <f t="shared" si="92"/>
        <v>0</v>
      </c>
      <c r="GR112" s="3">
        <v>0</v>
      </c>
      <c r="GS112" s="3">
        <v>3</v>
      </c>
      <c r="GT112" s="3">
        <v>0</v>
      </c>
      <c r="GU112" s="3" t="s">
        <v>3</v>
      </c>
      <c r="GV112" s="3">
        <f t="shared" si="93"/>
        <v>0</v>
      </c>
      <c r="GW112" s="3">
        <v>1</v>
      </c>
      <c r="GX112" s="3">
        <f t="shared" si="94"/>
        <v>0</v>
      </c>
      <c r="HA112" s="3">
        <v>0</v>
      </c>
      <c r="HB112" s="3">
        <v>0</v>
      </c>
      <c r="HC112" s="3">
        <f t="shared" si="95"/>
        <v>0</v>
      </c>
      <c r="HE112" s="3" t="s">
        <v>3</v>
      </c>
      <c r="HF112" s="3" t="s">
        <v>3</v>
      </c>
      <c r="HM112" s="3" t="s">
        <v>3</v>
      </c>
      <c r="HN112" s="3" t="s">
        <v>3</v>
      </c>
      <c r="HO112" s="3" t="s">
        <v>3</v>
      </c>
      <c r="HP112" s="3" t="s">
        <v>3</v>
      </c>
      <c r="HQ112" s="3" t="s">
        <v>3</v>
      </c>
      <c r="HS112" s="3">
        <v>0</v>
      </c>
      <c r="IK112" s="3">
        <v>0</v>
      </c>
    </row>
    <row r="113" spans="1:255" x14ac:dyDescent="0.25">
      <c r="A113" s="2">
        <v>17</v>
      </c>
      <c r="B113" s="2">
        <v>1</v>
      </c>
      <c r="C113" s="2"/>
      <c r="D113" s="2"/>
      <c r="E113" s="2" t="s">
        <v>3</v>
      </c>
      <c r="F113" s="2" t="s">
        <v>192</v>
      </c>
      <c r="G113" s="2" t="s">
        <v>193</v>
      </c>
      <c r="H113" s="2" t="s">
        <v>152</v>
      </c>
      <c r="I113" s="2">
        <v>1</v>
      </c>
      <c r="J113" s="2">
        <v>0</v>
      </c>
      <c r="K113" s="2">
        <v>1</v>
      </c>
      <c r="L113" s="2"/>
      <c r="M113" s="2"/>
      <c r="N113" s="2"/>
      <c r="O113" s="2">
        <f t="shared" si="71"/>
        <v>1520.52</v>
      </c>
      <c r="P113" s="2">
        <f t="shared" si="72"/>
        <v>1520.52</v>
      </c>
      <c r="Q113" s="2">
        <f>(ROUND((ROUND(((ET113)*AV113*I113),2)*BB113),2)+ROUND((ROUND(((AE113-(EU113))*AV113*I113),2)*BS113),2))</f>
        <v>0</v>
      </c>
      <c r="R113" s="2">
        <f>(ROUND((ROUND(((EU113)*AV113*I113),2)*BS113),2)+ROUND((ROUND(((AE113-(EU113))*AV113*I113),2)*BS113),2))</f>
        <v>0</v>
      </c>
      <c r="S113" s="2">
        <f t="shared" si="73"/>
        <v>0</v>
      </c>
      <c r="T113" s="2">
        <f t="shared" si="74"/>
        <v>0</v>
      </c>
      <c r="U113" s="2">
        <f t="shared" si="75"/>
        <v>0</v>
      </c>
      <c r="V113" s="2">
        <f t="shared" si="76"/>
        <v>0</v>
      </c>
      <c r="W113" s="2">
        <f t="shared" si="77"/>
        <v>0</v>
      </c>
      <c r="X113" s="2">
        <f>(ROUND((((S113+ROUND((ROUND(((EU113)*AV113*I113),2)*BS113),2))*AT113)/100),2)+ROUND(((ROUND((ROUND(((AE113-(EU113))*AV113*I113),2)*BS113),2)*AT113)/100),2))</f>
        <v>0</v>
      </c>
      <c r="Y113" s="2">
        <f>(ROUND((((S113+ROUND((ROUND(((EU113)*AV113*I113),2)*BS113),2))*AU113)/100),2)+ROUND(((ROUND((ROUND(((AE113-(EU113))*AV113*I113),2)*BS113),2)*AU113)/100),2))</f>
        <v>0</v>
      </c>
      <c r="Z113" s="2"/>
      <c r="AA113" s="2">
        <v>-1</v>
      </c>
      <c r="AB113" s="2">
        <f t="shared" si="78"/>
        <v>1520.52</v>
      </c>
      <c r="AC113" s="2">
        <f>ROUND((ES113),6)</f>
        <v>1520.52</v>
      </c>
      <c r="AD113" s="2">
        <f>ROUND((((ET113)-(EU113))+AE113),6)</f>
        <v>0</v>
      </c>
      <c r="AE113" s="2">
        <f>ROUND((EU113),6)</f>
        <v>0</v>
      </c>
      <c r="AF113" s="2">
        <f>ROUND((EV113),6)</f>
        <v>0</v>
      </c>
      <c r="AG113" s="2">
        <f t="shared" si="79"/>
        <v>0</v>
      </c>
      <c r="AH113" s="2">
        <f>(EW113)</f>
        <v>0</v>
      </c>
      <c r="AI113" s="2">
        <f>(EX113)</f>
        <v>0</v>
      </c>
      <c r="AJ113" s="2">
        <f t="shared" si="80"/>
        <v>0</v>
      </c>
      <c r="AK113" s="2">
        <v>1520.52</v>
      </c>
      <c r="AL113" s="2">
        <v>1520.52</v>
      </c>
      <c r="AM113" s="2">
        <v>0</v>
      </c>
      <c r="AN113" s="2">
        <v>0</v>
      </c>
      <c r="AO113" s="2">
        <v>0</v>
      </c>
      <c r="AP113" s="2">
        <v>0</v>
      </c>
      <c r="AQ113" s="2">
        <v>0</v>
      </c>
      <c r="AR113" s="2">
        <v>0</v>
      </c>
      <c r="AS113" s="2">
        <v>0</v>
      </c>
      <c r="AT113" s="2">
        <v>0</v>
      </c>
      <c r="AU113" s="2">
        <v>0</v>
      </c>
      <c r="AV113" s="2">
        <v>1</v>
      </c>
      <c r="AW113" s="2">
        <v>1</v>
      </c>
      <c r="AX113" s="2"/>
      <c r="AY113" s="2"/>
      <c r="AZ113" s="2">
        <v>1</v>
      </c>
      <c r="BA113" s="2">
        <v>1</v>
      </c>
      <c r="BB113" s="2">
        <v>1</v>
      </c>
      <c r="BC113" s="2">
        <v>1</v>
      </c>
      <c r="BD113" s="2" t="s">
        <v>3</v>
      </c>
      <c r="BE113" s="2" t="s">
        <v>3</v>
      </c>
      <c r="BF113" s="2" t="s">
        <v>3</v>
      </c>
      <c r="BG113" s="2" t="s">
        <v>3</v>
      </c>
      <c r="BH113" s="2">
        <v>3</v>
      </c>
      <c r="BI113" s="2">
        <v>3</v>
      </c>
      <c r="BJ113" s="2" t="s">
        <v>192</v>
      </c>
      <c r="BK113" s="2"/>
      <c r="BL113" s="2"/>
      <c r="BM113" s="2">
        <v>400007</v>
      </c>
      <c r="BN113" s="2">
        <v>0</v>
      </c>
      <c r="BO113" s="2" t="s">
        <v>3</v>
      </c>
      <c r="BP113" s="2">
        <v>0</v>
      </c>
      <c r="BQ113" s="2">
        <v>214</v>
      </c>
      <c r="BR113" s="2">
        <v>0</v>
      </c>
      <c r="BS113" s="2">
        <v>1</v>
      </c>
      <c r="BT113" s="2">
        <v>1</v>
      </c>
      <c r="BU113" s="2">
        <v>1</v>
      </c>
      <c r="BV113" s="2">
        <v>1</v>
      </c>
      <c r="BW113" s="2">
        <v>1</v>
      </c>
      <c r="BX113" s="2">
        <v>1</v>
      </c>
      <c r="BY113" s="2" t="s">
        <v>3</v>
      </c>
      <c r="BZ113" s="2">
        <v>0</v>
      </c>
      <c r="CA113" s="2">
        <v>0</v>
      </c>
      <c r="CB113" s="2" t="s">
        <v>3</v>
      </c>
      <c r="CC113" s="2"/>
      <c r="CD113" s="2"/>
      <c r="CE113" s="2">
        <v>1566</v>
      </c>
      <c r="CF113" s="2">
        <v>0</v>
      </c>
      <c r="CG113" s="2">
        <v>0</v>
      </c>
      <c r="CH113" s="2"/>
      <c r="CI113" s="2"/>
      <c r="CJ113" s="2"/>
      <c r="CK113" s="2"/>
      <c r="CL113" s="2"/>
      <c r="CM113" s="2">
        <v>0</v>
      </c>
      <c r="CN113" s="2" t="s">
        <v>3</v>
      </c>
      <c r="CO113" s="2">
        <v>0</v>
      </c>
      <c r="CP113" s="2">
        <f t="shared" si="81"/>
        <v>1520.52</v>
      </c>
      <c r="CQ113" s="2">
        <f t="shared" si="82"/>
        <v>1520.52</v>
      </c>
      <c r="CR113" s="2">
        <f>(ROUND((ROUND(((ET113)*AV113*1),2)*BB113),2)+ROUND((ROUND(((AE113-(EU113))*AV113*1),2)*BS113),2))</f>
        <v>0</v>
      </c>
      <c r="CS113" s="2">
        <f>(ROUND((ROUND(((EU113)*AV113*1),2)*BS113),2)+ROUND((ROUND(((AE113-(EU113))*AV113*1),2)*BS113),2))</f>
        <v>0</v>
      </c>
      <c r="CT113" s="2">
        <f t="shared" si="83"/>
        <v>0</v>
      </c>
      <c r="CU113" s="2">
        <f t="shared" si="84"/>
        <v>0</v>
      </c>
      <c r="CV113" s="2">
        <f t="shared" si="85"/>
        <v>0</v>
      </c>
      <c r="CW113" s="2">
        <f t="shared" si="86"/>
        <v>0</v>
      </c>
      <c r="CX113" s="2">
        <f t="shared" si="87"/>
        <v>0</v>
      </c>
      <c r="CY113" s="2">
        <f>(ROUND((((S113+ROUND((ROUND(((EU113)*AV113*1),2)*BS113),2))*AT113)/100),2)+ROUND(((ROUND((ROUND(((AE113-(EU113))*AV113*1),2)*BS113),2)*AT113)/100),2))</f>
        <v>0</v>
      </c>
      <c r="CZ113" s="2">
        <f>(ROUND((((S113+ROUND((ROUND(((EU113)*AV113*1),2)*BS113),2))*AU113)/100),2)+ROUND(((ROUND((ROUND(((AE113-(EU113))*AV113*1),2)*BS113),2)*AU113)/100),2))</f>
        <v>0</v>
      </c>
      <c r="DA113" s="2"/>
      <c r="DB113" s="2"/>
      <c r="DC113" s="2" t="s">
        <v>3</v>
      </c>
      <c r="DD113" s="2" t="s">
        <v>3</v>
      </c>
      <c r="DE113" s="2" t="s">
        <v>3</v>
      </c>
      <c r="DF113" s="2" t="s">
        <v>3</v>
      </c>
      <c r="DG113" s="2" t="s">
        <v>3</v>
      </c>
      <c r="DH113" s="2" t="s">
        <v>3</v>
      </c>
      <c r="DI113" s="2" t="s">
        <v>3</v>
      </c>
      <c r="DJ113" s="2" t="s">
        <v>3</v>
      </c>
      <c r="DK113" s="2" t="s">
        <v>3</v>
      </c>
      <c r="DL113" s="2" t="s">
        <v>3</v>
      </c>
      <c r="DM113" s="2" t="s">
        <v>3</v>
      </c>
      <c r="DN113" s="2">
        <v>0</v>
      </c>
      <c r="DO113" s="2">
        <v>0</v>
      </c>
      <c r="DP113" s="2">
        <v>1</v>
      </c>
      <c r="DQ113" s="2">
        <v>1</v>
      </c>
      <c r="DR113" s="2"/>
      <c r="DS113" s="2"/>
      <c r="DT113" s="2"/>
      <c r="DU113" s="2">
        <v>1013</v>
      </c>
      <c r="DV113" s="2" t="s">
        <v>152</v>
      </c>
      <c r="DW113" s="2" t="s">
        <v>152</v>
      </c>
      <c r="DX113" s="2">
        <v>1</v>
      </c>
      <c r="DY113" s="2"/>
      <c r="DZ113" s="2" t="s">
        <v>3</v>
      </c>
      <c r="EA113" s="2" t="s">
        <v>3</v>
      </c>
      <c r="EB113" s="2" t="s">
        <v>3</v>
      </c>
      <c r="EC113" s="2" t="s">
        <v>3</v>
      </c>
      <c r="ED113" s="2"/>
      <c r="EE113" s="2">
        <v>57042890</v>
      </c>
      <c r="EF113" s="2">
        <v>214</v>
      </c>
      <c r="EG113" s="2" t="s">
        <v>153</v>
      </c>
      <c r="EH113" s="2">
        <v>0</v>
      </c>
      <c r="EI113" s="2" t="s">
        <v>3</v>
      </c>
      <c r="EJ113" s="2">
        <v>3</v>
      </c>
      <c r="EK113" s="2">
        <v>400007</v>
      </c>
      <c r="EL113" s="2" t="s">
        <v>153</v>
      </c>
      <c r="EM113" s="2" t="s">
        <v>154</v>
      </c>
      <c r="EN113" s="2"/>
      <c r="EO113" s="2" t="s">
        <v>3</v>
      </c>
      <c r="EP113" s="2"/>
      <c r="EQ113" s="2">
        <v>1040</v>
      </c>
      <c r="ER113" s="2">
        <v>0</v>
      </c>
      <c r="ES113" s="2">
        <v>1520.52</v>
      </c>
      <c r="ET113" s="2">
        <v>0</v>
      </c>
      <c r="EU113" s="2">
        <v>0</v>
      </c>
      <c r="EV113" s="2">
        <v>0</v>
      </c>
      <c r="EW113" s="2">
        <v>0</v>
      </c>
      <c r="EX113" s="2">
        <v>0</v>
      </c>
      <c r="EY113" s="2">
        <v>0</v>
      </c>
      <c r="EZ113" s="2"/>
      <c r="FA113" s="2"/>
      <c r="FB113" s="2"/>
      <c r="FC113" s="2"/>
      <c r="FD113" s="2"/>
      <c r="FE113" s="2"/>
      <c r="FF113" s="2"/>
      <c r="FG113" s="2"/>
      <c r="FH113" s="2"/>
      <c r="FI113" s="2"/>
      <c r="FJ113" s="2"/>
      <c r="FK113" s="2"/>
      <c r="FL113" s="2"/>
      <c r="FM113" s="2"/>
      <c r="FN113" s="2"/>
      <c r="FO113" s="2"/>
      <c r="FP113" s="2"/>
      <c r="FQ113" s="2">
        <v>0</v>
      </c>
      <c r="FR113" s="2">
        <f>P113</f>
        <v>1520.52</v>
      </c>
      <c r="FS113" s="2">
        <v>0</v>
      </c>
      <c r="FT113" s="2"/>
      <c r="FU113" s="2"/>
      <c r="FV113" s="2"/>
      <c r="FW113" s="2"/>
      <c r="FX113" s="2">
        <v>0</v>
      </c>
      <c r="FY113" s="2">
        <v>0</v>
      </c>
      <c r="FZ113" s="2"/>
      <c r="GA113" s="2" t="s">
        <v>194</v>
      </c>
      <c r="GB113" s="2"/>
      <c r="GC113" s="2"/>
      <c r="GD113" s="2">
        <v>1</v>
      </c>
      <c r="GE113" s="2"/>
      <c r="GF113" s="2">
        <v>341940923</v>
      </c>
      <c r="GG113" s="2">
        <v>2</v>
      </c>
      <c r="GH113" s="2">
        <v>4</v>
      </c>
      <c r="GI113" s="2">
        <v>-2</v>
      </c>
      <c r="GJ113" s="2">
        <v>0</v>
      </c>
      <c r="GK113" s="2">
        <v>0</v>
      </c>
      <c r="GL113" s="2">
        <f t="shared" si="88"/>
        <v>0</v>
      </c>
      <c r="GM113" s="2">
        <f t="shared" si="89"/>
        <v>1520.52</v>
      </c>
      <c r="GN113" s="2">
        <f t="shared" si="90"/>
        <v>0</v>
      </c>
      <c r="GO113" s="2">
        <f t="shared" si="91"/>
        <v>0</v>
      </c>
      <c r="GP113" s="2">
        <f t="shared" si="92"/>
        <v>0</v>
      </c>
      <c r="GQ113" s="2"/>
      <c r="GR113" s="2">
        <v>1</v>
      </c>
      <c r="GS113" s="2">
        <v>2</v>
      </c>
      <c r="GT113" s="2">
        <v>0</v>
      </c>
      <c r="GU113" s="2" t="s">
        <v>3</v>
      </c>
      <c r="GV113" s="2">
        <f t="shared" si="93"/>
        <v>0</v>
      </c>
      <c r="GW113" s="2">
        <v>1</v>
      </c>
      <c r="GX113" s="2">
        <f t="shared" si="94"/>
        <v>0</v>
      </c>
      <c r="GY113" s="2"/>
      <c r="GZ113" s="2"/>
      <c r="HA113" s="2">
        <v>0</v>
      </c>
      <c r="HB113" s="2">
        <v>0</v>
      </c>
      <c r="HC113" s="2">
        <f t="shared" si="95"/>
        <v>0</v>
      </c>
      <c r="HD113" s="2"/>
      <c r="HE113" s="2" t="s">
        <v>39</v>
      </c>
      <c r="HF113" s="2" t="s">
        <v>156</v>
      </c>
      <c r="HG113" s="2"/>
      <c r="HH113" s="2"/>
      <c r="HI113" s="2"/>
      <c r="HJ113" s="2"/>
      <c r="HK113" s="2"/>
      <c r="HL113" s="2"/>
      <c r="HM113" s="2" t="s">
        <v>3</v>
      </c>
      <c r="HN113" s="2" t="s">
        <v>3</v>
      </c>
      <c r="HO113" s="2" t="s">
        <v>3</v>
      </c>
      <c r="HP113" s="2" t="s">
        <v>3</v>
      </c>
      <c r="HQ113" s="2" t="s">
        <v>3</v>
      </c>
      <c r="HR113" s="2"/>
      <c r="HS113" s="2">
        <v>0</v>
      </c>
      <c r="HT113" s="2"/>
      <c r="HU113" s="2"/>
      <c r="HV113" s="2"/>
      <c r="HW113" s="2"/>
      <c r="HX113" s="2"/>
      <c r="HY113" s="2"/>
      <c r="HZ113" s="2"/>
      <c r="IA113" s="2"/>
      <c r="IB113" s="2"/>
      <c r="IC113" s="2"/>
      <c r="ID113" s="2"/>
      <c r="IE113" s="2"/>
      <c r="IF113" s="2"/>
      <c r="IG113" s="2"/>
      <c r="IH113" s="2"/>
      <c r="II113" s="2"/>
      <c r="IJ113" s="2"/>
      <c r="IK113" s="2">
        <v>0</v>
      </c>
      <c r="IL113" s="2"/>
      <c r="IM113" s="2"/>
      <c r="IN113" s="2"/>
      <c r="IO113" s="2"/>
      <c r="IP113" s="2"/>
      <c r="IQ113" s="2"/>
      <c r="IR113" s="2"/>
      <c r="IS113" s="2"/>
      <c r="IT113" s="2"/>
      <c r="IU113" s="2"/>
    </row>
    <row r="114" spans="1:255" x14ac:dyDescent="0.25">
      <c r="A114" s="3">
        <v>17</v>
      </c>
      <c r="B114" s="3">
        <v>1</v>
      </c>
      <c r="E114" s="3" t="s">
        <v>3</v>
      </c>
      <c r="F114" s="3" t="s">
        <v>192</v>
      </c>
      <c r="G114" s="3" t="s">
        <v>193</v>
      </c>
      <c r="H114" s="3" t="s">
        <v>152</v>
      </c>
      <c r="I114" s="3">
        <v>1</v>
      </c>
      <c r="J114" s="3">
        <v>0</v>
      </c>
      <c r="K114" s="3">
        <v>1</v>
      </c>
      <c r="O114" s="3">
        <f t="shared" si="71"/>
        <v>11510.34</v>
      </c>
      <c r="P114" s="3">
        <f t="shared" si="72"/>
        <v>11510.34</v>
      </c>
      <c r="Q114" s="3">
        <f>(ROUND((ROUND(((ET114)*AV114*I114),2)*BB114),2)+ROUND((ROUND(((AE114-(EU114))*AV114*I114),2)*BS114),2))</f>
        <v>0</v>
      </c>
      <c r="R114" s="3">
        <f>(ROUND((ROUND(((EU114)*AV114*I114),2)*BS114),2)+ROUND((ROUND(((AE114-(EU114))*AV114*I114),2)*BS114),2))</f>
        <v>0</v>
      </c>
      <c r="S114" s="3">
        <f t="shared" si="73"/>
        <v>0</v>
      </c>
      <c r="T114" s="3">
        <f t="shared" si="74"/>
        <v>0</v>
      </c>
      <c r="U114" s="3">
        <f t="shared" si="75"/>
        <v>0</v>
      </c>
      <c r="V114" s="3">
        <f t="shared" si="76"/>
        <v>0</v>
      </c>
      <c r="W114" s="3">
        <f t="shared" si="77"/>
        <v>0</v>
      </c>
      <c r="X114" s="3">
        <f>(ROUND((((S114+ROUND((ROUND(((EU114)*AV114*I114),2)*BS114),2))*AT114)/100),2)+ROUND(((ROUND((ROUND(((AE114-(EU114))*AV114*I114),2)*BS114),2)*AT114)/100),2))</f>
        <v>0</v>
      </c>
      <c r="Y114" s="3">
        <f>(ROUND((((S114+ROUND((ROUND(((EU114)*AV114*I114),2)*BS114),2))*AU114)/100),2)+ROUND(((ROUND((ROUND(((AE114-(EU114))*AV114*I114),2)*BS114),2)*AU114)/100),2))</f>
        <v>0</v>
      </c>
      <c r="AA114" s="3">
        <v>-1</v>
      </c>
      <c r="AB114" s="3">
        <f t="shared" si="78"/>
        <v>1520.52</v>
      </c>
      <c r="AC114" s="3">
        <f>ROUND((ES114),6)</f>
        <v>1520.52</v>
      </c>
      <c r="AD114" s="3">
        <f>ROUND((((ET114)-(EU114))+AE114),6)</f>
        <v>0</v>
      </c>
      <c r="AE114" s="3">
        <f>ROUND((EU114),6)</f>
        <v>0</v>
      </c>
      <c r="AF114" s="3">
        <f>ROUND((EV114),6)</f>
        <v>0</v>
      </c>
      <c r="AG114" s="3">
        <f t="shared" si="79"/>
        <v>0</v>
      </c>
      <c r="AH114" s="3">
        <f>(EW114)</f>
        <v>0</v>
      </c>
      <c r="AI114" s="3">
        <f>(EX114)</f>
        <v>0</v>
      </c>
      <c r="AJ114" s="3">
        <f t="shared" si="80"/>
        <v>0</v>
      </c>
      <c r="AK114" s="3">
        <v>1520.52</v>
      </c>
      <c r="AL114" s="3">
        <v>1520.52</v>
      </c>
      <c r="AM114" s="3">
        <v>0</v>
      </c>
      <c r="AN114" s="3">
        <v>0</v>
      </c>
      <c r="AO114" s="3">
        <v>0</v>
      </c>
      <c r="AP114" s="3">
        <v>0</v>
      </c>
      <c r="AQ114" s="3">
        <v>0</v>
      </c>
      <c r="AR114" s="3">
        <v>0</v>
      </c>
      <c r="AS114" s="3">
        <v>0</v>
      </c>
      <c r="AT114" s="3">
        <v>0</v>
      </c>
      <c r="AU114" s="3">
        <v>0</v>
      </c>
      <c r="AV114" s="3">
        <v>1</v>
      </c>
      <c r="AW114" s="3">
        <v>1</v>
      </c>
      <c r="AZ114" s="3">
        <v>1</v>
      </c>
      <c r="BA114" s="3">
        <v>1</v>
      </c>
      <c r="BB114" s="3">
        <v>1</v>
      </c>
      <c r="BC114" s="3">
        <v>7.57</v>
      </c>
      <c r="BD114" s="3" t="s">
        <v>3</v>
      </c>
      <c r="BE114" s="3" t="s">
        <v>3</v>
      </c>
      <c r="BF114" s="3" t="s">
        <v>3</v>
      </c>
      <c r="BG114" s="3" t="s">
        <v>3</v>
      </c>
      <c r="BH114" s="3">
        <v>3</v>
      </c>
      <c r="BI114" s="3">
        <v>3</v>
      </c>
      <c r="BJ114" s="3" t="s">
        <v>192</v>
      </c>
      <c r="BM114" s="3">
        <v>400007</v>
      </c>
      <c r="BN114" s="3">
        <v>0</v>
      </c>
      <c r="BO114" s="3" t="s">
        <v>3</v>
      </c>
      <c r="BP114" s="3">
        <v>0</v>
      </c>
      <c r="BQ114" s="3">
        <v>214</v>
      </c>
      <c r="BR114" s="3">
        <v>0</v>
      </c>
      <c r="BS114" s="3">
        <v>1</v>
      </c>
      <c r="BT114" s="3">
        <v>1</v>
      </c>
      <c r="BU114" s="3">
        <v>1</v>
      </c>
      <c r="BV114" s="3">
        <v>1</v>
      </c>
      <c r="BW114" s="3">
        <v>1</v>
      </c>
      <c r="BX114" s="3">
        <v>1</v>
      </c>
      <c r="BY114" s="3" t="s">
        <v>3</v>
      </c>
      <c r="BZ114" s="3">
        <v>0</v>
      </c>
      <c r="CA114" s="3">
        <v>0</v>
      </c>
      <c r="CB114" s="3" t="s">
        <v>3</v>
      </c>
      <c r="CE114" s="3">
        <v>1566</v>
      </c>
      <c r="CF114" s="3">
        <v>0</v>
      </c>
      <c r="CG114" s="3">
        <v>0</v>
      </c>
      <c r="CM114" s="3">
        <v>0</v>
      </c>
      <c r="CN114" s="3" t="s">
        <v>3</v>
      </c>
      <c r="CO114" s="3">
        <v>0</v>
      </c>
      <c r="CP114" s="3">
        <f t="shared" si="81"/>
        <v>11510.34</v>
      </c>
      <c r="CQ114" s="3">
        <f t="shared" si="82"/>
        <v>11510.34</v>
      </c>
      <c r="CR114" s="3">
        <f>(ROUND((ROUND(((ET114)*AV114*1),2)*BB114),2)+ROUND((ROUND(((AE114-(EU114))*AV114*1),2)*BS114),2))</f>
        <v>0</v>
      </c>
      <c r="CS114" s="3">
        <f>(ROUND((ROUND(((EU114)*AV114*1),2)*BS114),2)+ROUND((ROUND(((AE114-(EU114))*AV114*1),2)*BS114),2))</f>
        <v>0</v>
      </c>
      <c r="CT114" s="3">
        <f t="shared" si="83"/>
        <v>0</v>
      </c>
      <c r="CU114" s="3">
        <f t="shared" si="84"/>
        <v>0</v>
      </c>
      <c r="CV114" s="3">
        <f t="shared" si="85"/>
        <v>0</v>
      </c>
      <c r="CW114" s="3">
        <f t="shared" si="86"/>
        <v>0</v>
      </c>
      <c r="CX114" s="3">
        <f t="shared" si="87"/>
        <v>0</v>
      </c>
      <c r="CY114" s="3">
        <f>(ROUND((((S114+ROUND((ROUND(((EU114)*AV114*1),2)*BS114),2))*AT114)/100),2)+ROUND(((ROUND((ROUND(((AE114-(EU114))*AV114*1),2)*BS114),2)*AT114)/100),2))</f>
        <v>0</v>
      </c>
      <c r="CZ114" s="3">
        <f>(ROUND((((S114+ROUND((ROUND(((EU114)*AV114*1),2)*BS114),2))*AU114)/100),2)+ROUND(((ROUND((ROUND(((AE114-(EU114))*AV114*1),2)*BS114),2)*AU114)/100),2))</f>
        <v>0</v>
      </c>
      <c r="DC114" s="3" t="s">
        <v>3</v>
      </c>
      <c r="DD114" s="3" t="s">
        <v>3</v>
      </c>
      <c r="DE114" s="3" t="s">
        <v>3</v>
      </c>
      <c r="DF114" s="3" t="s">
        <v>3</v>
      </c>
      <c r="DG114" s="3" t="s">
        <v>3</v>
      </c>
      <c r="DH114" s="3" t="s">
        <v>3</v>
      </c>
      <c r="DI114" s="3" t="s">
        <v>3</v>
      </c>
      <c r="DJ114" s="3" t="s">
        <v>3</v>
      </c>
      <c r="DK114" s="3" t="s">
        <v>3</v>
      </c>
      <c r="DL114" s="3" t="s">
        <v>3</v>
      </c>
      <c r="DM114" s="3" t="s">
        <v>3</v>
      </c>
      <c r="DN114" s="3">
        <v>0</v>
      </c>
      <c r="DO114" s="3">
        <v>0</v>
      </c>
      <c r="DP114" s="3">
        <v>1</v>
      </c>
      <c r="DQ114" s="3">
        <v>1</v>
      </c>
      <c r="DU114" s="3">
        <v>1013</v>
      </c>
      <c r="DV114" s="3" t="s">
        <v>152</v>
      </c>
      <c r="DW114" s="3" t="s">
        <v>152</v>
      </c>
      <c r="DX114" s="3">
        <v>1</v>
      </c>
      <c r="DZ114" s="3" t="s">
        <v>3</v>
      </c>
      <c r="EA114" s="3" t="s">
        <v>3</v>
      </c>
      <c r="EB114" s="3" t="s">
        <v>3</v>
      </c>
      <c r="EC114" s="3" t="s">
        <v>3</v>
      </c>
      <c r="EE114" s="3">
        <v>57042890</v>
      </c>
      <c r="EF114" s="3">
        <v>214</v>
      </c>
      <c r="EG114" s="3" t="s">
        <v>153</v>
      </c>
      <c r="EH114" s="3">
        <v>0</v>
      </c>
      <c r="EI114" s="3" t="s">
        <v>3</v>
      </c>
      <c r="EJ114" s="3">
        <v>3</v>
      </c>
      <c r="EK114" s="3">
        <v>400007</v>
      </c>
      <c r="EL114" s="3" t="s">
        <v>153</v>
      </c>
      <c r="EM114" s="3" t="s">
        <v>154</v>
      </c>
      <c r="EO114" s="3" t="s">
        <v>3</v>
      </c>
      <c r="EQ114" s="3">
        <v>1040</v>
      </c>
      <c r="ER114" s="3">
        <v>0</v>
      </c>
      <c r="ES114" s="3">
        <v>1520.52</v>
      </c>
      <c r="ET114" s="3">
        <v>0</v>
      </c>
      <c r="EU114" s="3">
        <v>0</v>
      </c>
      <c r="EV114" s="3">
        <v>0</v>
      </c>
      <c r="EW114" s="3">
        <v>0</v>
      </c>
      <c r="EX114" s="3">
        <v>0</v>
      </c>
      <c r="EY114" s="3">
        <v>0</v>
      </c>
      <c r="EZ114" s="3">
        <v>5</v>
      </c>
      <c r="FC114" s="3">
        <v>1</v>
      </c>
      <c r="FD114" s="3">
        <v>18</v>
      </c>
      <c r="FF114" s="3">
        <v>13472</v>
      </c>
      <c r="FQ114" s="3">
        <v>0</v>
      </c>
      <c r="FR114" s="3">
        <f>P114</f>
        <v>11510.34</v>
      </c>
      <c r="FS114" s="3">
        <v>0</v>
      </c>
      <c r="FX114" s="3">
        <v>0</v>
      </c>
      <c r="FY114" s="3">
        <v>0</v>
      </c>
      <c r="GA114" s="3" t="s">
        <v>194</v>
      </c>
      <c r="GD114" s="3">
        <v>1</v>
      </c>
      <c r="GF114" s="3">
        <v>341940923</v>
      </c>
      <c r="GG114" s="3">
        <v>2</v>
      </c>
      <c r="GH114" s="3">
        <v>3</v>
      </c>
      <c r="GI114" s="3">
        <v>5</v>
      </c>
      <c r="GJ114" s="3">
        <v>0</v>
      </c>
      <c r="GK114" s="3">
        <v>0</v>
      </c>
      <c r="GL114" s="3">
        <f t="shared" si="88"/>
        <v>0</v>
      </c>
      <c r="GM114" s="3">
        <f t="shared" si="89"/>
        <v>11510.34</v>
      </c>
      <c r="GN114" s="3">
        <f t="shared" si="90"/>
        <v>0</v>
      </c>
      <c r="GO114" s="3">
        <f t="shared" si="91"/>
        <v>0</v>
      </c>
      <c r="GP114" s="3">
        <f t="shared" si="92"/>
        <v>0</v>
      </c>
      <c r="GR114" s="3">
        <v>1</v>
      </c>
      <c r="GS114" s="3">
        <v>1</v>
      </c>
      <c r="GT114" s="3">
        <v>0</v>
      </c>
      <c r="GU114" s="3" t="s">
        <v>3</v>
      </c>
      <c r="GV114" s="3">
        <f t="shared" si="93"/>
        <v>0</v>
      </c>
      <c r="GW114" s="3">
        <v>1</v>
      </c>
      <c r="GX114" s="3">
        <f t="shared" si="94"/>
        <v>0</v>
      </c>
      <c r="HA114" s="3">
        <v>0</v>
      </c>
      <c r="HB114" s="3">
        <v>0</v>
      </c>
      <c r="HC114" s="3">
        <f t="shared" si="95"/>
        <v>0</v>
      </c>
      <c r="HE114" s="3" t="s">
        <v>39</v>
      </c>
      <c r="HF114" s="3" t="s">
        <v>156</v>
      </c>
      <c r="HM114" s="3" t="s">
        <v>3</v>
      </c>
      <c r="HN114" s="3" t="s">
        <v>3</v>
      </c>
      <c r="HO114" s="3" t="s">
        <v>3</v>
      </c>
      <c r="HP114" s="3" t="s">
        <v>3</v>
      </c>
      <c r="HQ114" s="3" t="s">
        <v>3</v>
      </c>
      <c r="HS114" s="3">
        <v>0</v>
      </c>
      <c r="IK114" s="3">
        <v>0</v>
      </c>
    </row>
    <row r="115" spans="1:255" x14ac:dyDescent="0.25">
      <c r="A115" s="2">
        <v>17</v>
      </c>
      <c r="B115" s="2">
        <v>1</v>
      </c>
      <c r="C115" s="2">
        <f>ROW(SmtRes!A138)</f>
        <v>138</v>
      </c>
      <c r="D115" s="2">
        <f>ROW(EtalonRes!A181)</f>
        <v>181</v>
      </c>
      <c r="E115" s="2" t="s">
        <v>3</v>
      </c>
      <c r="F115" s="2" t="s">
        <v>163</v>
      </c>
      <c r="G115" s="2" t="s">
        <v>164</v>
      </c>
      <c r="H115" s="2" t="s">
        <v>27</v>
      </c>
      <c r="I115" s="2">
        <v>1</v>
      </c>
      <c r="J115" s="2">
        <v>0</v>
      </c>
      <c r="K115" s="2">
        <v>1</v>
      </c>
      <c r="L115" s="2"/>
      <c r="M115" s="2"/>
      <c r="N115" s="2"/>
      <c r="O115" s="2">
        <f t="shared" si="71"/>
        <v>15.27</v>
      </c>
      <c r="P115" s="2">
        <f t="shared" si="72"/>
        <v>0</v>
      </c>
      <c r="Q115" s="2">
        <f>(ROUND((ROUND((((ET115*1.2))*AV115*I115),2)*BB115),2)+ROUND((ROUND(((AE115-((EU115*1.2)))*AV115*I115),2)*BS115),2))</f>
        <v>0.63</v>
      </c>
      <c r="R115" s="2">
        <f>(ROUND((ROUND((((EU115*1.2))*AV115*I115),2)*BS115),2)+ROUND((ROUND(((AE115-((EU115*1.2)))*AV115*I115),2)*BS115),2))</f>
        <v>0.1</v>
      </c>
      <c r="S115" s="2">
        <f t="shared" si="73"/>
        <v>14.64</v>
      </c>
      <c r="T115" s="2">
        <f t="shared" si="74"/>
        <v>0</v>
      </c>
      <c r="U115" s="2">
        <f t="shared" si="75"/>
        <v>1.2940919999999998</v>
      </c>
      <c r="V115" s="2">
        <f t="shared" si="76"/>
        <v>0</v>
      </c>
      <c r="W115" s="2">
        <f t="shared" si="77"/>
        <v>0</v>
      </c>
      <c r="X115" s="2">
        <f>(ROUND((((S115+ROUND((ROUND((((EU115*1.2))*AV115*I115),2)*BS115),2))*AT115)/100),2)+ROUND(((ROUND((ROUND(((AE115-((EU115*1.2)))*AV115*I115),2)*BS115),2)*AT115)/100),2))</f>
        <v>13.27</v>
      </c>
      <c r="Y115" s="2">
        <f>(ROUND((((S115+ROUND((ROUND((((EU115*1.2))*AV115*I115),2)*BS115),2))*AU115)/100),2)+ROUND(((ROUND((ROUND(((AE115-((EU115*1.2)))*AV115*I115),2)*BS115),2)*AU115)/100),2))</f>
        <v>6.78</v>
      </c>
      <c r="Z115" s="2"/>
      <c r="AA115" s="2">
        <v>-1</v>
      </c>
      <c r="AB115" s="2">
        <f t="shared" si="78"/>
        <v>14.58</v>
      </c>
      <c r="AC115" s="2">
        <f>ROUND(((ES115*1)),6)</f>
        <v>0</v>
      </c>
      <c r="AD115" s="2">
        <f>ROUND(((((ET115*1.2))-((EU115*1.2)))+AE115),6)</f>
        <v>0.6</v>
      </c>
      <c r="AE115" s="2">
        <f>ROUND(((EU115*1.2)),6)</f>
        <v>9.6000000000000002E-2</v>
      </c>
      <c r="AF115" s="2">
        <f>ROUND(((EV115*1.2)),6)</f>
        <v>13.98</v>
      </c>
      <c r="AG115" s="2">
        <f t="shared" si="79"/>
        <v>0</v>
      </c>
      <c r="AH115" s="2">
        <f>((EW115*1.2))</f>
        <v>1.236</v>
      </c>
      <c r="AI115" s="2">
        <f>((EX115*1.2))</f>
        <v>0</v>
      </c>
      <c r="AJ115" s="2">
        <f t="shared" si="80"/>
        <v>0</v>
      </c>
      <c r="AK115" s="2">
        <v>12.15</v>
      </c>
      <c r="AL115" s="2">
        <v>0</v>
      </c>
      <c r="AM115" s="2">
        <v>0.5</v>
      </c>
      <c r="AN115" s="2">
        <v>0.08</v>
      </c>
      <c r="AO115" s="2">
        <v>11.65</v>
      </c>
      <c r="AP115" s="2">
        <v>0</v>
      </c>
      <c r="AQ115" s="2">
        <v>1.03</v>
      </c>
      <c r="AR115" s="2">
        <v>0</v>
      </c>
      <c r="AS115" s="2">
        <v>0</v>
      </c>
      <c r="AT115" s="2">
        <v>90</v>
      </c>
      <c r="AU115" s="2">
        <v>46</v>
      </c>
      <c r="AV115" s="2">
        <v>1.0469999999999999</v>
      </c>
      <c r="AW115" s="2">
        <v>1</v>
      </c>
      <c r="AX115" s="2"/>
      <c r="AY115" s="2"/>
      <c r="AZ115" s="2">
        <v>1</v>
      </c>
      <c r="BA115" s="2">
        <v>1</v>
      </c>
      <c r="BB115" s="2">
        <v>1</v>
      </c>
      <c r="BC115" s="2">
        <v>1</v>
      </c>
      <c r="BD115" s="2" t="s">
        <v>3</v>
      </c>
      <c r="BE115" s="2" t="s">
        <v>3</v>
      </c>
      <c r="BF115" s="2" t="s">
        <v>3</v>
      </c>
      <c r="BG115" s="2" t="s">
        <v>3</v>
      </c>
      <c r="BH115" s="2">
        <v>0</v>
      </c>
      <c r="BI115" s="2">
        <v>2</v>
      </c>
      <c r="BJ115" s="2" t="s">
        <v>165</v>
      </c>
      <c r="BK115" s="2"/>
      <c r="BL115" s="2"/>
      <c r="BM115" s="2">
        <v>72</v>
      </c>
      <c r="BN115" s="2">
        <v>0</v>
      </c>
      <c r="BO115" s="2" t="s">
        <v>163</v>
      </c>
      <c r="BP115" s="2">
        <v>1</v>
      </c>
      <c r="BQ115" s="2">
        <v>40</v>
      </c>
      <c r="BR115" s="2">
        <v>0</v>
      </c>
      <c r="BS115" s="2">
        <v>1</v>
      </c>
      <c r="BT115" s="2">
        <v>1</v>
      </c>
      <c r="BU115" s="2">
        <v>1</v>
      </c>
      <c r="BV115" s="2">
        <v>1</v>
      </c>
      <c r="BW115" s="2">
        <v>1</v>
      </c>
      <c r="BX115" s="2">
        <v>1</v>
      </c>
      <c r="BY115" s="2" t="s">
        <v>3</v>
      </c>
      <c r="BZ115" s="2">
        <v>90</v>
      </c>
      <c r="CA115" s="2">
        <v>46</v>
      </c>
      <c r="CB115" s="2" t="s">
        <v>3</v>
      </c>
      <c r="CC115" s="2"/>
      <c r="CD115" s="2"/>
      <c r="CE115" s="2">
        <v>1566</v>
      </c>
      <c r="CF115" s="2">
        <v>0</v>
      </c>
      <c r="CG115" s="2">
        <v>0</v>
      </c>
      <c r="CH115" s="2"/>
      <c r="CI115" s="2"/>
      <c r="CJ115" s="2"/>
      <c r="CK115" s="2"/>
      <c r="CL115" s="2"/>
      <c r="CM115" s="2">
        <v>0</v>
      </c>
      <c r="CN115" s="2" t="s">
        <v>624</v>
      </c>
      <c r="CO115" s="2">
        <v>0</v>
      </c>
      <c r="CP115" s="2">
        <f t="shared" si="81"/>
        <v>15.270000000000001</v>
      </c>
      <c r="CQ115" s="2">
        <f t="shared" si="82"/>
        <v>0</v>
      </c>
      <c r="CR115" s="2">
        <f>(ROUND((ROUND((((ET115*1.2))*AV115*1),2)*BB115),2)+ROUND((ROUND(((AE115-((EU115*1.2)))*AV115*1),2)*BS115),2))</f>
        <v>0.63</v>
      </c>
      <c r="CS115" s="2">
        <f>(ROUND((ROUND((((EU115*1.2))*AV115*1),2)*BS115),2)+ROUND((ROUND(((AE115-((EU115*1.2)))*AV115*1),2)*BS115),2))</f>
        <v>0.1</v>
      </c>
      <c r="CT115" s="2">
        <f t="shared" si="83"/>
        <v>14.64</v>
      </c>
      <c r="CU115" s="2">
        <f t="shared" si="84"/>
        <v>0</v>
      </c>
      <c r="CV115" s="2">
        <f t="shared" si="85"/>
        <v>1.2940919999999998</v>
      </c>
      <c r="CW115" s="2">
        <f t="shared" si="86"/>
        <v>0</v>
      </c>
      <c r="CX115" s="2">
        <f t="shared" si="87"/>
        <v>0</v>
      </c>
      <c r="CY115" s="2">
        <f>(ROUND((((S115+ROUND((ROUND((((EU115*1.2))*AV115*1),2)*BS115),2))*AT115)/100),2)+ROUND(((ROUND((ROUND(((AE115-((EU115*1.2)))*AV115*1),2)*BS115),2)*AT115)/100),2))</f>
        <v>13.27</v>
      </c>
      <c r="CZ115" s="2">
        <f>(ROUND((((S115+ROUND((ROUND((((EU115*1.2))*AV115*1),2)*BS115),2))*AU115)/100),2)+ROUND(((ROUND((ROUND(((AE115-((EU115*1.2)))*AV115*1),2)*BS115),2)*AU115)/100),2))</f>
        <v>6.78</v>
      </c>
      <c r="DA115" s="2"/>
      <c r="DB115" s="2">
        <v>61</v>
      </c>
      <c r="DC115" s="2" t="s">
        <v>3</v>
      </c>
      <c r="DD115" s="2" t="s">
        <v>70</v>
      </c>
      <c r="DE115" s="2" t="s">
        <v>71</v>
      </c>
      <c r="DF115" s="2" t="s">
        <v>71</v>
      </c>
      <c r="DG115" s="2" t="s">
        <v>71</v>
      </c>
      <c r="DH115" s="2" t="s">
        <v>3</v>
      </c>
      <c r="DI115" s="2" t="s">
        <v>71</v>
      </c>
      <c r="DJ115" s="2" t="s">
        <v>71</v>
      </c>
      <c r="DK115" s="2" t="s">
        <v>3</v>
      </c>
      <c r="DL115" s="2" t="s">
        <v>3</v>
      </c>
      <c r="DM115" s="2" t="s">
        <v>3</v>
      </c>
      <c r="DN115" s="2">
        <v>0</v>
      </c>
      <c r="DO115" s="2">
        <v>0</v>
      </c>
      <c r="DP115" s="2">
        <v>1</v>
      </c>
      <c r="DQ115" s="2">
        <v>1</v>
      </c>
      <c r="DR115" s="2"/>
      <c r="DS115" s="2"/>
      <c r="DT115" s="2"/>
      <c r="DU115" s="2">
        <v>1013</v>
      </c>
      <c r="DV115" s="2" t="s">
        <v>27</v>
      </c>
      <c r="DW115" s="2" t="s">
        <v>27</v>
      </c>
      <c r="DX115" s="2">
        <v>1</v>
      </c>
      <c r="DY115" s="2"/>
      <c r="DZ115" s="2" t="s">
        <v>3</v>
      </c>
      <c r="EA115" s="2" t="s">
        <v>3</v>
      </c>
      <c r="EB115" s="2" t="s">
        <v>3</v>
      </c>
      <c r="EC115" s="2" t="s">
        <v>3</v>
      </c>
      <c r="ED115" s="2"/>
      <c r="EE115" s="2">
        <v>57042962</v>
      </c>
      <c r="EF115" s="2">
        <v>40</v>
      </c>
      <c r="EG115" s="2" t="s">
        <v>31</v>
      </c>
      <c r="EH115" s="2">
        <v>0</v>
      </c>
      <c r="EI115" s="2" t="s">
        <v>3</v>
      </c>
      <c r="EJ115" s="2">
        <v>2</v>
      </c>
      <c r="EK115" s="2">
        <v>72</v>
      </c>
      <c r="EL115" s="2" t="s">
        <v>166</v>
      </c>
      <c r="EM115" s="2" t="s">
        <v>167</v>
      </c>
      <c r="EN115" s="2"/>
      <c r="EO115" s="2" t="s">
        <v>75</v>
      </c>
      <c r="EP115" s="2"/>
      <c r="EQ115" s="2">
        <v>1024</v>
      </c>
      <c r="ER115" s="2">
        <v>12.15</v>
      </c>
      <c r="ES115" s="2">
        <v>0</v>
      </c>
      <c r="ET115" s="2">
        <v>0.5</v>
      </c>
      <c r="EU115" s="2">
        <v>0.08</v>
      </c>
      <c r="EV115" s="2">
        <v>11.65</v>
      </c>
      <c r="EW115" s="2">
        <v>1.03</v>
      </c>
      <c r="EX115" s="2">
        <v>0</v>
      </c>
      <c r="EY115" s="2">
        <v>0</v>
      </c>
      <c r="EZ115" s="2"/>
      <c r="FA115" s="2"/>
      <c r="FB115" s="2"/>
      <c r="FC115" s="2"/>
      <c r="FD115" s="2"/>
      <c r="FE115" s="2"/>
      <c r="FF115" s="2"/>
      <c r="FG115" s="2"/>
      <c r="FH115" s="2"/>
      <c r="FI115" s="2"/>
      <c r="FJ115" s="2"/>
      <c r="FK115" s="2"/>
      <c r="FL115" s="2"/>
      <c r="FM115" s="2"/>
      <c r="FN115" s="2"/>
      <c r="FO115" s="2"/>
      <c r="FP115" s="2"/>
      <c r="FQ115" s="2">
        <v>0</v>
      </c>
      <c r="FR115" s="2">
        <v>0</v>
      </c>
      <c r="FS115" s="2">
        <v>0</v>
      </c>
      <c r="FT115" s="2"/>
      <c r="FU115" s="2"/>
      <c r="FV115" s="2"/>
      <c r="FW115" s="2"/>
      <c r="FX115" s="2">
        <v>90</v>
      </c>
      <c r="FY115" s="2">
        <v>46</v>
      </c>
      <c r="FZ115" s="2"/>
      <c r="GA115" s="2" t="s">
        <v>3</v>
      </c>
      <c r="GB115" s="2"/>
      <c r="GC115" s="2"/>
      <c r="GD115" s="2">
        <v>1</v>
      </c>
      <c r="GE115" s="2"/>
      <c r="GF115" s="2">
        <v>-920792427</v>
      </c>
      <c r="GG115" s="2">
        <v>2</v>
      </c>
      <c r="GH115" s="2">
        <v>1</v>
      </c>
      <c r="GI115" s="2">
        <v>2</v>
      </c>
      <c r="GJ115" s="2">
        <v>0</v>
      </c>
      <c r="GK115" s="2">
        <v>0</v>
      </c>
      <c r="GL115" s="2">
        <f t="shared" si="88"/>
        <v>0</v>
      </c>
      <c r="GM115" s="2">
        <f t="shared" si="89"/>
        <v>35.32</v>
      </c>
      <c r="GN115" s="2">
        <f t="shared" si="90"/>
        <v>0</v>
      </c>
      <c r="GO115" s="2">
        <f t="shared" si="91"/>
        <v>35.32</v>
      </c>
      <c r="GP115" s="2">
        <f t="shared" si="92"/>
        <v>0</v>
      </c>
      <c r="GQ115" s="2"/>
      <c r="GR115" s="2">
        <v>0</v>
      </c>
      <c r="GS115" s="2">
        <v>3</v>
      </c>
      <c r="GT115" s="2">
        <v>0</v>
      </c>
      <c r="GU115" s="2" t="s">
        <v>3</v>
      </c>
      <c r="GV115" s="2">
        <f t="shared" si="93"/>
        <v>0</v>
      </c>
      <c r="GW115" s="2">
        <v>1</v>
      </c>
      <c r="GX115" s="2">
        <f t="shared" si="94"/>
        <v>0</v>
      </c>
      <c r="GY115" s="2"/>
      <c r="GZ115" s="2"/>
      <c r="HA115" s="2">
        <v>0</v>
      </c>
      <c r="HB115" s="2">
        <v>0</v>
      </c>
      <c r="HC115" s="2">
        <f t="shared" si="95"/>
        <v>0</v>
      </c>
      <c r="HD115" s="2"/>
      <c r="HE115" s="2" t="s">
        <v>3</v>
      </c>
      <c r="HF115" s="2" t="s">
        <v>3</v>
      </c>
      <c r="HG115" s="2"/>
      <c r="HH115" s="2"/>
      <c r="HI115" s="2"/>
      <c r="HJ115" s="2"/>
      <c r="HK115" s="2"/>
      <c r="HL115" s="2"/>
      <c r="HM115" s="2" t="s">
        <v>3</v>
      </c>
      <c r="HN115" s="2" t="s">
        <v>3</v>
      </c>
      <c r="HO115" s="2" t="s">
        <v>3</v>
      </c>
      <c r="HP115" s="2" t="s">
        <v>3</v>
      </c>
      <c r="HQ115" s="2" t="s">
        <v>3</v>
      </c>
      <c r="HR115" s="2"/>
      <c r="HS115" s="2">
        <v>0</v>
      </c>
      <c r="HT115" s="2"/>
      <c r="HU115" s="2"/>
      <c r="HV115" s="2"/>
      <c r="HW115" s="2"/>
      <c r="HX115" s="2"/>
      <c r="HY115" s="2"/>
      <c r="HZ115" s="2"/>
      <c r="IA115" s="2"/>
      <c r="IB115" s="2"/>
      <c r="IC115" s="2"/>
      <c r="ID115" s="2"/>
      <c r="IE115" s="2"/>
      <c r="IF115" s="2"/>
      <c r="IG115" s="2"/>
      <c r="IH115" s="2"/>
      <c r="II115" s="2"/>
      <c r="IJ115" s="2"/>
      <c r="IK115" s="2">
        <v>0</v>
      </c>
      <c r="IL115" s="2"/>
      <c r="IM115" s="2"/>
      <c r="IN115" s="2"/>
      <c r="IO115" s="2"/>
      <c r="IP115" s="2"/>
      <c r="IQ115" s="2"/>
      <c r="IR115" s="2"/>
      <c r="IS115" s="2"/>
      <c r="IT115" s="2"/>
      <c r="IU115" s="2"/>
    </row>
    <row r="116" spans="1:255" x14ac:dyDescent="0.25">
      <c r="A116" s="3">
        <v>17</v>
      </c>
      <c r="B116" s="3">
        <v>1</v>
      </c>
      <c r="C116" s="3">
        <f>ROW(SmtRes!A140)</f>
        <v>140</v>
      </c>
      <c r="D116" s="3">
        <f>ROW(EtalonRes!A184)</f>
        <v>184</v>
      </c>
      <c r="E116" s="3" t="s">
        <v>3</v>
      </c>
      <c r="F116" s="3" t="s">
        <v>163</v>
      </c>
      <c r="G116" s="3" t="s">
        <v>164</v>
      </c>
      <c r="H116" s="3" t="s">
        <v>27</v>
      </c>
      <c r="I116" s="3">
        <v>1</v>
      </c>
      <c r="J116" s="3">
        <v>0</v>
      </c>
      <c r="K116" s="3">
        <v>1</v>
      </c>
      <c r="O116" s="3">
        <f t="shared" si="71"/>
        <v>835.68</v>
      </c>
      <c r="P116" s="3">
        <f t="shared" si="72"/>
        <v>0</v>
      </c>
      <c r="Q116" s="3">
        <f>(ROUND((ROUND((((ET116*1.2))*AV116*I116),2)*BB116),2)+ROUND((ROUND(((AE116-((EU116*1.2)))*AV116*I116),2)*BS116),2))</f>
        <v>10.72</v>
      </c>
      <c r="R116" s="3">
        <f>(ROUND((ROUND((((EU116*1.2))*AV116*I116),2)*BS116),2)+ROUND((ROUND(((AE116-((EU116*1.2)))*AV116*I116),2)*BS116),2))</f>
        <v>5.64</v>
      </c>
      <c r="S116" s="3">
        <f t="shared" si="73"/>
        <v>824.96</v>
      </c>
      <c r="T116" s="3">
        <f t="shared" si="74"/>
        <v>0</v>
      </c>
      <c r="U116" s="3">
        <f t="shared" si="75"/>
        <v>1.2940919999999998</v>
      </c>
      <c r="V116" s="3">
        <f t="shared" si="76"/>
        <v>0</v>
      </c>
      <c r="W116" s="3">
        <f t="shared" si="77"/>
        <v>0</v>
      </c>
      <c r="X116" s="3">
        <f>(ROUND((((S116+ROUND((ROUND((((EU116*1.2))*AV116*I116),2)*BS116),2))*AT116)/100),2)+ROUND(((ROUND((ROUND(((AE116-((EU116*1.2)))*AV116*I116),2)*BS116),2)*AT116)/100),2))</f>
        <v>747.54</v>
      </c>
      <c r="Y116" s="3">
        <f>(ROUND((((S116+ROUND((ROUND((((EU116*1.2))*AV116*I116),2)*BS116),2))*AU116)/100),2)+ROUND(((ROUND((ROUND(((AE116-((EU116*1.2)))*AV116*I116),2)*BS116),2)*AU116)/100),2))</f>
        <v>382.08</v>
      </c>
      <c r="AA116" s="3">
        <v>-1</v>
      </c>
      <c r="AB116" s="3">
        <f t="shared" si="78"/>
        <v>14.58</v>
      </c>
      <c r="AC116" s="3">
        <f>ROUND(((ES116*1)),6)</f>
        <v>0</v>
      </c>
      <c r="AD116" s="3">
        <f>ROUND(((((ET116*1.2))-((EU116*1.2)))+AE116),6)</f>
        <v>0.6</v>
      </c>
      <c r="AE116" s="3">
        <f>ROUND(((EU116*1.2)),6)</f>
        <v>9.6000000000000002E-2</v>
      </c>
      <c r="AF116" s="3">
        <f>ROUND(((EV116*1.2)),6)</f>
        <v>13.98</v>
      </c>
      <c r="AG116" s="3">
        <f t="shared" si="79"/>
        <v>0</v>
      </c>
      <c r="AH116" s="3">
        <f>((EW116*1.2))</f>
        <v>1.236</v>
      </c>
      <c r="AI116" s="3">
        <f>((EX116*1.2))</f>
        <v>0</v>
      </c>
      <c r="AJ116" s="3">
        <f t="shared" si="80"/>
        <v>0</v>
      </c>
      <c r="AK116" s="3">
        <v>12.15</v>
      </c>
      <c r="AL116" s="3">
        <v>0</v>
      </c>
      <c r="AM116" s="3">
        <v>0.5</v>
      </c>
      <c r="AN116" s="3">
        <v>0.08</v>
      </c>
      <c r="AO116" s="3">
        <v>11.65</v>
      </c>
      <c r="AP116" s="3">
        <v>0</v>
      </c>
      <c r="AQ116" s="3">
        <v>1.03</v>
      </c>
      <c r="AR116" s="3">
        <v>0</v>
      </c>
      <c r="AS116" s="3">
        <v>0</v>
      </c>
      <c r="AT116" s="3">
        <v>90</v>
      </c>
      <c r="AU116" s="3">
        <v>46</v>
      </c>
      <c r="AV116" s="3">
        <v>1.0469999999999999</v>
      </c>
      <c r="AW116" s="3">
        <v>1</v>
      </c>
      <c r="AZ116" s="3">
        <v>1</v>
      </c>
      <c r="BA116" s="3">
        <v>56.35</v>
      </c>
      <c r="BB116" s="3">
        <v>17.02</v>
      </c>
      <c r="BC116" s="3">
        <v>1</v>
      </c>
      <c r="BD116" s="3" t="s">
        <v>3</v>
      </c>
      <c r="BE116" s="3" t="s">
        <v>3</v>
      </c>
      <c r="BF116" s="3" t="s">
        <v>3</v>
      </c>
      <c r="BG116" s="3" t="s">
        <v>3</v>
      </c>
      <c r="BH116" s="3">
        <v>0</v>
      </c>
      <c r="BI116" s="3">
        <v>2</v>
      </c>
      <c r="BJ116" s="3" t="s">
        <v>165</v>
      </c>
      <c r="BM116" s="3">
        <v>72</v>
      </c>
      <c r="BN116" s="3">
        <v>0</v>
      </c>
      <c r="BO116" s="3" t="s">
        <v>163</v>
      </c>
      <c r="BP116" s="3">
        <v>1</v>
      </c>
      <c r="BQ116" s="3">
        <v>40</v>
      </c>
      <c r="BR116" s="3">
        <v>0</v>
      </c>
      <c r="BS116" s="3">
        <v>56.35</v>
      </c>
      <c r="BT116" s="3">
        <v>1</v>
      </c>
      <c r="BU116" s="3">
        <v>1</v>
      </c>
      <c r="BV116" s="3">
        <v>1</v>
      </c>
      <c r="BW116" s="3">
        <v>1</v>
      </c>
      <c r="BX116" s="3">
        <v>1</v>
      </c>
      <c r="BY116" s="3" t="s">
        <v>3</v>
      </c>
      <c r="BZ116" s="3">
        <v>90</v>
      </c>
      <c r="CA116" s="3">
        <v>46</v>
      </c>
      <c r="CB116" s="3" t="s">
        <v>3</v>
      </c>
      <c r="CE116" s="3">
        <v>1566</v>
      </c>
      <c r="CF116" s="3">
        <v>0</v>
      </c>
      <c r="CG116" s="3">
        <v>0</v>
      </c>
      <c r="CM116" s="3">
        <v>0</v>
      </c>
      <c r="CN116" s="3" t="s">
        <v>624</v>
      </c>
      <c r="CO116" s="3">
        <v>0</v>
      </c>
      <c r="CP116" s="3">
        <f t="shared" si="81"/>
        <v>835.68000000000006</v>
      </c>
      <c r="CQ116" s="3">
        <f t="shared" si="82"/>
        <v>0</v>
      </c>
      <c r="CR116" s="3">
        <f>(ROUND((ROUND((((ET116*1.2))*AV116*1),2)*BB116),2)+ROUND((ROUND(((AE116-((EU116*1.2)))*AV116*1),2)*BS116),2))</f>
        <v>10.72</v>
      </c>
      <c r="CS116" s="3">
        <f>(ROUND((ROUND((((EU116*1.2))*AV116*1),2)*BS116),2)+ROUND((ROUND(((AE116-((EU116*1.2)))*AV116*1),2)*BS116),2))</f>
        <v>5.64</v>
      </c>
      <c r="CT116" s="3">
        <f t="shared" si="83"/>
        <v>824.96</v>
      </c>
      <c r="CU116" s="3">
        <f t="shared" si="84"/>
        <v>0</v>
      </c>
      <c r="CV116" s="3">
        <f t="shared" si="85"/>
        <v>1.2940919999999998</v>
      </c>
      <c r="CW116" s="3">
        <f t="shared" si="86"/>
        <v>0</v>
      </c>
      <c r="CX116" s="3">
        <f t="shared" si="87"/>
        <v>0</v>
      </c>
      <c r="CY116" s="3">
        <f>(ROUND((((S116+ROUND((ROUND((((EU116*1.2))*AV116*1),2)*BS116),2))*AT116)/100),2)+ROUND(((ROUND((ROUND(((AE116-((EU116*1.2)))*AV116*1),2)*BS116),2)*AT116)/100),2))</f>
        <v>747.54</v>
      </c>
      <c r="CZ116" s="3">
        <f>(ROUND((((S116+ROUND((ROUND((((EU116*1.2))*AV116*1),2)*BS116),2))*AU116)/100),2)+ROUND(((ROUND((ROUND(((AE116-((EU116*1.2)))*AV116*1),2)*BS116),2)*AU116)/100),2))</f>
        <v>382.08</v>
      </c>
      <c r="DB116" s="3">
        <v>62</v>
      </c>
      <c r="DC116" s="3" t="s">
        <v>3</v>
      </c>
      <c r="DD116" s="3" t="s">
        <v>70</v>
      </c>
      <c r="DE116" s="3" t="s">
        <v>71</v>
      </c>
      <c r="DF116" s="3" t="s">
        <v>71</v>
      </c>
      <c r="DG116" s="3" t="s">
        <v>71</v>
      </c>
      <c r="DH116" s="3" t="s">
        <v>3</v>
      </c>
      <c r="DI116" s="3" t="s">
        <v>71</v>
      </c>
      <c r="DJ116" s="3" t="s">
        <v>71</v>
      </c>
      <c r="DK116" s="3" t="s">
        <v>3</v>
      </c>
      <c r="DL116" s="3" t="s">
        <v>3</v>
      </c>
      <c r="DM116" s="3" t="s">
        <v>3</v>
      </c>
      <c r="DN116" s="3">
        <v>0</v>
      </c>
      <c r="DO116" s="3">
        <v>0</v>
      </c>
      <c r="DP116" s="3">
        <v>1</v>
      </c>
      <c r="DQ116" s="3">
        <v>1</v>
      </c>
      <c r="DU116" s="3">
        <v>1013</v>
      </c>
      <c r="DV116" s="3" t="s">
        <v>27</v>
      </c>
      <c r="DW116" s="3" t="s">
        <v>27</v>
      </c>
      <c r="DX116" s="3">
        <v>1</v>
      </c>
      <c r="DZ116" s="3" t="s">
        <v>3</v>
      </c>
      <c r="EA116" s="3" t="s">
        <v>3</v>
      </c>
      <c r="EB116" s="3" t="s">
        <v>3</v>
      </c>
      <c r="EC116" s="3" t="s">
        <v>3</v>
      </c>
      <c r="EE116" s="3">
        <v>57042962</v>
      </c>
      <c r="EF116" s="3">
        <v>40</v>
      </c>
      <c r="EG116" s="3" t="s">
        <v>31</v>
      </c>
      <c r="EH116" s="3">
        <v>0</v>
      </c>
      <c r="EI116" s="3" t="s">
        <v>3</v>
      </c>
      <c r="EJ116" s="3">
        <v>2</v>
      </c>
      <c r="EK116" s="3">
        <v>72</v>
      </c>
      <c r="EL116" s="3" t="s">
        <v>166</v>
      </c>
      <c r="EM116" s="3" t="s">
        <v>167</v>
      </c>
      <c r="EO116" s="3" t="s">
        <v>75</v>
      </c>
      <c r="EQ116" s="3">
        <v>1024</v>
      </c>
      <c r="ER116" s="3">
        <v>12.15</v>
      </c>
      <c r="ES116" s="3">
        <v>0</v>
      </c>
      <c r="ET116" s="3">
        <v>0.5</v>
      </c>
      <c r="EU116" s="3">
        <v>0.08</v>
      </c>
      <c r="EV116" s="3">
        <v>11.65</v>
      </c>
      <c r="EW116" s="3">
        <v>1.03</v>
      </c>
      <c r="EX116" s="3">
        <v>0</v>
      </c>
      <c r="EY116" s="3">
        <v>0</v>
      </c>
      <c r="FQ116" s="3">
        <v>0</v>
      </c>
      <c r="FR116" s="3">
        <v>0</v>
      </c>
      <c r="FS116" s="3">
        <v>0</v>
      </c>
      <c r="FX116" s="3">
        <v>90</v>
      </c>
      <c r="FY116" s="3">
        <v>46</v>
      </c>
      <c r="GA116" s="3" t="s">
        <v>3</v>
      </c>
      <c r="GD116" s="3">
        <v>1</v>
      </c>
      <c r="GF116" s="3">
        <v>-920792427</v>
      </c>
      <c r="GG116" s="3">
        <v>2</v>
      </c>
      <c r="GH116" s="3">
        <v>1</v>
      </c>
      <c r="GI116" s="3">
        <v>2</v>
      </c>
      <c r="GJ116" s="3">
        <v>0</v>
      </c>
      <c r="GK116" s="3">
        <v>0</v>
      </c>
      <c r="GL116" s="3">
        <f t="shared" si="88"/>
        <v>0</v>
      </c>
      <c r="GM116" s="3">
        <f t="shared" si="89"/>
        <v>1965.3</v>
      </c>
      <c r="GN116" s="3">
        <f t="shared" si="90"/>
        <v>0</v>
      </c>
      <c r="GO116" s="3">
        <f t="shared" si="91"/>
        <v>1965.3</v>
      </c>
      <c r="GP116" s="3">
        <f t="shared" si="92"/>
        <v>0</v>
      </c>
      <c r="GR116" s="3">
        <v>0</v>
      </c>
      <c r="GS116" s="3">
        <v>3</v>
      </c>
      <c r="GT116" s="3">
        <v>0</v>
      </c>
      <c r="GU116" s="3" t="s">
        <v>3</v>
      </c>
      <c r="GV116" s="3">
        <f t="shared" si="93"/>
        <v>0</v>
      </c>
      <c r="GW116" s="3">
        <v>1</v>
      </c>
      <c r="GX116" s="3">
        <f t="shared" si="94"/>
        <v>0</v>
      </c>
      <c r="HA116" s="3">
        <v>0</v>
      </c>
      <c r="HB116" s="3">
        <v>0</v>
      </c>
      <c r="HC116" s="3">
        <f t="shared" si="95"/>
        <v>0</v>
      </c>
      <c r="HE116" s="3" t="s">
        <v>3</v>
      </c>
      <c r="HF116" s="3" t="s">
        <v>3</v>
      </c>
      <c r="HM116" s="3" t="s">
        <v>3</v>
      </c>
      <c r="HN116" s="3" t="s">
        <v>3</v>
      </c>
      <c r="HO116" s="3" t="s">
        <v>3</v>
      </c>
      <c r="HP116" s="3" t="s">
        <v>3</v>
      </c>
      <c r="HQ116" s="3" t="s">
        <v>3</v>
      </c>
      <c r="HS116" s="3">
        <v>0</v>
      </c>
      <c r="IK116" s="3">
        <v>0</v>
      </c>
    </row>
    <row r="117" spans="1:255" x14ac:dyDescent="0.25">
      <c r="A117" s="2">
        <v>17</v>
      </c>
      <c r="B117" s="2">
        <v>1</v>
      </c>
      <c r="C117" s="2"/>
      <c r="D117" s="2"/>
      <c r="E117" s="2" t="s">
        <v>3</v>
      </c>
      <c r="F117" s="2" t="s">
        <v>195</v>
      </c>
      <c r="G117" s="2" t="s">
        <v>196</v>
      </c>
      <c r="H117" s="2" t="s">
        <v>152</v>
      </c>
      <c r="I117" s="2">
        <v>1</v>
      </c>
      <c r="J117" s="2">
        <v>0</v>
      </c>
      <c r="K117" s="2">
        <v>1</v>
      </c>
      <c r="L117" s="2"/>
      <c r="M117" s="2"/>
      <c r="N117" s="2"/>
      <c r="O117" s="2">
        <f t="shared" si="71"/>
        <v>3046.59</v>
      </c>
      <c r="P117" s="2">
        <f t="shared" si="72"/>
        <v>3046.59</v>
      </c>
      <c r="Q117" s="2">
        <f>(ROUND((ROUND(((ET117)*AV117*I117),2)*BB117),2)+ROUND((ROUND(((AE117-(EU117))*AV117*I117),2)*BS117),2))</f>
        <v>0</v>
      </c>
      <c r="R117" s="2">
        <f>(ROUND((ROUND(((EU117)*AV117*I117),2)*BS117),2)+ROUND((ROUND(((AE117-(EU117))*AV117*I117),2)*BS117),2))</f>
        <v>0</v>
      </c>
      <c r="S117" s="2">
        <f t="shared" si="73"/>
        <v>0</v>
      </c>
      <c r="T117" s="2">
        <f t="shared" si="74"/>
        <v>0</v>
      </c>
      <c r="U117" s="2">
        <f t="shared" si="75"/>
        <v>0</v>
      </c>
      <c r="V117" s="2">
        <f t="shared" si="76"/>
        <v>0</v>
      </c>
      <c r="W117" s="2">
        <f t="shared" si="77"/>
        <v>0</v>
      </c>
      <c r="X117" s="2">
        <f>(ROUND((((S117+ROUND((ROUND(((EU117)*AV117*I117),2)*BS117),2))*AT117)/100),2)+ROUND(((ROUND((ROUND(((AE117-(EU117))*AV117*I117),2)*BS117),2)*AT117)/100),2))</f>
        <v>0</v>
      </c>
      <c r="Y117" s="2">
        <f>(ROUND((((S117+ROUND((ROUND(((EU117)*AV117*I117),2)*BS117),2))*AU117)/100),2)+ROUND(((ROUND((ROUND(((AE117-(EU117))*AV117*I117),2)*BS117),2)*AU117)/100),2))</f>
        <v>0</v>
      </c>
      <c r="Z117" s="2"/>
      <c r="AA117" s="2">
        <v>-1</v>
      </c>
      <c r="AB117" s="2">
        <f t="shared" si="78"/>
        <v>3046.59</v>
      </c>
      <c r="AC117" s="2">
        <f>ROUND((ES117),6)</f>
        <v>3046.59</v>
      </c>
      <c r="AD117" s="2">
        <f>ROUND((((ET117)-(EU117))+AE117),6)</f>
        <v>0</v>
      </c>
      <c r="AE117" s="2">
        <f>ROUND((EU117),6)</f>
        <v>0</v>
      </c>
      <c r="AF117" s="2">
        <f>ROUND((EV117),6)</f>
        <v>0</v>
      </c>
      <c r="AG117" s="2">
        <f t="shared" si="79"/>
        <v>0</v>
      </c>
      <c r="AH117" s="2">
        <f>(EW117)</f>
        <v>0</v>
      </c>
      <c r="AI117" s="2">
        <f>(EX117)</f>
        <v>0</v>
      </c>
      <c r="AJ117" s="2">
        <f t="shared" si="80"/>
        <v>0</v>
      </c>
      <c r="AK117" s="2">
        <v>3046.59</v>
      </c>
      <c r="AL117" s="2">
        <v>3046.59</v>
      </c>
      <c r="AM117" s="2">
        <v>0</v>
      </c>
      <c r="AN117" s="2">
        <v>0</v>
      </c>
      <c r="AO117" s="2">
        <v>0</v>
      </c>
      <c r="AP117" s="2">
        <v>0</v>
      </c>
      <c r="AQ117" s="2">
        <v>0</v>
      </c>
      <c r="AR117" s="2">
        <v>0</v>
      </c>
      <c r="AS117" s="2">
        <v>0</v>
      </c>
      <c r="AT117" s="2">
        <v>0</v>
      </c>
      <c r="AU117" s="2">
        <v>0</v>
      </c>
      <c r="AV117" s="2">
        <v>1</v>
      </c>
      <c r="AW117" s="2">
        <v>1</v>
      </c>
      <c r="AX117" s="2"/>
      <c r="AY117" s="2"/>
      <c r="AZ117" s="2">
        <v>1</v>
      </c>
      <c r="BA117" s="2">
        <v>1</v>
      </c>
      <c r="BB117" s="2">
        <v>1</v>
      </c>
      <c r="BC117" s="2">
        <v>1</v>
      </c>
      <c r="BD117" s="2" t="s">
        <v>3</v>
      </c>
      <c r="BE117" s="2" t="s">
        <v>3</v>
      </c>
      <c r="BF117" s="2" t="s">
        <v>3</v>
      </c>
      <c r="BG117" s="2" t="s">
        <v>3</v>
      </c>
      <c r="BH117" s="2">
        <v>3</v>
      </c>
      <c r="BI117" s="2">
        <v>3</v>
      </c>
      <c r="BJ117" s="2" t="s">
        <v>195</v>
      </c>
      <c r="BK117" s="2"/>
      <c r="BL117" s="2"/>
      <c r="BM117" s="2">
        <v>400007</v>
      </c>
      <c r="BN117" s="2">
        <v>0</v>
      </c>
      <c r="BO117" s="2" t="s">
        <v>3</v>
      </c>
      <c r="BP117" s="2">
        <v>0</v>
      </c>
      <c r="BQ117" s="2">
        <v>214</v>
      </c>
      <c r="BR117" s="2">
        <v>0</v>
      </c>
      <c r="BS117" s="2">
        <v>1</v>
      </c>
      <c r="BT117" s="2">
        <v>1</v>
      </c>
      <c r="BU117" s="2">
        <v>1</v>
      </c>
      <c r="BV117" s="2">
        <v>1</v>
      </c>
      <c r="BW117" s="2">
        <v>1</v>
      </c>
      <c r="BX117" s="2">
        <v>1</v>
      </c>
      <c r="BY117" s="2" t="s">
        <v>3</v>
      </c>
      <c r="BZ117" s="2">
        <v>0</v>
      </c>
      <c r="CA117" s="2">
        <v>0</v>
      </c>
      <c r="CB117" s="2" t="s">
        <v>3</v>
      </c>
      <c r="CC117" s="2"/>
      <c r="CD117" s="2"/>
      <c r="CE117" s="2">
        <v>1566</v>
      </c>
      <c r="CF117" s="2">
        <v>0</v>
      </c>
      <c r="CG117" s="2">
        <v>0</v>
      </c>
      <c r="CH117" s="2"/>
      <c r="CI117" s="2"/>
      <c r="CJ117" s="2"/>
      <c r="CK117" s="2"/>
      <c r="CL117" s="2"/>
      <c r="CM117" s="2">
        <v>0</v>
      </c>
      <c r="CN117" s="2" t="s">
        <v>3</v>
      </c>
      <c r="CO117" s="2">
        <v>0</v>
      </c>
      <c r="CP117" s="2">
        <f t="shared" si="81"/>
        <v>3046.59</v>
      </c>
      <c r="CQ117" s="2">
        <f t="shared" si="82"/>
        <v>3046.59</v>
      </c>
      <c r="CR117" s="2">
        <f>(ROUND((ROUND(((ET117)*AV117*1),2)*BB117),2)+ROUND((ROUND(((AE117-(EU117))*AV117*1),2)*BS117),2))</f>
        <v>0</v>
      </c>
      <c r="CS117" s="2">
        <f>(ROUND((ROUND(((EU117)*AV117*1),2)*BS117),2)+ROUND((ROUND(((AE117-(EU117))*AV117*1),2)*BS117),2))</f>
        <v>0</v>
      </c>
      <c r="CT117" s="2">
        <f t="shared" si="83"/>
        <v>0</v>
      </c>
      <c r="CU117" s="2">
        <f t="shared" si="84"/>
        <v>0</v>
      </c>
      <c r="CV117" s="2">
        <f t="shared" si="85"/>
        <v>0</v>
      </c>
      <c r="CW117" s="2">
        <f t="shared" si="86"/>
        <v>0</v>
      </c>
      <c r="CX117" s="2">
        <f t="shared" si="87"/>
        <v>0</v>
      </c>
      <c r="CY117" s="2">
        <f>(ROUND((((S117+ROUND((ROUND(((EU117)*AV117*1),2)*BS117),2))*AT117)/100),2)+ROUND(((ROUND((ROUND(((AE117-(EU117))*AV117*1),2)*BS117),2)*AT117)/100),2))</f>
        <v>0</v>
      </c>
      <c r="CZ117" s="2">
        <f>(ROUND((((S117+ROUND((ROUND(((EU117)*AV117*1),2)*BS117),2))*AU117)/100),2)+ROUND(((ROUND((ROUND(((AE117-(EU117))*AV117*1),2)*BS117),2)*AU117)/100),2))</f>
        <v>0</v>
      </c>
      <c r="DA117" s="2"/>
      <c r="DB117" s="2"/>
      <c r="DC117" s="2" t="s">
        <v>3</v>
      </c>
      <c r="DD117" s="2" t="s">
        <v>3</v>
      </c>
      <c r="DE117" s="2" t="s">
        <v>3</v>
      </c>
      <c r="DF117" s="2" t="s">
        <v>3</v>
      </c>
      <c r="DG117" s="2" t="s">
        <v>3</v>
      </c>
      <c r="DH117" s="2" t="s">
        <v>3</v>
      </c>
      <c r="DI117" s="2" t="s">
        <v>3</v>
      </c>
      <c r="DJ117" s="2" t="s">
        <v>3</v>
      </c>
      <c r="DK117" s="2" t="s">
        <v>3</v>
      </c>
      <c r="DL117" s="2" t="s">
        <v>3</v>
      </c>
      <c r="DM117" s="2" t="s">
        <v>3</v>
      </c>
      <c r="DN117" s="2">
        <v>0</v>
      </c>
      <c r="DO117" s="2">
        <v>0</v>
      </c>
      <c r="DP117" s="2">
        <v>1</v>
      </c>
      <c r="DQ117" s="2">
        <v>1</v>
      </c>
      <c r="DR117" s="2"/>
      <c r="DS117" s="2"/>
      <c r="DT117" s="2"/>
      <c r="DU117" s="2">
        <v>1013</v>
      </c>
      <c r="DV117" s="2" t="s">
        <v>152</v>
      </c>
      <c r="DW117" s="2" t="s">
        <v>152</v>
      </c>
      <c r="DX117" s="2">
        <v>1</v>
      </c>
      <c r="DY117" s="2"/>
      <c r="DZ117" s="2" t="s">
        <v>3</v>
      </c>
      <c r="EA117" s="2" t="s">
        <v>3</v>
      </c>
      <c r="EB117" s="2" t="s">
        <v>3</v>
      </c>
      <c r="EC117" s="2" t="s">
        <v>3</v>
      </c>
      <c r="ED117" s="2"/>
      <c r="EE117" s="2">
        <v>57042890</v>
      </c>
      <c r="EF117" s="2">
        <v>214</v>
      </c>
      <c r="EG117" s="2" t="s">
        <v>153</v>
      </c>
      <c r="EH117" s="2">
        <v>0</v>
      </c>
      <c r="EI117" s="2" t="s">
        <v>3</v>
      </c>
      <c r="EJ117" s="2">
        <v>3</v>
      </c>
      <c r="EK117" s="2">
        <v>400007</v>
      </c>
      <c r="EL117" s="2" t="s">
        <v>153</v>
      </c>
      <c r="EM117" s="2" t="s">
        <v>154</v>
      </c>
      <c r="EN117" s="2"/>
      <c r="EO117" s="2" t="s">
        <v>3</v>
      </c>
      <c r="EP117" s="2"/>
      <c r="EQ117" s="2">
        <v>1040</v>
      </c>
      <c r="ER117" s="2">
        <v>0</v>
      </c>
      <c r="ES117" s="2">
        <v>3046.59</v>
      </c>
      <c r="ET117" s="2">
        <v>0</v>
      </c>
      <c r="EU117" s="2">
        <v>0</v>
      </c>
      <c r="EV117" s="2">
        <v>0</v>
      </c>
      <c r="EW117" s="2">
        <v>0</v>
      </c>
      <c r="EX117" s="2">
        <v>0</v>
      </c>
      <c r="EY117" s="2">
        <v>0</v>
      </c>
      <c r="EZ117" s="2"/>
      <c r="FA117" s="2"/>
      <c r="FB117" s="2"/>
      <c r="FC117" s="2"/>
      <c r="FD117" s="2"/>
      <c r="FE117" s="2"/>
      <c r="FF117" s="2"/>
      <c r="FG117" s="2"/>
      <c r="FH117" s="2"/>
      <c r="FI117" s="2"/>
      <c r="FJ117" s="2"/>
      <c r="FK117" s="2"/>
      <c r="FL117" s="2"/>
      <c r="FM117" s="2"/>
      <c r="FN117" s="2"/>
      <c r="FO117" s="2"/>
      <c r="FP117" s="2"/>
      <c r="FQ117" s="2">
        <v>0</v>
      </c>
      <c r="FR117" s="2">
        <f>P117</f>
        <v>3046.59</v>
      </c>
      <c r="FS117" s="2">
        <v>0</v>
      </c>
      <c r="FT117" s="2"/>
      <c r="FU117" s="2"/>
      <c r="FV117" s="2"/>
      <c r="FW117" s="2"/>
      <c r="FX117" s="2">
        <v>0</v>
      </c>
      <c r="FY117" s="2">
        <v>0</v>
      </c>
      <c r="FZ117" s="2"/>
      <c r="GA117" s="2" t="s">
        <v>197</v>
      </c>
      <c r="GB117" s="2"/>
      <c r="GC117" s="2"/>
      <c r="GD117" s="2">
        <v>1</v>
      </c>
      <c r="GE117" s="2"/>
      <c r="GF117" s="2">
        <v>-1593678857</v>
      </c>
      <c r="GG117" s="2">
        <v>2</v>
      </c>
      <c r="GH117" s="2">
        <v>4</v>
      </c>
      <c r="GI117" s="2">
        <v>-2</v>
      </c>
      <c r="GJ117" s="2">
        <v>0</v>
      </c>
      <c r="GK117" s="2">
        <v>0</v>
      </c>
      <c r="GL117" s="2">
        <f t="shared" si="88"/>
        <v>0</v>
      </c>
      <c r="GM117" s="2">
        <f t="shared" si="89"/>
        <v>3046.59</v>
      </c>
      <c r="GN117" s="2">
        <f t="shared" si="90"/>
        <v>0</v>
      </c>
      <c r="GO117" s="2">
        <f t="shared" si="91"/>
        <v>0</v>
      </c>
      <c r="GP117" s="2">
        <f t="shared" si="92"/>
        <v>0</v>
      </c>
      <c r="GQ117" s="2"/>
      <c r="GR117" s="2">
        <v>1</v>
      </c>
      <c r="GS117" s="2">
        <v>2</v>
      </c>
      <c r="GT117" s="2">
        <v>0</v>
      </c>
      <c r="GU117" s="2" t="s">
        <v>3</v>
      </c>
      <c r="GV117" s="2">
        <f t="shared" si="93"/>
        <v>0</v>
      </c>
      <c r="GW117" s="2">
        <v>1</v>
      </c>
      <c r="GX117" s="2">
        <f t="shared" si="94"/>
        <v>0</v>
      </c>
      <c r="GY117" s="2"/>
      <c r="GZ117" s="2"/>
      <c r="HA117" s="2">
        <v>0</v>
      </c>
      <c r="HB117" s="2">
        <v>0</v>
      </c>
      <c r="HC117" s="2">
        <f t="shared" si="95"/>
        <v>0</v>
      </c>
      <c r="HD117" s="2"/>
      <c r="HE117" s="2" t="s">
        <v>39</v>
      </c>
      <c r="HF117" s="2" t="s">
        <v>156</v>
      </c>
      <c r="HG117" s="2"/>
      <c r="HH117" s="2"/>
      <c r="HI117" s="2"/>
      <c r="HJ117" s="2"/>
      <c r="HK117" s="2"/>
      <c r="HL117" s="2"/>
      <c r="HM117" s="2" t="s">
        <v>3</v>
      </c>
      <c r="HN117" s="2" t="s">
        <v>3</v>
      </c>
      <c r="HO117" s="2" t="s">
        <v>3</v>
      </c>
      <c r="HP117" s="2" t="s">
        <v>3</v>
      </c>
      <c r="HQ117" s="2" t="s">
        <v>3</v>
      </c>
      <c r="HR117" s="2"/>
      <c r="HS117" s="2">
        <v>0</v>
      </c>
      <c r="HT117" s="2"/>
      <c r="HU117" s="2"/>
      <c r="HV117" s="2"/>
      <c r="HW117" s="2"/>
      <c r="HX117" s="2"/>
      <c r="HY117" s="2"/>
      <c r="HZ117" s="2"/>
      <c r="IA117" s="2"/>
      <c r="IB117" s="2"/>
      <c r="IC117" s="2"/>
      <c r="ID117" s="2"/>
      <c r="IE117" s="2"/>
      <c r="IF117" s="2"/>
      <c r="IG117" s="2"/>
      <c r="IH117" s="2"/>
      <c r="II117" s="2"/>
      <c r="IJ117" s="2"/>
      <c r="IK117" s="2">
        <v>0</v>
      </c>
      <c r="IL117" s="2"/>
      <c r="IM117" s="2"/>
      <c r="IN117" s="2"/>
      <c r="IO117" s="2"/>
      <c r="IP117" s="2"/>
      <c r="IQ117" s="2"/>
      <c r="IR117" s="2"/>
      <c r="IS117" s="2"/>
      <c r="IT117" s="2"/>
      <c r="IU117" s="2"/>
    </row>
    <row r="118" spans="1:255" x14ac:dyDescent="0.25">
      <c r="A118" s="3">
        <v>17</v>
      </c>
      <c r="B118" s="3">
        <v>1</v>
      </c>
      <c r="E118" s="3" t="s">
        <v>3</v>
      </c>
      <c r="F118" s="3" t="s">
        <v>195</v>
      </c>
      <c r="G118" s="3" t="s">
        <v>196</v>
      </c>
      <c r="H118" s="3" t="s">
        <v>152</v>
      </c>
      <c r="I118" s="3">
        <v>1</v>
      </c>
      <c r="J118" s="3">
        <v>0</v>
      </c>
      <c r="K118" s="3">
        <v>1</v>
      </c>
      <c r="O118" s="3">
        <f t="shared" si="71"/>
        <v>23062.69</v>
      </c>
      <c r="P118" s="3">
        <f t="shared" si="72"/>
        <v>23062.69</v>
      </c>
      <c r="Q118" s="3">
        <f>(ROUND((ROUND(((ET118)*AV118*I118),2)*BB118),2)+ROUND((ROUND(((AE118-(EU118))*AV118*I118),2)*BS118),2))</f>
        <v>0</v>
      </c>
      <c r="R118" s="3">
        <f>(ROUND((ROUND(((EU118)*AV118*I118),2)*BS118),2)+ROUND((ROUND(((AE118-(EU118))*AV118*I118),2)*BS118),2))</f>
        <v>0</v>
      </c>
      <c r="S118" s="3">
        <f t="shared" si="73"/>
        <v>0</v>
      </c>
      <c r="T118" s="3">
        <f t="shared" si="74"/>
        <v>0</v>
      </c>
      <c r="U118" s="3">
        <f t="shared" si="75"/>
        <v>0</v>
      </c>
      <c r="V118" s="3">
        <f t="shared" si="76"/>
        <v>0</v>
      </c>
      <c r="W118" s="3">
        <f t="shared" si="77"/>
        <v>0</v>
      </c>
      <c r="X118" s="3">
        <f>(ROUND((((S118+ROUND((ROUND(((EU118)*AV118*I118),2)*BS118),2))*AT118)/100),2)+ROUND(((ROUND((ROUND(((AE118-(EU118))*AV118*I118),2)*BS118),2)*AT118)/100),2))</f>
        <v>0</v>
      </c>
      <c r="Y118" s="3">
        <f>(ROUND((((S118+ROUND((ROUND(((EU118)*AV118*I118),2)*BS118),2))*AU118)/100),2)+ROUND(((ROUND((ROUND(((AE118-(EU118))*AV118*I118),2)*BS118),2)*AU118)/100),2))</f>
        <v>0</v>
      </c>
      <c r="AA118" s="3">
        <v>-1</v>
      </c>
      <c r="AB118" s="3">
        <f t="shared" si="78"/>
        <v>3046.59</v>
      </c>
      <c r="AC118" s="3">
        <f>ROUND((ES118),6)</f>
        <v>3046.59</v>
      </c>
      <c r="AD118" s="3">
        <f>ROUND((((ET118)-(EU118))+AE118),6)</f>
        <v>0</v>
      </c>
      <c r="AE118" s="3">
        <f>ROUND((EU118),6)</f>
        <v>0</v>
      </c>
      <c r="AF118" s="3">
        <f>ROUND((EV118),6)</f>
        <v>0</v>
      </c>
      <c r="AG118" s="3">
        <f t="shared" si="79"/>
        <v>0</v>
      </c>
      <c r="AH118" s="3">
        <f>(EW118)</f>
        <v>0</v>
      </c>
      <c r="AI118" s="3">
        <f>(EX118)</f>
        <v>0</v>
      </c>
      <c r="AJ118" s="3">
        <f t="shared" si="80"/>
        <v>0</v>
      </c>
      <c r="AK118" s="3">
        <v>3046.59</v>
      </c>
      <c r="AL118" s="3">
        <v>3046.59</v>
      </c>
      <c r="AM118" s="3">
        <v>0</v>
      </c>
      <c r="AN118" s="3">
        <v>0</v>
      </c>
      <c r="AO118" s="3">
        <v>0</v>
      </c>
      <c r="AP118" s="3">
        <v>0</v>
      </c>
      <c r="AQ118" s="3">
        <v>0</v>
      </c>
      <c r="AR118" s="3">
        <v>0</v>
      </c>
      <c r="AS118" s="3">
        <v>0</v>
      </c>
      <c r="AT118" s="3">
        <v>0</v>
      </c>
      <c r="AU118" s="3">
        <v>0</v>
      </c>
      <c r="AV118" s="3">
        <v>1</v>
      </c>
      <c r="AW118" s="3">
        <v>1</v>
      </c>
      <c r="AZ118" s="3">
        <v>1</v>
      </c>
      <c r="BA118" s="3">
        <v>1</v>
      </c>
      <c r="BB118" s="3">
        <v>1</v>
      </c>
      <c r="BC118" s="3">
        <v>7.57</v>
      </c>
      <c r="BD118" s="3" t="s">
        <v>3</v>
      </c>
      <c r="BE118" s="3" t="s">
        <v>3</v>
      </c>
      <c r="BF118" s="3" t="s">
        <v>3</v>
      </c>
      <c r="BG118" s="3" t="s">
        <v>3</v>
      </c>
      <c r="BH118" s="3">
        <v>3</v>
      </c>
      <c r="BI118" s="3">
        <v>3</v>
      </c>
      <c r="BJ118" s="3" t="s">
        <v>195</v>
      </c>
      <c r="BM118" s="3">
        <v>400007</v>
      </c>
      <c r="BN118" s="3">
        <v>0</v>
      </c>
      <c r="BO118" s="3" t="s">
        <v>3</v>
      </c>
      <c r="BP118" s="3">
        <v>0</v>
      </c>
      <c r="BQ118" s="3">
        <v>214</v>
      </c>
      <c r="BR118" s="3">
        <v>0</v>
      </c>
      <c r="BS118" s="3">
        <v>1</v>
      </c>
      <c r="BT118" s="3">
        <v>1</v>
      </c>
      <c r="BU118" s="3">
        <v>1</v>
      </c>
      <c r="BV118" s="3">
        <v>1</v>
      </c>
      <c r="BW118" s="3">
        <v>1</v>
      </c>
      <c r="BX118" s="3">
        <v>1</v>
      </c>
      <c r="BY118" s="3" t="s">
        <v>3</v>
      </c>
      <c r="BZ118" s="3">
        <v>0</v>
      </c>
      <c r="CA118" s="3">
        <v>0</v>
      </c>
      <c r="CB118" s="3" t="s">
        <v>3</v>
      </c>
      <c r="CE118" s="3">
        <v>1566</v>
      </c>
      <c r="CF118" s="3">
        <v>0</v>
      </c>
      <c r="CG118" s="3">
        <v>0</v>
      </c>
      <c r="CM118" s="3">
        <v>0</v>
      </c>
      <c r="CN118" s="3" t="s">
        <v>3</v>
      </c>
      <c r="CO118" s="3">
        <v>0</v>
      </c>
      <c r="CP118" s="3">
        <f t="shared" si="81"/>
        <v>23062.69</v>
      </c>
      <c r="CQ118" s="3">
        <f t="shared" si="82"/>
        <v>23062.69</v>
      </c>
      <c r="CR118" s="3">
        <f>(ROUND((ROUND(((ET118)*AV118*1),2)*BB118),2)+ROUND((ROUND(((AE118-(EU118))*AV118*1),2)*BS118),2))</f>
        <v>0</v>
      </c>
      <c r="CS118" s="3">
        <f>(ROUND((ROUND(((EU118)*AV118*1),2)*BS118),2)+ROUND((ROUND(((AE118-(EU118))*AV118*1),2)*BS118),2))</f>
        <v>0</v>
      </c>
      <c r="CT118" s="3">
        <f t="shared" si="83"/>
        <v>0</v>
      </c>
      <c r="CU118" s="3">
        <f t="shared" si="84"/>
        <v>0</v>
      </c>
      <c r="CV118" s="3">
        <f t="shared" si="85"/>
        <v>0</v>
      </c>
      <c r="CW118" s="3">
        <f t="shared" si="86"/>
        <v>0</v>
      </c>
      <c r="CX118" s="3">
        <f t="shared" si="87"/>
        <v>0</v>
      </c>
      <c r="CY118" s="3">
        <f>(ROUND((((S118+ROUND((ROUND(((EU118)*AV118*1),2)*BS118),2))*AT118)/100),2)+ROUND(((ROUND((ROUND(((AE118-(EU118))*AV118*1),2)*BS118),2)*AT118)/100),2))</f>
        <v>0</v>
      </c>
      <c r="CZ118" s="3">
        <f>(ROUND((((S118+ROUND((ROUND(((EU118)*AV118*1),2)*BS118),2))*AU118)/100),2)+ROUND(((ROUND((ROUND(((AE118-(EU118))*AV118*1),2)*BS118),2)*AU118)/100),2))</f>
        <v>0</v>
      </c>
      <c r="DC118" s="3" t="s">
        <v>3</v>
      </c>
      <c r="DD118" s="3" t="s">
        <v>3</v>
      </c>
      <c r="DE118" s="3" t="s">
        <v>3</v>
      </c>
      <c r="DF118" s="3" t="s">
        <v>3</v>
      </c>
      <c r="DG118" s="3" t="s">
        <v>3</v>
      </c>
      <c r="DH118" s="3" t="s">
        <v>3</v>
      </c>
      <c r="DI118" s="3" t="s">
        <v>3</v>
      </c>
      <c r="DJ118" s="3" t="s">
        <v>3</v>
      </c>
      <c r="DK118" s="3" t="s">
        <v>3</v>
      </c>
      <c r="DL118" s="3" t="s">
        <v>3</v>
      </c>
      <c r="DM118" s="3" t="s">
        <v>3</v>
      </c>
      <c r="DN118" s="3">
        <v>0</v>
      </c>
      <c r="DO118" s="3">
        <v>0</v>
      </c>
      <c r="DP118" s="3">
        <v>1</v>
      </c>
      <c r="DQ118" s="3">
        <v>1</v>
      </c>
      <c r="DU118" s="3">
        <v>1013</v>
      </c>
      <c r="DV118" s="3" t="s">
        <v>152</v>
      </c>
      <c r="DW118" s="3" t="s">
        <v>152</v>
      </c>
      <c r="DX118" s="3">
        <v>1</v>
      </c>
      <c r="DZ118" s="3" t="s">
        <v>3</v>
      </c>
      <c r="EA118" s="3" t="s">
        <v>3</v>
      </c>
      <c r="EB118" s="3" t="s">
        <v>3</v>
      </c>
      <c r="EC118" s="3" t="s">
        <v>3</v>
      </c>
      <c r="EE118" s="3">
        <v>57042890</v>
      </c>
      <c r="EF118" s="3">
        <v>214</v>
      </c>
      <c r="EG118" s="3" t="s">
        <v>153</v>
      </c>
      <c r="EH118" s="3">
        <v>0</v>
      </c>
      <c r="EI118" s="3" t="s">
        <v>3</v>
      </c>
      <c r="EJ118" s="3">
        <v>3</v>
      </c>
      <c r="EK118" s="3">
        <v>400007</v>
      </c>
      <c r="EL118" s="3" t="s">
        <v>153</v>
      </c>
      <c r="EM118" s="3" t="s">
        <v>154</v>
      </c>
      <c r="EO118" s="3" t="s">
        <v>3</v>
      </c>
      <c r="EQ118" s="3">
        <v>1040</v>
      </c>
      <c r="ER118" s="3">
        <v>0</v>
      </c>
      <c r="ES118" s="3">
        <v>3046.59</v>
      </c>
      <c r="ET118" s="3">
        <v>0</v>
      </c>
      <c r="EU118" s="3">
        <v>0</v>
      </c>
      <c r="EV118" s="3">
        <v>0</v>
      </c>
      <c r="EW118" s="3">
        <v>0</v>
      </c>
      <c r="EX118" s="3">
        <v>0</v>
      </c>
      <c r="EY118" s="3">
        <v>0</v>
      </c>
      <c r="EZ118" s="3">
        <v>5</v>
      </c>
      <c r="FC118" s="3">
        <v>1</v>
      </c>
      <c r="FD118" s="3">
        <v>18</v>
      </c>
      <c r="FF118" s="3">
        <v>26993</v>
      </c>
      <c r="FQ118" s="3">
        <v>0</v>
      </c>
      <c r="FR118" s="3">
        <f>P118</f>
        <v>23062.69</v>
      </c>
      <c r="FS118" s="3">
        <v>0</v>
      </c>
      <c r="FX118" s="3">
        <v>0</v>
      </c>
      <c r="FY118" s="3">
        <v>0</v>
      </c>
      <c r="GA118" s="3" t="s">
        <v>197</v>
      </c>
      <c r="GD118" s="3">
        <v>1</v>
      </c>
      <c r="GF118" s="3">
        <v>-1593678857</v>
      </c>
      <c r="GG118" s="3">
        <v>2</v>
      </c>
      <c r="GH118" s="3">
        <v>3</v>
      </c>
      <c r="GI118" s="3">
        <v>5</v>
      </c>
      <c r="GJ118" s="3">
        <v>0</v>
      </c>
      <c r="GK118" s="3">
        <v>0</v>
      </c>
      <c r="GL118" s="3">
        <f t="shared" si="88"/>
        <v>0</v>
      </c>
      <c r="GM118" s="3">
        <f t="shared" si="89"/>
        <v>23062.69</v>
      </c>
      <c r="GN118" s="3">
        <f t="shared" si="90"/>
        <v>0</v>
      </c>
      <c r="GO118" s="3">
        <f t="shared" si="91"/>
        <v>0</v>
      </c>
      <c r="GP118" s="3">
        <f t="shared" si="92"/>
        <v>0</v>
      </c>
      <c r="GR118" s="3">
        <v>1</v>
      </c>
      <c r="GS118" s="3">
        <v>1</v>
      </c>
      <c r="GT118" s="3">
        <v>0</v>
      </c>
      <c r="GU118" s="3" t="s">
        <v>3</v>
      </c>
      <c r="GV118" s="3">
        <f t="shared" si="93"/>
        <v>0</v>
      </c>
      <c r="GW118" s="3">
        <v>1</v>
      </c>
      <c r="GX118" s="3">
        <f t="shared" si="94"/>
        <v>0</v>
      </c>
      <c r="HA118" s="3">
        <v>0</v>
      </c>
      <c r="HB118" s="3">
        <v>0</v>
      </c>
      <c r="HC118" s="3">
        <f t="shared" si="95"/>
        <v>0</v>
      </c>
      <c r="HE118" s="3" t="s">
        <v>39</v>
      </c>
      <c r="HF118" s="3" t="s">
        <v>156</v>
      </c>
      <c r="HM118" s="3" t="s">
        <v>3</v>
      </c>
      <c r="HN118" s="3" t="s">
        <v>3</v>
      </c>
      <c r="HO118" s="3" t="s">
        <v>3</v>
      </c>
      <c r="HP118" s="3" t="s">
        <v>3</v>
      </c>
      <c r="HQ118" s="3" t="s">
        <v>3</v>
      </c>
      <c r="HS118" s="3">
        <v>0</v>
      </c>
      <c r="IK118" s="3">
        <v>0</v>
      </c>
    </row>
    <row r="119" spans="1:255" x14ac:dyDescent="0.25">
      <c r="A119" s="2">
        <v>17</v>
      </c>
      <c r="B119" s="2">
        <v>1</v>
      </c>
      <c r="C119" s="2">
        <f>ROW(SmtRes!A146)</f>
        <v>146</v>
      </c>
      <c r="D119" s="2">
        <f>ROW(EtalonRes!A191)</f>
        <v>191</v>
      </c>
      <c r="E119" s="2" t="s">
        <v>3</v>
      </c>
      <c r="F119" s="2" t="s">
        <v>48</v>
      </c>
      <c r="G119" s="2" t="s">
        <v>183</v>
      </c>
      <c r="H119" s="2" t="s">
        <v>27</v>
      </c>
      <c r="I119" s="2">
        <f>ROUND(1+2,9)</f>
        <v>3</v>
      </c>
      <c r="J119" s="2">
        <v>0</v>
      </c>
      <c r="K119" s="2">
        <f>ROUND(1+2,9)</f>
        <v>3</v>
      </c>
      <c r="L119" s="2"/>
      <c r="M119" s="2"/>
      <c r="N119" s="2"/>
      <c r="O119" s="2">
        <f t="shared" ref="O119:O150" si="104">ROUND(CP119,2)</f>
        <v>78.489999999999995</v>
      </c>
      <c r="P119" s="2">
        <f t="shared" ref="P119:P150" si="105">ROUND((ROUND((AC119*AW119*I119),2)*BC119),2)</f>
        <v>7.02</v>
      </c>
      <c r="Q119" s="2">
        <f>(ROUND((ROUND((((ET119*1.2))*AV119*I119),2)*BB119),2)+ROUND((ROUND(((AE119-((EU119*1.2)))*AV119*I119),2)*BS119),2))</f>
        <v>0.08</v>
      </c>
      <c r="R119" s="2">
        <f>(ROUND((ROUND((((EU119*1.2))*AV119*I119),2)*BS119),2)+ROUND((ROUND(((AE119-((EU119*1.2)))*AV119*I119),2)*BS119),2))</f>
        <v>0</v>
      </c>
      <c r="S119" s="2">
        <f t="shared" ref="S119:S150" si="106">ROUND((ROUND((AF119*AV119*I119),2)*BA119),2)</f>
        <v>71.39</v>
      </c>
      <c r="T119" s="2">
        <f t="shared" ref="T119:T150" si="107">ROUND(CU119*I119,2)</f>
        <v>0</v>
      </c>
      <c r="U119" s="2">
        <f t="shared" ref="U119:U150" si="108">CV119*I119</f>
        <v>5.126112</v>
      </c>
      <c r="V119" s="2">
        <f t="shared" ref="V119:V150" si="109">CW119*I119</f>
        <v>0</v>
      </c>
      <c r="W119" s="2">
        <f t="shared" ref="W119:W150" si="110">ROUND(CX119*I119,2)</f>
        <v>0</v>
      </c>
      <c r="X119" s="2">
        <f>(ROUND((((S119+ROUND((ROUND((((EU119*1.2))*AV119*I119),2)*BS119),2))*AT119)/100),2)+ROUND(((ROUND((ROUND(((AE119-((EU119*1.2)))*AV119*I119),2)*BS119),2)*AT119)/100),2))</f>
        <v>64.25</v>
      </c>
      <c r="Y119" s="2">
        <f>(ROUND((((S119+ROUND((ROUND((((EU119*1.2))*AV119*I119),2)*BS119),2))*AU119)/100),2)+ROUND(((ROUND((ROUND(((AE119-((EU119*1.2)))*AV119*I119),2)*BS119),2)*AU119)/100),2))</f>
        <v>32.840000000000003</v>
      </c>
      <c r="Z119" s="2"/>
      <c r="AA119" s="2">
        <v>-1</v>
      </c>
      <c r="AB119" s="2">
        <f t="shared" ref="AB119:AB150" si="111">ROUND((AC119+AD119+AF119),6)</f>
        <v>25.091999999999999</v>
      </c>
      <c r="AC119" s="2">
        <f>ROUND(((ES119*1)),6)</f>
        <v>2.34</v>
      </c>
      <c r="AD119" s="2">
        <f>ROUND(((((ET119*1.2))-((EU119*1.2)))+AE119),6)</f>
        <v>2.4E-2</v>
      </c>
      <c r="AE119" s="2">
        <f>ROUND(((EU119*1.2)),6)</f>
        <v>0</v>
      </c>
      <c r="AF119" s="2">
        <f>ROUND(((EV119*1.2)),6)</f>
        <v>22.728000000000002</v>
      </c>
      <c r="AG119" s="2">
        <f t="shared" ref="AG119:AG150" si="112">ROUND((AP119),6)</f>
        <v>0</v>
      </c>
      <c r="AH119" s="2">
        <f>((EW119*1.2))</f>
        <v>1.6320000000000001</v>
      </c>
      <c r="AI119" s="2">
        <f>((EX119*1.2))</f>
        <v>0</v>
      </c>
      <c r="AJ119" s="2">
        <f t="shared" ref="AJ119:AJ150" si="113">(AS119)</f>
        <v>0</v>
      </c>
      <c r="AK119" s="2">
        <v>21.3</v>
      </c>
      <c r="AL119" s="2">
        <v>2.34</v>
      </c>
      <c r="AM119" s="2">
        <v>0.02</v>
      </c>
      <c r="AN119" s="2">
        <v>0</v>
      </c>
      <c r="AO119" s="2">
        <v>18.940000000000001</v>
      </c>
      <c r="AP119" s="2">
        <v>0</v>
      </c>
      <c r="AQ119" s="2">
        <v>1.36</v>
      </c>
      <c r="AR119" s="2">
        <v>0</v>
      </c>
      <c r="AS119" s="2">
        <v>0</v>
      </c>
      <c r="AT119" s="2">
        <v>90</v>
      </c>
      <c r="AU119" s="2">
        <v>46</v>
      </c>
      <c r="AV119" s="2">
        <v>1.0469999999999999</v>
      </c>
      <c r="AW119" s="2">
        <v>1</v>
      </c>
      <c r="AX119" s="2"/>
      <c r="AY119" s="2"/>
      <c r="AZ119" s="2">
        <v>1</v>
      </c>
      <c r="BA119" s="2">
        <v>1</v>
      </c>
      <c r="BB119" s="2">
        <v>1</v>
      </c>
      <c r="BC119" s="2">
        <v>1</v>
      </c>
      <c r="BD119" s="2" t="s">
        <v>3</v>
      </c>
      <c r="BE119" s="2" t="s">
        <v>3</v>
      </c>
      <c r="BF119" s="2" t="s">
        <v>3</v>
      </c>
      <c r="BG119" s="2" t="s">
        <v>3</v>
      </c>
      <c r="BH119" s="2">
        <v>0</v>
      </c>
      <c r="BI119" s="2">
        <v>2</v>
      </c>
      <c r="BJ119" s="2" t="s">
        <v>50</v>
      </c>
      <c r="BK119" s="2"/>
      <c r="BL119" s="2"/>
      <c r="BM119" s="2">
        <v>68</v>
      </c>
      <c r="BN119" s="2">
        <v>0</v>
      </c>
      <c r="BO119" s="2" t="s">
        <v>48</v>
      </c>
      <c r="BP119" s="2">
        <v>1</v>
      </c>
      <c r="BQ119" s="2">
        <v>40</v>
      </c>
      <c r="BR119" s="2">
        <v>0</v>
      </c>
      <c r="BS119" s="2">
        <v>1</v>
      </c>
      <c r="BT119" s="2">
        <v>1</v>
      </c>
      <c r="BU119" s="2">
        <v>1</v>
      </c>
      <c r="BV119" s="2">
        <v>1</v>
      </c>
      <c r="BW119" s="2">
        <v>1</v>
      </c>
      <c r="BX119" s="2">
        <v>1</v>
      </c>
      <c r="BY119" s="2" t="s">
        <v>3</v>
      </c>
      <c r="BZ119" s="2">
        <v>90</v>
      </c>
      <c r="CA119" s="2">
        <v>46</v>
      </c>
      <c r="CB119" s="2" t="s">
        <v>3</v>
      </c>
      <c r="CC119" s="2"/>
      <c r="CD119" s="2"/>
      <c r="CE119" s="2">
        <v>1566</v>
      </c>
      <c r="CF119" s="2">
        <v>0</v>
      </c>
      <c r="CG119" s="2">
        <v>0</v>
      </c>
      <c r="CH119" s="2"/>
      <c r="CI119" s="2"/>
      <c r="CJ119" s="2"/>
      <c r="CK119" s="2"/>
      <c r="CL119" s="2"/>
      <c r="CM119" s="2">
        <v>0</v>
      </c>
      <c r="CN119" s="2" t="s">
        <v>624</v>
      </c>
      <c r="CO119" s="2">
        <v>0</v>
      </c>
      <c r="CP119" s="2">
        <f t="shared" ref="CP119:CP150" si="114">(P119+Q119+S119)</f>
        <v>78.489999999999995</v>
      </c>
      <c r="CQ119" s="2">
        <f t="shared" ref="CQ119:CQ150" si="115">ROUND((ROUND((AC119*AW119*1),2)*BC119),2)</f>
        <v>2.34</v>
      </c>
      <c r="CR119" s="2">
        <f>(ROUND((ROUND((((ET119*1.2))*AV119*1),2)*BB119),2)+ROUND((ROUND(((AE119-((EU119*1.2)))*AV119*1),2)*BS119),2))</f>
        <v>0.03</v>
      </c>
      <c r="CS119" s="2">
        <f>(ROUND((ROUND((((EU119*1.2))*AV119*1),2)*BS119),2)+ROUND((ROUND(((AE119-((EU119*1.2)))*AV119*1),2)*BS119),2))</f>
        <v>0</v>
      </c>
      <c r="CT119" s="2">
        <f t="shared" ref="CT119:CT150" si="116">ROUND((ROUND((AF119*AV119*1),2)*BA119),2)</f>
        <v>23.8</v>
      </c>
      <c r="CU119" s="2">
        <f t="shared" ref="CU119:CU150" si="117">AG119</f>
        <v>0</v>
      </c>
      <c r="CV119" s="2">
        <f t="shared" ref="CV119:CV150" si="118">(AH119*AV119)</f>
        <v>1.708704</v>
      </c>
      <c r="CW119" s="2">
        <f t="shared" ref="CW119:CW150" si="119">AI119</f>
        <v>0</v>
      </c>
      <c r="CX119" s="2">
        <f t="shared" ref="CX119:CX150" si="120">AJ119</f>
        <v>0</v>
      </c>
      <c r="CY119" s="2">
        <f>(ROUND((((S119+ROUND((ROUND((((EU119*1.2))*AV119*1),2)*BS119),2))*AT119)/100),2)+ROUND(((ROUND((ROUND(((AE119-((EU119*1.2)))*AV119*1),2)*BS119),2)*AT119)/100),2))</f>
        <v>64.25</v>
      </c>
      <c r="CZ119" s="2">
        <f>(ROUND((((S119+ROUND((ROUND((((EU119*1.2))*AV119*1),2)*BS119),2))*AU119)/100),2)+ROUND(((ROUND((ROUND(((AE119-((EU119*1.2)))*AV119*1),2)*BS119),2)*AU119)/100),2))</f>
        <v>32.840000000000003</v>
      </c>
      <c r="DA119" s="2"/>
      <c r="DB119" s="2">
        <v>63</v>
      </c>
      <c r="DC119" s="2" t="s">
        <v>3</v>
      </c>
      <c r="DD119" s="2" t="s">
        <v>70</v>
      </c>
      <c r="DE119" s="2" t="s">
        <v>71</v>
      </c>
      <c r="DF119" s="2" t="s">
        <v>71</v>
      </c>
      <c r="DG119" s="2" t="s">
        <v>71</v>
      </c>
      <c r="DH119" s="2" t="s">
        <v>3</v>
      </c>
      <c r="DI119" s="2" t="s">
        <v>71</v>
      </c>
      <c r="DJ119" s="2" t="s">
        <v>71</v>
      </c>
      <c r="DK119" s="2" t="s">
        <v>3</v>
      </c>
      <c r="DL119" s="2" t="s">
        <v>3</v>
      </c>
      <c r="DM119" s="2" t="s">
        <v>3</v>
      </c>
      <c r="DN119" s="2">
        <v>0</v>
      </c>
      <c r="DO119" s="2">
        <v>0</v>
      </c>
      <c r="DP119" s="2">
        <v>1</v>
      </c>
      <c r="DQ119" s="2">
        <v>1</v>
      </c>
      <c r="DR119" s="2"/>
      <c r="DS119" s="2"/>
      <c r="DT119" s="2"/>
      <c r="DU119" s="2">
        <v>1013</v>
      </c>
      <c r="DV119" s="2" t="s">
        <v>27</v>
      </c>
      <c r="DW119" s="2" t="s">
        <v>27</v>
      </c>
      <c r="DX119" s="2">
        <v>1</v>
      </c>
      <c r="DY119" s="2"/>
      <c r="DZ119" s="2" t="s">
        <v>3</v>
      </c>
      <c r="EA119" s="2" t="s">
        <v>3</v>
      </c>
      <c r="EB119" s="2" t="s">
        <v>3</v>
      </c>
      <c r="EC119" s="2" t="s">
        <v>3</v>
      </c>
      <c r="ED119" s="2"/>
      <c r="EE119" s="2">
        <v>57042958</v>
      </c>
      <c r="EF119" s="2">
        <v>40</v>
      </c>
      <c r="EG119" s="2" t="s">
        <v>31</v>
      </c>
      <c r="EH119" s="2">
        <v>0</v>
      </c>
      <c r="EI119" s="2" t="s">
        <v>3</v>
      </c>
      <c r="EJ119" s="2">
        <v>2</v>
      </c>
      <c r="EK119" s="2">
        <v>68</v>
      </c>
      <c r="EL119" s="2" t="s">
        <v>32</v>
      </c>
      <c r="EM119" s="2" t="s">
        <v>33</v>
      </c>
      <c r="EN119" s="2"/>
      <c r="EO119" s="2" t="s">
        <v>75</v>
      </c>
      <c r="EP119" s="2"/>
      <c r="EQ119" s="2">
        <v>1024</v>
      </c>
      <c r="ER119" s="2">
        <v>21.3</v>
      </c>
      <c r="ES119" s="2">
        <v>2.34</v>
      </c>
      <c r="ET119" s="2">
        <v>0.02</v>
      </c>
      <c r="EU119" s="2">
        <v>0</v>
      </c>
      <c r="EV119" s="2">
        <v>18.940000000000001</v>
      </c>
      <c r="EW119" s="2">
        <v>1.36</v>
      </c>
      <c r="EX119" s="2">
        <v>0</v>
      </c>
      <c r="EY119" s="2">
        <v>0</v>
      </c>
      <c r="EZ119" s="2"/>
      <c r="FA119" s="2"/>
      <c r="FB119" s="2"/>
      <c r="FC119" s="2"/>
      <c r="FD119" s="2"/>
      <c r="FE119" s="2"/>
      <c r="FF119" s="2"/>
      <c r="FG119" s="2"/>
      <c r="FH119" s="2"/>
      <c r="FI119" s="2"/>
      <c r="FJ119" s="2"/>
      <c r="FK119" s="2"/>
      <c r="FL119" s="2"/>
      <c r="FM119" s="2"/>
      <c r="FN119" s="2"/>
      <c r="FO119" s="2"/>
      <c r="FP119" s="2"/>
      <c r="FQ119" s="2">
        <v>0</v>
      </c>
      <c r="FR119" s="2">
        <v>0</v>
      </c>
      <c r="FS119" s="2">
        <v>0</v>
      </c>
      <c r="FT119" s="2"/>
      <c r="FU119" s="2"/>
      <c r="FV119" s="2"/>
      <c r="FW119" s="2"/>
      <c r="FX119" s="2">
        <v>90</v>
      </c>
      <c r="FY119" s="2">
        <v>46</v>
      </c>
      <c r="FZ119" s="2"/>
      <c r="GA119" s="2" t="s">
        <v>3</v>
      </c>
      <c r="GB119" s="2"/>
      <c r="GC119" s="2"/>
      <c r="GD119" s="2">
        <v>1</v>
      </c>
      <c r="GE119" s="2"/>
      <c r="GF119" s="2">
        <v>-635599801</v>
      </c>
      <c r="GG119" s="2">
        <v>2</v>
      </c>
      <c r="GH119" s="2">
        <v>1</v>
      </c>
      <c r="GI119" s="2">
        <v>2</v>
      </c>
      <c r="GJ119" s="2">
        <v>0</v>
      </c>
      <c r="GK119" s="2">
        <v>0</v>
      </c>
      <c r="GL119" s="2">
        <f t="shared" ref="GL119:GL150" si="121">ROUND(IF(AND(BH119=3,BI119=3,FS119&lt;&gt;0),P119,0),2)</f>
        <v>0</v>
      </c>
      <c r="GM119" s="2">
        <f t="shared" ref="GM119:GM150" si="122">ROUND(O119+X119+Y119,2)+GX119</f>
        <v>175.58</v>
      </c>
      <c r="GN119" s="2">
        <f t="shared" ref="GN119:GN150" si="123">IF(OR(BI119=0,BI119=1),GM119-GX119,0)</f>
        <v>0</v>
      </c>
      <c r="GO119" s="2">
        <f t="shared" ref="GO119:GO150" si="124">IF(BI119=2,GM119-GX119,0)</f>
        <v>175.58</v>
      </c>
      <c r="GP119" s="2">
        <f t="shared" ref="GP119:GP150" si="125">IF(BI119=4,GM119-GX119,0)</f>
        <v>0</v>
      </c>
      <c r="GQ119" s="2"/>
      <c r="GR119" s="2">
        <v>0</v>
      </c>
      <c r="GS119" s="2">
        <v>3</v>
      </c>
      <c r="GT119" s="2">
        <v>0</v>
      </c>
      <c r="GU119" s="2" t="s">
        <v>3</v>
      </c>
      <c r="GV119" s="2">
        <f t="shared" ref="GV119:GV150" si="126">ROUND((GT119),6)</f>
        <v>0</v>
      </c>
      <c r="GW119" s="2">
        <v>1</v>
      </c>
      <c r="GX119" s="2">
        <f t="shared" ref="GX119:GX150" si="127">ROUND(HC119*I119,2)</f>
        <v>0</v>
      </c>
      <c r="GY119" s="2"/>
      <c r="GZ119" s="2"/>
      <c r="HA119" s="2">
        <v>0</v>
      </c>
      <c r="HB119" s="2">
        <v>0</v>
      </c>
      <c r="HC119" s="2">
        <f t="shared" ref="HC119:HC150" si="128">GV119*GW119</f>
        <v>0</v>
      </c>
      <c r="HD119" s="2"/>
      <c r="HE119" s="2" t="s">
        <v>3</v>
      </c>
      <c r="HF119" s="2" t="s">
        <v>3</v>
      </c>
      <c r="HG119" s="2"/>
      <c r="HH119" s="2"/>
      <c r="HI119" s="2"/>
      <c r="HJ119" s="2"/>
      <c r="HK119" s="2"/>
      <c r="HL119" s="2"/>
      <c r="HM119" s="2" t="s">
        <v>3</v>
      </c>
      <c r="HN119" s="2" t="s">
        <v>3</v>
      </c>
      <c r="HO119" s="2" t="s">
        <v>3</v>
      </c>
      <c r="HP119" s="2" t="s">
        <v>3</v>
      </c>
      <c r="HQ119" s="2" t="s">
        <v>3</v>
      </c>
      <c r="HR119" s="2"/>
      <c r="HS119" s="2">
        <v>0</v>
      </c>
      <c r="HT119" s="2"/>
      <c r="HU119" s="2"/>
      <c r="HV119" s="2"/>
      <c r="HW119" s="2"/>
      <c r="HX119" s="2"/>
      <c r="HY119" s="2"/>
      <c r="HZ119" s="2"/>
      <c r="IA119" s="2"/>
      <c r="IB119" s="2"/>
      <c r="IC119" s="2"/>
      <c r="ID119" s="2"/>
      <c r="IE119" s="2"/>
      <c r="IF119" s="2"/>
      <c r="IG119" s="2"/>
      <c r="IH119" s="2"/>
      <c r="II119" s="2"/>
      <c r="IJ119" s="2"/>
      <c r="IK119" s="2">
        <v>0</v>
      </c>
      <c r="IL119" s="2"/>
      <c r="IM119" s="2"/>
      <c r="IN119" s="2"/>
      <c r="IO119" s="2"/>
      <c r="IP119" s="2"/>
      <c r="IQ119" s="2"/>
      <c r="IR119" s="2"/>
      <c r="IS119" s="2"/>
      <c r="IT119" s="2"/>
      <c r="IU119" s="2"/>
    </row>
    <row r="120" spans="1:255" x14ac:dyDescent="0.25">
      <c r="A120" s="3">
        <v>17</v>
      </c>
      <c r="B120" s="3">
        <v>1</v>
      </c>
      <c r="C120" s="3">
        <f>ROW(SmtRes!A152)</f>
        <v>152</v>
      </c>
      <c r="D120" s="3">
        <f>ROW(EtalonRes!A198)</f>
        <v>198</v>
      </c>
      <c r="E120" s="3" t="s">
        <v>3</v>
      </c>
      <c r="F120" s="3" t="s">
        <v>48</v>
      </c>
      <c r="G120" s="3" t="s">
        <v>183</v>
      </c>
      <c r="H120" s="3" t="s">
        <v>27</v>
      </c>
      <c r="I120" s="3">
        <f>ROUND(1+2,9)</f>
        <v>3</v>
      </c>
      <c r="J120" s="3">
        <v>0</v>
      </c>
      <c r="K120" s="3">
        <f>ROUND(1+2,9)</f>
        <v>3</v>
      </c>
      <c r="O120" s="3">
        <f t="shared" si="104"/>
        <v>4095.59</v>
      </c>
      <c r="P120" s="3">
        <f t="shared" si="105"/>
        <v>71.88</v>
      </c>
      <c r="Q120" s="3">
        <f>(ROUND((ROUND((((ET120*1.2))*AV120*I120),2)*BB120),2)+ROUND((ROUND(((AE120-((EU120*1.2)))*AV120*I120),2)*BS120),2))</f>
        <v>0.88</v>
      </c>
      <c r="R120" s="3">
        <f>(ROUND((ROUND((((EU120*1.2))*AV120*I120),2)*BS120),2)+ROUND((ROUND(((AE120-((EU120*1.2)))*AV120*I120),2)*BS120),2))</f>
        <v>0</v>
      </c>
      <c r="S120" s="3">
        <f t="shared" si="106"/>
        <v>4022.83</v>
      </c>
      <c r="T120" s="3">
        <f t="shared" si="107"/>
        <v>0</v>
      </c>
      <c r="U120" s="3">
        <f t="shared" si="108"/>
        <v>5.126112</v>
      </c>
      <c r="V120" s="3">
        <f t="shared" si="109"/>
        <v>0</v>
      </c>
      <c r="W120" s="3">
        <f t="shared" si="110"/>
        <v>0</v>
      </c>
      <c r="X120" s="3">
        <f>(ROUND((((S120+ROUND((ROUND((((EU120*1.2))*AV120*I120),2)*BS120),2))*AT120)/100),2)+ROUND(((ROUND((ROUND(((AE120-((EU120*1.2)))*AV120*I120),2)*BS120),2)*AT120)/100),2))</f>
        <v>3620.55</v>
      </c>
      <c r="Y120" s="3">
        <f>(ROUND((((S120+ROUND((ROUND((((EU120*1.2))*AV120*I120),2)*BS120),2))*AU120)/100),2)+ROUND(((ROUND((ROUND(((AE120-((EU120*1.2)))*AV120*I120),2)*BS120),2)*AU120)/100),2))</f>
        <v>1850.5</v>
      </c>
      <c r="AA120" s="3">
        <v>-1</v>
      </c>
      <c r="AB120" s="3">
        <f t="shared" si="111"/>
        <v>25.091999999999999</v>
      </c>
      <c r="AC120" s="3">
        <f>ROUND(((ES120*1)),6)</f>
        <v>2.34</v>
      </c>
      <c r="AD120" s="3">
        <f>ROUND(((((ET120*1.2))-((EU120*1.2)))+AE120),6)</f>
        <v>2.4E-2</v>
      </c>
      <c r="AE120" s="3">
        <f>ROUND(((EU120*1.2)),6)</f>
        <v>0</v>
      </c>
      <c r="AF120" s="3">
        <f>ROUND(((EV120*1.2)),6)</f>
        <v>22.728000000000002</v>
      </c>
      <c r="AG120" s="3">
        <f t="shared" si="112"/>
        <v>0</v>
      </c>
      <c r="AH120" s="3">
        <f>((EW120*1.2))</f>
        <v>1.6320000000000001</v>
      </c>
      <c r="AI120" s="3">
        <f>((EX120*1.2))</f>
        <v>0</v>
      </c>
      <c r="AJ120" s="3">
        <f t="shared" si="113"/>
        <v>0</v>
      </c>
      <c r="AK120" s="3">
        <v>21.3</v>
      </c>
      <c r="AL120" s="3">
        <v>2.34</v>
      </c>
      <c r="AM120" s="3">
        <v>0.02</v>
      </c>
      <c r="AN120" s="3">
        <v>0</v>
      </c>
      <c r="AO120" s="3">
        <v>18.940000000000001</v>
      </c>
      <c r="AP120" s="3">
        <v>0</v>
      </c>
      <c r="AQ120" s="3">
        <v>1.36</v>
      </c>
      <c r="AR120" s="3">
        <v>0</v>
      </c>
      <c r="AS120" s="3">
        <v>0</v>
      </c>
      <c r="AT120" s="3">
        <v>90</v>
      </c>
      <c r="AU120" s="3">
        <v>46</v>
      </c>
      <c r="AV120" s="3">
        <v>1.0469999999999999</v>
      </c>
      <c r="AW120" s="3">
        <v>1</v>
      </c>
      <c r="AZ120" s="3">
        <v>1</v>
      </c>
      <c r="BA120" s="3">
        <v>56.35</v>
      </c>
      <c r="BB120" s="3">
        <v>11</v>
      </c>
      <c r="BC120" s="3">
        <v>10.24</v>
      </c>
      <c r="BD120" s="3" t="s">
        <v>3</v>
      </c>
      <c r="BE120" s="3" t="s">
        <v>3</v>
      </c>
      <c r="BF120" s="3" t="s">
        <v>3</v>
      </c>
      <c r="BG120" s="3" t="s">
        <v>3</v>
      </c>
      <c r="BH120" s="3">
        <v>0</v>
      </c>
      <c r="BI120" s="3">
        <v>2</v>
      </c>
      <c r="BJ120" s="3" t="s">
        <v>50</v>
      </c>
      <c r="BM120" s="3">
        <v>68</v>
      </c>
      <c r="BN120" s="3">
        <v>0</v>
      </c>
      <c r="BO120" s="3" t="s">
        <v>48</v>
      </c>
      <c r="BP120" s="3">
        <v>1</v>
      </c>
      <c r="BQ120" s="3">
        <v>40</v>
      </c>
      <c r="BR120" s="3">
        <v>0</v>
      </c>
      <c r="BS120" s="3">
        <v>56.35</v>
      </c>
      <c r="BT120" s="3">
        <v>1</v>
      </c>
      <c r="BU120" s="3">
        <v>1</v>
      </c>
      <c r="BV120" s="3">
        <v>1</v>
      </c>
      <c r="BW120" s="3">
        <v>1</v>
      </c>
      <c r="BX120" s="3">
        <v>1</v>
      </c>
      <c r="BY120" s="3" t="s">
        <v>3</v>
      </c>
      <c r="BZ120" s="3">
        <v>90</v>
      </c>
      <c r="CA120" s="3">
        <v>46</v>
      </c>
      <c r="CB120" s="3" t="s">
        <v>3</v>
      </c>
      <c r="CE120" s="3">
        <v>1566</v>
      </c>
      <c r="CF120" s="3">
        <v>0</v>
      </c>
      <c r="CG120" s="3">
        <v>0</v>
      </c>
      <c r="CM120" s="3">
        <v>0</v>
      </c>
      <c r="CN120" s="3" t="s">
        <v>624</v>
      </c>
      <c r="CO120" s="3">
        <v>0</v>
      </c>
      <c r="CP120" s="3">
        <f t="shared" si="114"/>
        <v>4095.59</v>
      </c>
      <c r="CQ120" s="3">
        <f t="shared" si="115"/>
        <v>23.96</v>
      </c>
      <c r="CR120" s="3">
        <f>(ROUND((ROUND((((ET120*1.2))*AV120*1),2)*BB120),2)+ROUND((ROUND(((AE120-((EU120*1.2)))*AV120*1),2)*BS120),2))</f>
        <v>0.33</v>
      </c>
      <c r="CS120" s="3">
        <f>(ROUND((ROUND((((EU120*1.2))*AV120*1),2)*BS120),2)+ROUND((ROUND(((AE120-((EU120*1.2)))*AV120*1),2)*BS120),2))</f>
        <v>0</v>
      </c>
      <c r="CT120" s="3">
        <f t="shared" si="116"/>
        <v>1341.13</v>
      </c>
      <c r="CU120" s="3">
        <f t="shared" si="117"/>
        <v>0</v>
      </c>
      <c r="CV120" s="3">
        <f t="shared" si="118"/>
        <v>1.708704</v>
      </c>
      <c r="CW120" s="3">
        <f t="shared" si="119"/>
        <v>0</v>
      </c>
      <c r="CX120" s="3">
        <f t="shared" si="120"/>
        <v>0</v>
      </c>
      <c r="CY120" s="3">
        <f>(ROUND((((S120+ROUND((ROUND((((EU120*1.2))*AV120*1),2)*BS120),2))*AT120)/100),2)+ROUND(((ROUND((ROUND(((AE120-((EU120*1.2)))*AV120*1),2)*BS120),2)*AT120)/100),2))</f>
        <v>3620.55</v>
      </c>
      <c r="CZ120" s="3">
        <f>(ROUND((((S120+ROUND((ROUND((((EU120*1.2))*AV120*1),2)*BS120),2))*AU120)/100),2)+ROUND(((ROUND((ROUND(((AE120-((EU120*1.2)))*AV120*1),2)*BS120),2)*AU120)/100),2))</f>
        <v>1850.5</v>
      </c>
      <c r="DB120" s="3">
        <v>64</v>
      </c>
      <c r="DC120" s="3" t="s">
        <v>3</v>
      </c>
      <c r="DD120" s="3" t="s">
        <v>70</v>
      </c>
      <c r="DE120" s="3" t="s">
        <v>71</v>
      </c>
      <c r="DF120" s="3" t="s">
        <v>71</v>
      </c>
      <c r="DG120" s="3" t="s">
        <v>71</v>
      </c>
      <c r="DH120" s="3" t="s">
        <v>3</v>
      </c>
      <c r="DI120" s="3" t="s">
        <v>71</v>
      </c>
      <c r="DJ120" s="3" t="s">
        <v>71</v>
      </c>
      <c r="DK120" s="3" t="s">
        <v>3</v>
      </c>
      <c r="DL120" s="3" t="s">
        <v>3</v>
      </c>
      <c r="DM120" s="3" t="s">
        <v>3</v>
      </c>
      <c r="DN120" s="3">
        <v>0</v>
      </c>
      <c r="DO120" s="3">
        <v>0</v>
      </c>
      <c r="DP120" s="3">
        <v>1</v>
      </c>
      <c r="DQ120" s="3">
        <v>1</v>
      </c>
      <c r="DU120" s="3">
        <v>1013</v>
      </c>
      <c r="DV120" s="3" t="s">
        <v>27</v>
      </c>
      <c r="DW120" s="3" t="s">
        <v>27</v>
      </c>
      <c r="DX120" s="3">
        <v>1</v>
      </c>
      <c r="DZ120" s="3" t="s">
        <v>3</v>
      </c>
      <c r="EA120" s="3" t="s">
        <v>3</v>
      </c>
      <c r="EB120" s="3" t="s">
        <v>3</v>
      </c>
      <c r="EC120" s="3" t="s">
        <v>3</v>
      </c>
      <c r="EE120" s="3">
        <v>57042958</v>
      </c>
      <c r="EF120" s="3">
        <v>40</v>
      </c>
      <c r="EG120" s="3" t="s">
        <v>31</v>
      </c>
      <c r="EH120" s="3">
        <v>0</v>
      </c>
      <c r="EI120" s="3" t="s">
        <v>3</v>
      </c>
      <c r="EJ120" s="3">
        <v>2</v>
      </c>
      <c r="EK120" s="3">
        <v>68</v>
      </c>
      <c r="EL120" s="3" t="s">
        <v>32</v>
      </c>
      <c r="EM120" s="3" t="s">
        <v>33</v>
      </c>
      <c r="EO120" s="3" t="s">
        <v>75</v>
      </c>
      <c r="EQ120" s="3">
        <v>1024</v>
      </c>
      <c r="ER120" s="3">
        <v>21.3</v>
      </c>
      <c r="ES120" s="3">
        <v>2.34</v>
      </c>
      <c r="ET120" s="3">
        <v>0.02</v>
      </c>
      <c r="EU120" s="3">
        <v>0</v>
      </c>
      <c r="EV120" s="3">
        <v>18.940000000000001</v>
      </c>
      <c r="EW120" s="3">
        <v>1.36</v>
      </c>
      <c r="EX120" s="3">
        <v>0</v>
      </c>
      <c r="EY120" s="3">
        <v>0</v>
      </c>
      <c r="FQ120" s="3">
        <v>0</v>
      </c>
      <c r="FR120" s="3">
        <v>0</v>
      </c>
      <c r="FS120" s="3">
        <v>0</v>
      </c>
      <c r="FX120" s="3">
        <v>90</v>
      </c>
      <c r="FY120" s="3">
        <v>46</v>
      </c>
      <c r="GA120" s="3" t="s">
        <v>3</v>
      </c>
      <c r="GD120" s="3">
        <v>1</v>
      </c>
      <c r="GF120" s="3">
        <v>-635599801</v>
      </c>
      <c r="GG120" s="3">
        <v>2</v>
      </c>
      <c r="GH120" s="3">
        <v>1</v>
      </c>
      <c r="GI120" s="3">
        <v>2</v>
      </c>
      <c r="GJ120" s="3">
        <v>0</v>
      </c>
      <c r="GK120" s="3">
        <v>0</v>
      </c>
      <c r="GL120" s="3">
        <f t="shared" si="121"/>
        <v>0</v>
      </c>
      <c r="GM120" s="3">
        <f t="shared" si="122"/>
        <v>9566.64</v>
      </c>
      <c r="GN120" s="3">
        <f t="shared" si="123"/>
        <v>0</v>
      </c>
      <c r="GO120" s="3">
        <f t="shared" si="124"/>
        <v>9566.64</v>
      </c>
      <c r="GP120" s="3">
        <f t="shared" si="125"/>
        <v>0</v>
      </c>
      <c r="GR120" s="3">
        <v>0</v>
      </c>
      <c r="GS120" s="3">
        <v>3</v>
      </c>
      <c r="GT120" s="3">
        <v>0</v>
      </c>
      <c r="GU120" s="3" t="s">
        <v>3</v>
      </c>
      <c r="GV120" s="3">
        <f t="shared" si="126"/>
        <v>0</v>
      </c>
      <c r="GW120" s="3">
        <v>1</v>
      </c>
      <c r="GX120" s="3">
        <f t="shared" si="127"/>
        <v>0</v>
      </c>
      <c r="HA120" s="3">
        <v>0</v>
      </c>
      <c r="HB120" s="3">
        <v>0</v>
      </c>
      <c r="HC120" s="3">
        <f t="shared" si="128"/>
        <v>0</v>
      </c>
      <c r="HE120" s="3" t="s">
        <v>3</v>
      </c>
      <c r="HF120" s="3" t="s">
        <v>3</v>
      </c>
      <c r="HM120" s="3" t="s">
        <v>3</v>
      </c>
      <c r="HN120" s="3" t="s">
        <v>3</v>
      </c>
      <c r="HO120" s="3" t="s">
        <v>3</v>
      </c>
      <c r="HP120" s="3" t="s">
        <v>3</v>
      </c>
      <c r="HQ120" s="3" t="s">
        <v>3</v>
      </c>
      <c r="HS120" s="3">
        <v>0</v>
      </c>
      <c r="IK120" s="3">
        <v>0</v>
      </c>
    </row>
    <row r="121" spans="1:255" x14ac:dyDescent="0.25">
      <c r="A121" s="2">
        <v>17</v>
      </c>
      <c r="B121" s="2">
        <v>1</v>
      </c>
      <c r="C121" s="2"/>
      <c r="D121" s="2"/>
      <c r="E121" s="2" t="s">
        <v>3</v>
      </c>
      <c r="F121" s="2" t="s">
        <v>198</v>
      </c>
      <c r="G121" s="2" t="s">
        <v>199</v>
      </c>
      <c r="H121" s="2" t="s">
        <v>152</v>
      </c>
      <c r="I121" s="2">
        <v>1</v>
      </c>
      <c r="J121" s="2">
        <v>0</v>
      </c>
      <c r="K121" s="2">
        <v>1</v>
      </c>
      <c r="L121" s="2"/>
      <c r="M121" s="2"/>
      <c r="N121" s="2"/>
      <c r="O121" s="2">
        <f t="shared" si="104"/>
        <v>8690.65</v>
      </c>
      <c r="P121" s="2">
        <f t="shared" si="105"/>
        <v>8690.65</v>
      </c>
      <c r="Q121" s="2">
        <f>(ROUND((ROUND(((ET121)*AV121*I121),2)*BB121),2)+ROUND((ROUND(((AE121-(EU121))*AV121*I121),2)*BS121),2))</f>
        <v>0</v>
      </c>
      <c r="R121" s="2">
        <f>(ROUND((ROUND(((EU121)*AV121*I121),2)*BS121),2)+ROUND((ROUND(((AE121-(EU121))*AV121*I121),2)*BS121),2))</f>
        <v>0</v>
      </c>
      <c r="S121" s="2">
        <f t="shared" si="106"/>
        <v>0</v>
      </c>
      <c r="T121" s="2">
        <f t="shared" si="107"/>
        <v>0</v>
      </c>
      <c r="U121" s="2">
        <f t="shared" si="108"/>
        <v>0</v>
      </c>
      <c r="V121" s="2">
        <f t="shared" si="109"/>
        <v>0</v>
      </c>
      <c r="W121" s="2">
        <f t="shared" si="110"/>
        <v>0</v>
      </c>
      <c r="X121" s="2">
        <f>(ROUND((((S121+ROUND((ROUND(((EU121)*AV121*I121),2)*BS121),2))*AT121)/100),2)+ROUND(((ROUND((ROUND(((AE121-(EU121))*AV121*I121),2)*BS121),2)*AT121)/100),2))</f>
        <v>0</v>
      </c>
      <c r="Y121" s="2">
        <f>(ROUND((((S121+ROUND((ROUND(((EU121)*AV121*I121),2)*BS121),2))*AU121)/100),2)+ROUND(((ROUND((ROUND(((AE121-(EU121))*AV121*I121),2)*BS121),2)*AU121)/100),2))</f>
        <v>0</v>
      </c>
      <c r="Z121" s="2"/>
      <c r="AA121" s="2">
        <v>-1</v>
      </c>
      <c r="AB121" s="2">
        <f t="shared" si="111"/>
        <v>8690.65</v>
      </c>
      <c r="AC121" s="2">
        <f>ROUND((ES121),6)</f>
        <v>8690.65</v>
      </c>
      <c r="AD121" s="2">
        <f>ROUND((((ET121)-(EU121))+AE121),6)</f>
        <v>0</v>
      </c>
      <c r="AE121" s="2">
        <f t="shared" ref="AE121:AF124" si="129">ROUND((EU121),6)</f>
        <v>0</v>
      </c>
      <c r="AF121" s="2">
        <f t="shared" si="129"/>
        <v>0</v>
      </c>
      <c r="AG121" s="2">
        <f t="shared" si="112"/>
        <v>0</v>
      </c>
      <c r="AH121" s="2">
        <f t="shared" ref="AH121:AI124" si="130">(EW121)</f>
        <v>0</v>
      </c>
      <c r="AI121" s="2">
        <f t="shared" si="130"/>
        <v>0</v>
      </c>
      <c r="AJ121" s="2">
        <f t="shared" si="113"/>
        <v>0</v>
      </c>
      <c r="AK121" s="2">
        <v>8690.65</v>
      </c>
      <c r="AL121" s="2">
        <v>8690.65</v>
      </c>
      <c r="AM121" s="2">
        <v>0</v>
      </c>
      <c r="AN121" s="2">
        <v>0</v>
      </c>
      <c r="AO121" s="2">
        <v>0</v>
      </c>
      <c r="AP121" s="2">
        <v>0</v>
      </c>
      <c r="AQ121" s="2">
        <v>0</v>
      </c>
      <c r="AR121" s="2">
        <v>0</v>
      </c>
      <c r="AS121" s="2">
        <v>0</v>
      </c>
      <c r="AT121" s="2">
        <v>0</v>
      </c>
      <c r="AU121" s="2">
        <v>0</v>
      </c>
      <c r="AV121" s="2">
        <v>1</v>
      </c>
      <c r="AW121" s="2">
        <v>1</v>
      </c>
      <c r="AX121" s="2"/>
      <c r="AY121" s="2"/>
      <c r="AZ121" s="2">
        <v>1</v>
      </c>
      <c r="BA121" s="2">
        <v>1</v>
      </c>
      <c r="BB121" s="2">
        <v>1</v>
      </c>
      <c r="BC121" s="2">
        <v>1</v>
      </c>
      <c r="BD121" s="2" t="s">
        <v>3</v>
      </c>
      <c r="BE121" s="2" t="s">
        <v>3</v>
      </c>
      <c r="BF121" s="2" t="s">
        <v>3</v>
      </c>
      <c r="BG121" s="2" t="s">
        <v>3</v>
      </c>
      <c r="BH121" s="2">
        <v>3</v>
      </c>
      <c r="BI121" s="2">
        <v>3</v>
      </c>
      <c r="BJ121" s="2" t="s">
        <v>198</v>
      </c>
      <c r="BK121" s="2"/>
      <c r="BL121" s="2"/>
      <c r="BM121" s="2">
        <v>400007</v>
      </c>
      <c r="BN121" s="2">
        <v>0</v>
      </c>
      <c r="BO121" s="2" t="s">
        <v>3</v>
      </c>
      <c r="BP121" s="2">
        <v>0</v>
      </c>
      <c r="BQ121" s="2">
        <v>214</v>
      </c>
      <c r="BR121" s="2">
        <v>0</v>
      </c>
      <c r="BS121" s="2">
        <v>1</v>
      </c>
      <c r="BT121" s="2">
        <v>1</v>
      </c>
      <c r="BU121" s="2">
        <v>1</v>
      </c>
      <c r="BV121" s="2">
        <v>1</v>
      </c>
      <c r="BW121" s="2">
        <v>1</v>
      </c>
      <c r="BX121" s="2">
        <v>1</v>
      </c>
      <c r="BY121" s="2" t="s">
        <v>3</v>
      </c>
      <c r="BZ121" s="2">
        <v>0</v>
      </c>
      <c r="CA121" s="2">
        <v>0</v>
      </c>
      <c r="CB121" s="2" t="s">
        <v>3</v>
      </c>
      <c r="CC121" s="2"/>
      <c r="CD121" s="2"/>
      <c r="CE121" s="2">
        <v>1566</v>
      </c>
      <c r="CF121" s="2">
        <v>0</v>
      </c>
      <c r="CG121" s="2">
        <v>0</v>
      </c>
      <c r="CH121" s="2"/>
      <c r="CI121" s="2"/>
      <c r="CJ121" s="2"/>
      <c r="CK121" s="2"/>
      <c r="CL121" s="2"/>
      <c r="CM121" s="2">
        <v>0</v>
      </c>
      <c r="CN121" s="2" t="s">
        <v>3</v>
      </c>
      <c r="CO121" s="2">
        <v>0</v>
      </c>
      <c r="CP121" s="2">
        <f t="shared" si="114"/>
        <v>8690.65</v>
      </c>
      <c r="CQ121" s="2">
        <f t="shared" si="115"/>
        <v>8690.65</v>
      </c>
      <c r="CR121" s="2">
        <f>(ROUND((ROUND(((ET121)*AV121*1),2)*BB121),2)+ROUND((ROUND(((AE121-(EU121))*AV121*1),2)*BS121),2))</f>
        <v>0</v>
      </c>
      <c r="CS121" s="2">
        <f>(ROUND((ROUND(((EU121)*AV121*1),2)*BS121),2)+ROUND((ROUND(((AE121-(EU121))*AV121*1),2)*BS121),2))</f>
        <v>0</v>
      </c>
      <c r="CT121" s="2">
        <f t="shared" si="116"/>
        <v>0</v>
      </c>
      <c r="CU121" s="2">
        <f t="shared" si="117"/>
        <v>0</v>
      </c>
      <c r="CV121" s="2">
        <f t="shared" si="118"/>
        <v>0</v>
      </c>
      <c r="CW121" s="2">
        <f t="shared" si="119"/>
        <v>0</v>
      </c>
      <c r="CX121" s="2">
        <f t="shared" si="120"/>
        <v>0</v>
      </c>
      <c r="CY121" s="2">
        <f>(ROUND((((S121+ROUND((ROUND(((EU121)*AV121*1),2)*BS121),2))*AT121)/100),2)+ROUND(((ROUND((ROUND(((AE121-(EU121))*AV121*1),2)*BS121),2)*AT121)/100),2))</f>
        <v>0</v>
      </c>
      <c r="CZ121" s="2">
        <f>(ROUND((((S121+ROUND((ROUND(((EU121)*AV121*1),2)*BS121),2))*AU121)/100),2)+ROUND(((ROUND((ROUND(((AE121-(EU121))*AV121*1),2)*BS121),2)*AU121)/100),2))</f>
        <v>0</v>
      </c>
      <c r="DA121" s="2"/>
      <c r="DB121" s="2"/>
      <c r="DC121" s="2" t="s">
        <v>3</v>
      </c>
      <c r="DD121" s="2" t="s">
        <v>3</v>
      </c>
      <c r="DE121" s="2" t="s">
        <v>3</v>
      </c>
      <c r="DF121" s="2" t="s">
        <v>3</v>
      </c>
      <c r="DG121" s="2" t="s">
        <v>3</v>
      </c>
      <c r="DH121" s="2" t="s">
        <v>3</v>
      </c>
      <c r="DI121" s="2" t="s">
        <v>3</v>
      </c>
      <c r="DJ121" s="2" t="s">
        <v>3</v>
      </c>
      <c r="DK121" s="2" t="s">
        <v>3</v>
      </c>
      <c r="DL121" s="2" t="s">
        <v>3</v>
      </c>
      <c r="DM121" s="2" t="s">
        <v>3</v>
      </c>
      <c r="DN121" s="2">
        <v>0</v>
      </c>
      <c r="DO121" s="2">
        <v>0</v>
      </c>
      <c r="DP121" s="2">
        <v>1</v>
      </c>
      <c r="DQ121" s="2">
        <v>1</v>
      </c>
      <c r="DR121" s="2"/>
      <c r="DS121" s="2"/>
      <c r="DT121" s="2"/>
      <c r="DU121" s="2">
        <v>1013</v>
      </c>
      <c r="DV121" s="2" t="s">
        <v>152</v>
      </c>
      <c r="DW121" s="2" t="s">
        <v>152</v>
      </c>
      <c r="DX121" s="2">
        <v>1</v>
      </c>
      <c r="DY121" s="2"/>
      <c r="DZ121" s="2" t="s">
        <v>3</v>
      </c>
      <c r="EA121" s="2" t="s">
        <v>3</v>
      </c>
      <c r="EB121" s="2" t="s">
        <v>3</v>
      </c>
      <c r="EC121" s="2" t="s">
        <v>3</v>
      </c>
      <c r="ED121" s="2"/>
      <c r="EE121" s="2">
        <v>57042890</v>
      </c>
      <c r="EF121" s="2">
        <v>214</v>
      </c>
      <c r="EG121" s="2" t="s">
        <v>153</v>
      </c>
      <c r="EH121" s="2">
        <v>0</v>
      </c>
      <c r="EI121" s="2" t="s">
        <v>3</v>
      </c>
      <c r="EJ121" s="2">
        <v>3</v>
      </c>
      <c r="EK121" s="2">
        <v>400007</v>
      </c>
      <c r="EL121" s="2" t="s">
        <v>153</v>
      </c>
      <c r="EM121" s="2" t="s">
        <v>154</v>
      </c>
      <c r="EN121" s="2"/>
      <c r="EO121" s="2" t="s">
        <v>3</v>
      </c>
      <c r="EP121" s="2"/>
      <c r="EQ121" s="2">
        <v>1040</v>
      </c>
      <c r="ER121" s="2">
        <v>0</v>
      </c>
      <c r="ES121" s="2">
        <v>8690.65</v>
      </c>
      <c r="ET121" s="2">
        <v>0</v>
      </c>
      <c r="EU121" s="2">
        <v>0</v>
      </c>
      <c r="EV121" s="2">
        <v>0</v>
      </c>
      <c r="EW121" s="2">
        <v>0</v>
      </c>
      <c r="EX121" s="2">
        <v>0</v>
      </c>
      <c r="EY121" s="2">
        <v>0</v>
      </c>
      <c r="EZ121" s="2"/>
      <c r="FA121" s="2"/>
      <c r="FB121" s="2"/>
      <c r="FC121" s="2"/>
      <c r="FD121" s="2"/>
      <c r="FE121" s="2"/>
      <c r="FF121" s="2"/>
      <c r="FG121" s="2"/>
      <c r="FH121" s="2"/>
      <c r="FI121" s="2"/>
      <c r="FJ121" s="2"/>
      <c r="FK121" s="2"/>
      <c r="FL121" s="2"/>
      <c r="FM121" s="2"/>
      <c r="FN121" s="2"/>
      <c r="FO121" s="2"/>
      <c r="FP121" s="2"/>
      <c r="FQ121" s="2">
        <v>0</v>
      </c>
      <c r="FR121" s="2">
        <f>P121</f>
        <v>8690.65</v>
      </c>
      <c r="FS121" s="2">
        <v>0</v>
      </c>
      <c r="FT121" s="2"/>
      <c r="FU121" s="2"/>
      <c r="FV121" s="2"/>
      <c r="FW121" s="2"/>
      <c r="FX121" s="2">
        <v>0</v>
      </c>
      <c r="FY121" s="2">
        <v>0</v>
      </c>
      <c r="FZ121" s="2"/>
      <c r="GA121" s="2" t="s">
        <v>200</v>
      </c>
      <c r="GB121" s="2"/>
      <c r="GC121" s="2"/>
      <c r="GD121" s="2">
        <v>1</v>
      </c>
      <c r="GE121" s="2"/>
      <c r="GF121" s="2">
        <v>-1362735758</v>
      </c>
      <c r="GG121" s="2">
        <v>2</v>
      </c>
      <c r="GH121" s="2">
        <v>4</v>
      </c>
      <c r="GI121" s="2">
        <v>-2</v>
      </c>
      <c r="GJ121" s="2">
        <v>0</v>
      </c>
      <c r="GK121" s="2">
        <v>0</v>
      </c>
      <c r="GL121" s="2">
        <f t="shared" si="121"/>
        <v>0</v>
      </c>
      <c r="GM121" s="2">
        <f t="shared" si="122"/>
        <v>8690.65</v>
      </c>
      <c r="GN121" s="2">
        <f t="shared" si="123"/>
        <v>0</v>
      </c>
      <c r="GO121" s="2">
        <f t="shared" si="124"/>
        <v>0</v>
      </c>
      <c r="GP121" s="2">
        <f t="shared" si="125"/>
        <v>0</v>
      </c>
      <c r="GQ121" s="2"/>
      <c r="GR121" s="2">
        <v>1</v>
      </c>
      <c r="GS121" s="2">
        <v>2</v>
      </c>
      <c r="GT121" s="2">
        <v>0</v>
      </c>
      <c r="GU121" s="2" t="s">
        <v>3</v>
      </c>
      <c r="GV121" s="2">
        <f t="shared" si="126"/>
        <v>0</v>
      </c>
      <c r="GW121" s="2">
        <v>1</v>
      </c>
      <c r="GX121" s="2">
        <f t="shared" si="127"/>
        <v>0</v>
      </c>
      <c r="GY121" s="2"/>
      <c r="GZ121" s="2"/>
      <c r="HA121" s="2">
        <v>0</v>
      </c>
      <c r="HB121" s="2">
        <v>0</v>
      </c>
      <c r="HC121" s="2">
        <f t="shared" si="128"/>
        <v>0</v>
      </c>
      <c r="HD121" s="2"/>
      <c r="HE121" s="2" t="s">
        <v>39</v>
      </c>
      <c r="HF121" s="2" t="s">
        <v>156</v>
      </c>
      <c r="HG121" s="2"/>
      <c r="HH121" s="2"/>
      <c r="HI121" s="2"/>
      <c r="HJ121" s="2"/>
      <c r="HK121" s="2"/>
      <c r="HL121" s="2"/>
      <c r="HM121" s="2" t="s">
        <v>3</v>
      </c>
      <c r="HN121" s="2" t="s">
        <v>3</v>
      </c>
      <c r="HO121" s="2" t="s">
        <v>3</v>
      </c>
      <c r="HP121" s="2" t="s">
        <v>3</v>
      </c>
      <c r="HQ121" s="2" t="s">
        <v>3</v>
      </c>
      <c r="HR121" s="2"/>
      <c r="HS121" s="2">
        <v>0</v>
      </c>
      <c r="HT121" s="2"/>
      <c r="HU121" s="2"/>
      <c r="HV121" s="2"/>
      <c r="HW121" s="2"/>
      <c r="HX121" s="2"/>
      <c r="HY121" s="2"/>
      <c r="HZ121" s="2"/>
      <c r="IA121" s="2"/>
      <c r="IB121" s="2"/>
      <c r="IC121" s="2"/>
      <c r="ID121" s="2"/>
      <c r="IE121" s="2"/>
      <c r="IF121" s="2"/>
      <c r="IG121" s="2"/>
      <c r="IH121" s="2"/>
      <c r="II121" s="2"/>
      <c r="IJ121" s="2"/>
      <c r="IK121" s="2">
        <v>0</v>
      </c>
      <c r="IL121" s="2"/>
      <c r="IM121" s="2"/>
      <c r="IN121" s="2"/>
      <c r="IO121" s="2"/>
      <c r="IP121" s="2"/>
      <c r="IQ121" s="2"/>
      <c r="IR121" s="2"/>
      <c r="IS121" s="2"/>
      <c r="IT121" s="2"/>
      <c r="IU121" s="2"/>
    </row>
    <row r="122" spans="1:255" x14ac:dyDescent="0.25">
      <c r="A122" s="3">
        <v>17</v>
      </c>
      <c r="B122" s="3">
        <v>1</v>
      </c>
      <c r="E122" s="3" t="s">
        <v>3</v>
      </c>
      <c r="F122" s="3" t="s">
        <v>198</v>
      </c>
      <c r="G122" s="3" t="s">
        <v>199</v>
      </c>
      <c r="H122" s="3" t="s">
        <v>152</v>
      </c>
      <c r="I122" s="3">
        <v>1</v>
      </c>
      <c r="J122" s="3">
        <v>0</v>
      </c>
      <c r="K122" s="3">
        <v>1</v>
      </c>
      <c r="O122" s="3">
        <f t="shared" si="104"/>
        <v>65788.22</v>
      </c>
      <c r="P122" s="3">
        <f t="shared" si="105"/>
        <v>65788.22</v>
      </c>
      <c r="Q122" s="3">
        <f>(ROUND((ROUND(((ET122)*AV122*I122),2)*BB122),2)+ROUND((ROUND(((AE122-(EU122))*AV122*I122),2)*BS122),2))</f>
        <v>0</v>
      </c>
      <c r="R122" s="3">
        <f>(ROUND((ROUND(((EU122)*AV122*I122),2)*BS122),2)+ROUND((ROUND(((AE122-(EU122))*AV122*I122),2)*BS122),2))</f>
        <v>0</v>
      </c>
      <c r="S122" s="3">
        <f t="shared" si="106"/>
        <v>0</v>
      </c>
      <c r="T122" s="3">
        <f t="shared" si="107"/>
        <v>0</v>
      </c>
      <c r="U122" s="3">
        <f t="shared" si="108"/>
        <v>0</v>
      </c>
      <c r="V122" s="3">
        <f t="shared" si="109"/>
        <v>0</v>
      </c>
      <c r="W122" s="3">
        <f t="shared" si="110"/>
        <v>0</v>
      </c>
      <c r="X122" s="3">
        <f>(ROUND((((S122+ROUND((ROUND(((EU122)*AV122*I122),2)*BS122),2))*AT122)/100),2)+ROUND(((ROUND((ROUND(((AE122-(EU122))*AV122*I122),2)*BS122),2)*AT122)/100),2))</f>
        <v>0</v>
      </c>
      <c r="Y122" s="3">
        <f>(ROUND((((S122+ROUND((ROUND(((EU122)*AV122*I122),2)*BS122),2))*AU122)/100),2)+ROUND(((ROUND((ROUND(((AE122-(EU122))*AV122*I122),2)*BS122),2)*AU122)/100),2))</f>
        <v>0</v>
      </c>
      <c r="AA122" s="3">
        <v>-1</v>
      </c>
      <c r="AB122" s="3">
        <f t="shared" si="111"/>
        <v>8690.65</v>
      </c>
      <c r="AC122" s="3">
        <f>ROUND((ES122),6)</f>
        <v>8690.65</v>
      </c>
      <c r="AD122" s="3">
        <f>ROUND((((ET122)-(EU122))+AE122),6)</f>
        <v>0</v>
      </c>
      <c r="AE122" s="3">
        <f t="shared" si="129"/>
        <v>0</v>
      </c>
      <c r="AF122" s="3">
        <f t="shared" si="129"/>
        <v>0</v>
      </c>
      <c r="AG122" s="3">
        <f t="shared" si="112"/>
        <v>0</v>
      </c>
      <c r="AH122" s="3">
        <f t="shared" si="130"/>
        <v>0</v>
      </c>
      <c r="AI122" s="3">
        <f t="shared" si="130"/>
        <v>0</v>
      </c>
      <c r="AJ122" s="3">
        <f t="shared" si="113"/>
        <v>0</v>
      </c>
      <c r="AK122" s="3">
        <v>8690.65</v>
      </c>
      <c r="AL122" s="3">
        <v>8690.65</v>
      </c>
      <c r="AM122" s="3">
        <v>0</v>
      </c>
      <c r="AN122" s="3">
        <v>0</v>
      </c>
      <c r="AO122" s="3">
        <v>0</v>
      </c>
      <c r="AP122" s="3">
        <v>0</v>
      </c>
      <c r="AQ122" s="3">
        <v>0</v>
      </c>
      <c r="AR122" s="3">
        <v>0</v>
      </c>
      <c r="AS122" s="3">
        <v>0</v>
      </c>
      <c r="AT122" s="3">
        <v>0</v>
      </c>
      <c r="AU122" s="3">
        <v>0</v>
      </c>
      <c r="AV122" s="3">
        <v>1</v>
      </c>
      <c r="AW122" s="3">
        <v>1</v>
      </c>
      <c r="AZ122" s="3">
        <v>1</v>
      </c>
      <c r="BA122" s="3">
        <v>1</v>
      </c>
      <c r="BB122" s="3">
        <v>1</v>
      </c>
      <c r="BC122" s="3">
        <v>7.57</v>
      </c>
      <c r="BD122" s="3" t="s">
        <v>3</v>
      </c>
      <c r="BE122" s="3" t="s">
        <v>3</v>
      </c>
      <c r="BF122" s="3" t="s">
        <v>3</v>
      </c>
      <c r="BG122" s="3" t="s">
        <v>3</v>
      </c>
      <c r="BH122" s="3">
        <v>3</v>
      </c>
      <c r="BI122" s="3">
        <v>3</v>
      </c>
      <c r="BJ122" s="3" t="s">
        <v>198</v>
      </c>
      <c r="BM122" s="3">
        <v>400007</v>
      </c>
      <c r="BN122" s="3">
        <v>0</v>
      </c>
      <c r="BO122" s="3" t="s">
        <v>3</v>
      </c>
      <c r="BP122" s="3">
        <v>0</v>
      </c>
      <c r="BQ122" s="3">
        <v>214</v>
      </c>
      <c r="BR122" s="3">
        <v>0</v>
      </c>
      <c r="BS122" s="3">
        <v>1</v>
      </c>
      <c r="BT122" s="3">
        <v>1</v>
      </c>
      <c r="BU122" s="3">
        <v>1</v>
      </c>
      <c r="BV122" s="3">
        <v>1</v>
      </c>
      <c r="BW122" s="3">
        <v>1</v>
      </c>
      <c r="BX122" s="3">
        <v>1</v>
      </c>
      <c r="BY122" s="3" t="s">
        <v>3</v>
      </c>
      <c r="BZ122" s="3">
        <v>0</v>
      </c>
      <c r="CA122" s="3">
        <v>0</v>
      </c>
      <c r="CB122" s="3" t="s">
        <v>3</v>
      </c>
      <c r="CE122" s="3">
        <v>1566</v>
      </c>
      <c r="CF122" s="3">
        <v>0</v>
      </c>
      <c r="CG122" s="3">
        <v>0</v>
      </c>
      <c r="CM122" s="3">
        <v>0</v>
      </c>
      <c r="CN122" s="3" t="s">
        <v>3</v>
      </c>
      <c r="CO122" s="3">
        <v>0</v>
      </c>
      <c r="CP122" s="3">
        <f t="shared" si="114"/>
        <v>65788.22</v>
      </c>
      <c r="CQ122" s="3">
        <f t="shared" si="115"/>
        <v>65788.22</v>
      </c>
      <c r="CR122" s="3">
        <f>(ROUND((ROUND(((ET122)*AV122*1),2)*BB122),2)+ROUND((ROUND(((AE122-(EU122))*AV122*1),2)*BS122),2))</f>
        <v>0</v>
      </c>
      <c r="CS122" s="3">
        <f>(ROUND((ROUND(((EU122)*AV122*1),2)*BS122),2)+ROUND((ROUND(((AE122-(EU122))*AV122*1),2)*BS122),2))</f>
        <v>0</v>
      </c>
      <c r="CT122" s="3">
        <f t="shared" si="116"/>
        <v>0</v>
      </c>
      <c r="CU122" s="3">
        <f t="shared" si="117"/>
        <v>0</v>
      </c>
      <c r="CV122" s="3">
        <f t="shared" si="118"/>
        <v>0</v>
      </c>
      <c r="CW122" s="3">
        <f t="shared" si="119"/>
        <v>0</v>
      </c>
      <c r="CX122" s="3">
        <f t="shared" si="120"/>
        <v>0</v>
      </c>
      <c r="CY122" s="3">
        <f>(ROUND((((S122+ROUND((ROUND(((EU122)*AV122*1),2)*BS122),2))*AT122)/100),2)+ROUND(((ROUND((ROUND(((AE122-(EU122))*AV122*1),2)*BS122),2)*AT122)/100),2))</f>
        <v>0</v>
      </c>
      <c r="CZ122" s="3">
        <f>(ROUND((((S122+ROUND((ROUND(((EU122)*AV122*1),2)*BS122),2))*AU122)/100),2)+ROUND(((ROUND((ROUND(((AE122-(EU122))*AV122*1),2)*BS122),2)*AU122)/100),2))</f>
        <v>0</v>
      </c>
      <c r="DC122" s="3" t="s">
        <v>3</v>
      </c>
      <c r="DD122" s="3" t="s">
        <v>3</v>
      </c>
      <c r="DE122" s="3" t="s">
        <v>3</v>
      </c>
      <c r="DF122" s="3" t="s">
        <v>3</v>
      </c>
      <c r="DG122" s="3" t="s">
        <v>3</v>
      </c>
      <c r="DH122" s="3" t="s">
        <v>3</v>
      </c>
      <c r="DI122" s="3" t="s">
        <v>3</v>
      </c>
      <c r="DJ122" s="3" t="s">
        <v>3</v>
      </c>
      <c r="DK122" s="3" t="s">
        <v>3</v>
      </c>
      <c r="DL122" s="3" t="s">
        <v>3</v>
      </c>
      <c r="DM122" s="3" t="s">
        <v>3</v>
      </c>
      <c r="DN122" s="3">
        <v>0</v>
      </c>
      <c r="DO122" s="3">
        <v>0</v>
      </c>
      <c r="DP122" s="3">
        <v>1</v>
      </c>
      <c r="DQ122" s="3">
        <v>1</v>
      </c>
      <c r="DU122" s="3">
        <v>1013</v>
      </c>
      <c r="DV122" s="3" t="s">
        <v>152</v>
      </c>
      <c r="DW122" s="3" t="s">
        <v>152</v>
      </c>
      <c r="DX122" s="3">
        <v>1</v>
      </c>
      <c r="DZ122" s="3" t="s">
        <v>3</v>
      </c>
      <c r="EA122" s="3" t="s">
        <v>3</v>
      </c>
      <c r="EB122" s="3" t="s">
        <v>3</v>
      </c>
      <c r="EC122" s="3" t="s">
        <v>3</v>
      </c>
      <c r="EE122" s="3">
        <v>57042890</v>
      </c>
      <c r="EF122" s="3">
        <v>214</v>
      </c>
      <c r="EG122" s="3" t="s">
        <v>153</v>
      </c>
      <c r="EH122" s="3">
        <v>0</v>
      </c>
      <c r="EI122" s="3" t="s">
        <v>3</v>
      </c>
      <c r="EJ122" s="3">
        <v>3</v>
      </c>
      <c r="EK122" s="3">
        <v>400007</v>
      </c>
      <c r="EL122" s="3" t="s">
        <v>153</v>
      </c>
      <c r="EM122" s="3" t="s">
        <v>154</v>
      </c>
      <c r="EO122" s="3" t="s">
        <v>3</v>
      </c>
      <c r="EQ122" s="3">
        <v>1040</v>
      </c>
      <c r="ER122" s="3">
        <v>0</v>
      </c>
      <c r="ES122" s="3">
        <v>8690.65</v>
      </c>
      <c r="ET122" s="3">
        <v>0</v>
      </c>
      <c r="EU122" s="3">
        <v>0</v>
      </c>
      <c r="EV122" s="3">
        <v>0</v>
      </c>
      <c r="EW122" s="3">
        <v>0</v>
      </c>
      <c r="EX122" s="3">
        <v>0</v>
      </c>
      <c r="EY122" s="3">
        <v>0</v>
      </c>
      <c r="EZ122" s="3">
        <v>5</v>
      </c>
      <c r="FC122" s="3">
        <v>1</v>
      </c>
      <c r="FD122" s="3">
        <v>18</v>
      </c>
      <c r="FF122" s="3">
        <v>77000</v>
      </c>
      <c r="FQ122" s="3">
        <v>0</v>
      </c>
      <c r="FR122" s="3">
        <f>P122</f>
        <v>65788.22</v>
      </c>
      <c r="FS122" s="3">
        <v>0</v>
      </c>
      <c r="FX122" s="3">
        <v>0</v>
      </c>
      <c r="FY122" s="3">
        <v>0</v>
      </c>
      <c r="GA122" s="3" t="s">
        <v>200</v>
      </c>
      <c r="GD122" s="3">
        <v>1</v>
      </c>
      <c r="GF122" s="3">
        <v>-1362735758</v>
      </c>
      <c r="GG122" s="3">
        <v>2</v>
      </c>
      <c r="GH122" s="3">
        <v>3</v>
      </c>
      <c r="GI122" s="3">
        <v>5</v>
      </c>
      <c r="GJ122" s="3">
        <v>0</v>
      </c>
      <c r="GK122" s="3">
        <v>0</v>
      </c>
      <c r="GL122" s="3">
        <f t="shared" si="121"/>
        <v>0</v>
      </c>
      <c r="GM122" s="3">
        <f t="shared" si="122"/>
        <v>65788.22</v>
      </c>
      <c r="GN122" s="3">
        <f t="shared" si="123"/>
        <v>0</v>
      </c>
      <c r="GO122" s="3">
        <f t="shared" si="124"/>
        <v>0</v>
      </c>
      <c r="GP122" s="3">
        <f t="shared" si="125"/>
        <v>0</v>
      </c>
      <c r="GR122" s="3">
        <v>1</v>
      </c>
      <c r="GS122" s="3">
        <v>1</v>
      </c>
      <c r="GT122" s="3">
        <v>0</v>
      </c>
      <c r="GU122" s="3" t="s">
        <v>3</v>
      </c>
      <c r="GV122" s="3">
        <f t="shared" si="126"/>
        <v>0</v>
      </c>
      <c r="GW122" s="3">
        <v>1</v>
      </c>
      <c r="GX122" s="3">
        <f t="shared" si="127"/>
        <v>0</v>
      </c>
      <c r="HA122" s="3">
        <v>0</v>
      </c>
      <c r="HB122" s="3">
        <v>0</v>
      </c>
      <c r="HC122" s="3">
        <f t="shared" si="128"/>
        <v>0</v>
      </c>
      <c r="HE122" s="3" t="s">
        <v>39</v>
      </c>
      <c r="HF122" s="3" t="s">
        <v>156</v>
      </c>
      <c r="HM122" s="3" t="s">
        <v>3</v>
      </c>
      <c r="HN122" s="3" t="s">
        <v>3</v>
      </c>
      <c r="HO122" s="3" t="s">
        <v>3</v>
      </c>
      <c r="HP122" s="3" t="s">
        <v>3</v>
      </c>
      <c r="HQ122" s="3" t="s">
        <v>3</v>
      </c>
      <c r="HS122" s="3">
        <v>0</v>
      </c>
      <c r="IK122" s="3">
        <v>0</v>
      </c>
    </row>
    <row r="123" spans="1:255" x14ac:dyDescent="0.25">
      <c r="A123" s="2">
        <v>17</v>
      </c>
      <c r="B123" s="2">
        <v>1</v>
      </c>
      <c r="C123" s="2"/>
      <c r="D123" s="2"/>
      <c r="E123" s="2" t="s">
        <v>3</v>
      </c>
      <c r="F123" s="2" t="s">
        <v>201</v>
      </c>
      <c r="G123" s="2" t="s">
        <v>202</v>
      </c>
      <c r="H123" s="2" t="s">
        <v>152</v>
      </c>
      <c r="I123" s="2">
        <v>2</v>
      </c>
      <c r="J123" s="2">
        <v>0</v>
      </c>
      <c r="K123" s="2">
        <v>2</v>
      </c>
      <c r="L123" s="2"/>
      <c r="M123" s="2"/>
      <c r="N123" s="2"/>
      <c r="O123" s="2">
        <f t="shared" si="104"/>
        <v>11173.7</v>
      </c>
      <c r="P123" s="2">
        <f t="shared" si="105"/>
        <v>11173.7</v>
      </c>
      <c r="Q123" s="2">
        <f>(ROUND((ROUND(((ET123)*AV123*I123),2)*BB123),2)+ROUND((ROUND(((AE123-(EU123))*AV123*I123),2)*BS123),2))</f>
        <v>0</v>
      </c>
      <c r="R123" s="2">
        <f>(ROUND((ROUND(((EU123)*AV123*I123),2)*BS123),2)+ROUND((ROUND(((AE123-(EU123))*AV123*I123),2)*BS123),2))</f>
        <v>0</v>
      </c>
      <c r="S123" s="2">
        <f t="shared" si="106"/>
        <v>0</v>
      </c>
      <c r="T123" s="2">
        <f t="shared" si="107"/>
        <v>0</v>
      </c>
      <c r="U123" s="2">
        <f t="shared" si="108"/>
        <v>0</v>
      </c>
      <c r="V123" s="2">
        <f t="shared" si="109"/>
        <v>0</v>
      </c>
      <c r="W123" s="2">
        <f t="shared" si="110"/>
        <v>0</v>
      </c>
      <c r="X123" s="2">
        <f>(ROUND((((S123+ROUND((ROUND(((EU123)*AV123*I123),2)*BS123),2))*AT123)/100),2)+ROUND(((ROUND((ROUND(((AE123-(EU123))*AV123*I123),2)*BS123),2)*AT123)/100),2))</f>
        <v>0</v>
      </c>
      <c r="Y123" s="2">
        <f>(ROUND((((S123+ROUND((ROUND(((EU123)*AV123*I123),2)*BS123),2))*AU123)/100),2)+ROUND(((ROUND((ROUND(((AE123-(EU123))*AV123*I123),2)*BS123),2)*AU123)/100),2))</f>
        <v>0</v>
      </c>
      <c r="Z123" s="2"/>
      <c r="AA123" s="2">
        <v>-1</v>
      </c>
      <c r="AB123" s="2">
        <f t="shared" si="111"/>
        <v>5586.85</v>
      </c>
      <c r="AC123" s="2">
        <f>ROUND((ES123),6)</f>
        <v>5586.85</v>
      </c>
      <c r="AD123" s="2">
        <f>ROUND((((ET123)-(EU123))+AE123),6)</f>
        <v>0</v>
      </c>
      <c r="AE123" s="2">
        <f t="shared" si="129"/>
        <v>0</v>
      </c>
      <c r="AF123" s="2">
        <f t="shared" si="129"/>
        <v>0</v>
      </c>
      <c r="AG123" s="2">
        <f t="shared" si="112"/>
        <v>0</v>
      </c>
      <c r="AH123" s="2">
        <f t="shared" si="130"/>
        <v>0</v>
      </c>
      <c r="AI123" s="2">
        <f t="shared" si="130"/>
        <v>0</v>
      </c>
      <c r="AJ123" s="2">
        <f t="shared" si="113"/>
        <v>0</v>
      </c>
      <c r="AK123" s="2">
        <v>5586.85</v>
      </c>
      <c r="AL123" s="2">
        <v>5586.85</v>
      </c>
      <c r="AM123" s="2">
        <v>0</v>
      </c>
      <c r="AN123" s="2">
        <v>0</v>
      </c>
      <c r="AO123" s="2">
        <v>0</v>
      </c>
      <c r="AP123" s="2">
        <v>0</v>
      </c>
      <c r="AQ123" s="2">
        <v>0</v>
      </c>
      <c r="AR123" s="2">
        <v>0</v>
      </c>
      <c r="AS123" s="2">
        <v>0</v>
      </c>
      <c r="AT123" s="2">
        <v>0</v>
      </c>
      <c r="AU123" s="2">
        <v>0</v>
      </c>
      <c r="AV123" s="2">
        <v>1</v>
      </c>
      <c r="AW123" s="2">
        <v>1</v>
      </c>
      <c r="AX123" s="2"/>
      <c r="AY123" s="2"/>
      <c r="AZ123" s="2">
        <v>1</v>
      </c>
      <c r="BA123" s="2">
        <v>1</v>
      </c>
      <c r="BB123" s="2">
        <v>1</v>
      </c>
      <c r="BC123" s="2">
        <v>1</v>
      </c>
      <c r="BD123" s="2" t="s">
        <v>3</v>
      </c>
      <c r="BE123" s="2" t="s">
        <v>3</v>
      </c>
      <c r="BF123" s="2" t="s">
        <v>3</v>
      </c>
      <c r="BG123" s="2" t="s">
        <v>3</v>
      </c>
      <c r="BH123" s="2">
        <v>3</v>
      </c>
      <c r="BI123" s="2">
        <v>3</v>
      </c>
      <c r="BJ123" s="2" t="s">
        <v>201</v>
      </c>
      <c r="BK123" s="2"/>
      <c r="BL123" s="2"/>
      <c r="BM123" s="2">
        <v>400007</v>
      </c>
      <c r="BN123" s="2">
        <v>0</v>
      </c>
      <c r="BO123" s="2" t="s">
        <v>3</v>
      </c>
      <c r="BP123" s="2">
        <v>0</v>
      </c>
      <c r="BQ123" s="2">
        <v>214</v>
      </c>
      <c r="BR123" s="2">
        <v>0</v>
      </c>
      <c r="BS123" s="2">
        <v>1</v>
      </c>
      <c r="BT123" s="2">
        <v>1</v>
      </c>
      <c r="BU123" s="2">
        <v>1</v>
      </c>
      <c r="BV123" s="2">
        <v>1</v>
      </c>
      <c r="BW123" s="2">
        <v>1</v>
      </c>
      <c r="BX123" s="2">
        <v>1</v>
      </c>
      <c r="BY123" s="2" t="s">
        <v>3</v>
      </c>
      <c r="BZ123" s="2">
        <v>0</v>
      </c>
      <c r="CA123" s="2">
        <v>0</v>
      </c>
      <c r="CB123" s="2" t="s">
        <v>3</v>
      </c>
      <c r="CC123" s="2"/>
      <c r="CD123" s="2"/>
      <c r="CE123" s="2">
        <v>1566</v>
      </c>
      <c r="CF123" s="2">
        <v>0</v>
      </c>
      <c r="CG123" s="2">
        <v>0</v>
      </c>
      <c r="CH123" s="2"/>
      <c r="CI123" s="2"/>
      <c r="CJ123" s="2"/>
      <c r="CK123" s="2"/>
      <c r="CL123" s="2"/>
      <c r="CM123" s="2">
        <v>0</v>
      </c>
      <c r="CN123" s="2" t="s">
        <v>3</v>
      </c>
      <c r="CO123" s="2">
        <v>0</v>
      </c>
      <c r="CP123" s="2">
        <f t="shared" si="114"/>
        <v>11173.7</v>
      </c>
      <c r="CQ123" s="2">
        <f t="shared" si="115"/>
        <v>5586.85</v>
      </c>
      <c r="CR123" s="2">
        <f>(ROUND((ROUND(((ET123)*AV123*1),2)*BB123),2)+ROUND((ROUND(((AE123-(EU123))*AV123*1),2)*BS123),2))</f>
        <v>0</v>
      </c>
      <c r="CS123" s="2">
        <f>(ROUND((ROUND(((EU123)*AV123*1),2)*BS123),2)+ROUND((ROUND(((AE123-(EU123))*AV123*1),2)*BS123),2))</f>
        <v>0</v>
      </c>
      <c r="CT123" s="2">
        <f t="shared" si="116"/>
        <v>0</v>
      </c>
      <c r="CU123" s="2">
        <f t="shared" si="117"/>
        <v>0</v>
      </c>
      <c r="CV123" s="2">
        <f t="shared" si="118"/>
        <v>0</v>
      </c>
      <c r="CW123" s="2">
        <f t="shared" si="119"/>
        <v>0</v>
      </c>
      <c r="CX123" s="2">
        <f t="shared" si="120"/>
        <v>0</v>
      </c>
      <c r="CY123" s="2">
        <f>(ROUND((((S123+ROUND((ROUND(((EU123)*AV123*1),2)*BS123),2))*AT123)/100),2)+ROUND(((ROUND((ROUND(((AE123-(EU123))*AV123*1),2)*BS123),2)*AT123)/100),2))</f>
        <v>0</v>
      </c>
      <c r="CZ123" s="2">
        <f>(ROUND((((S123+ROUND((ROUND(((EU123)*AV123*1),2)*BS123),2))*AU123)/100),2)+ROUND(((ROUND((ROUND(((AE123-(EU123))*AV123*1),2)*BS123),2)*AU123)/100),2))</f>
        <v>0</v>
      </c>
      <c r="DA123" s="2"/>
      <c r="DB123" s="2"/>
      <c r="DC123" s="2" t="s">
        <v>3</v>
      </c>
      <c r="DD123" s="2" t="s">
        <v>3</v>
      </c>
      <c r="DE123" s="2" t="s">
        <v>3</v>
      </c>
      <c r="DF123" s="2" t="s">
        <v>3</v>
      </c>
      <c r="DG123" s="2" t="s">
        <v>3</v>
      </c>
      <c r="DH123" s="2" t="s">
        <v>3</v>
      </c>
      <c r="DI123" s="2" t="s">
        <v>3</v>
      </c>
      <c r="DJ123" s="2" t="s">
        <v>3</v>
      </c>
      <c r="DK123" s="2" t="s">
        <v>3</v>
      </c>
      <c r="DL123" s="2" t="s">
        <v>3</v>
      </c>
      <c r="DM123" s="2" t="s">
        <v>3</v>
      </c>
      <c r="DN123" s="2">
        <v>0</v>
      </c>
      <c r="DO123" s="2">
        <v>0</v>
      </c>
      <c r="DP123" s="2">
        <v>1</v>
      </c>
      <c r="DQ123" s="2">
        <v>1</v>
      </c>
      <c r="DR123" s="2"/>
      <c r="DS123" s="2"/>
      <c r="DT123" s="2"/>
      <c r="DU123" s="2">
        <v>1013</v>
      </c>
      <c r="DV123" s="2" t="s">
        <v>152</v>
      </c>
      <c r="DW123" s="2" t="s">
        <v>152</v>
      </c>
      <c r="DX123" s="2">
        <v>1</v>
      </c>
      <c r="DY123" s="2"/>
      <c r="DZ123" s="2" t="s">
        <v>3</v>
      </c>
      <c r="EA123" s="2" t="s">
        <v>3</v>
      </c>
      <c r="EB123" s="2" t="s">
        <v>3</v>
      </c>
      <c r="EC123" s="2" t="s">
        <v>3</v>
      </c>
      <c r="ED123" s="2"/>
      <c r="EE123" s="2">
        <v>57042890</v>
      </c>
      <c r="EF123" s="2">
        <v>214</v>
      </c>
      <c r="EG123" s="2" t="s">
        <v>153</v>
      </c>
      <c r="EH123" s="2">
        <v>0</v>
      </c>
      <c r="EI123" s="2" t="s">
        <v>3</v>
      </c>
      <c r="EJ123" s="2">
        <v>3</v>
      </c>
      <c r="EK123" s="2">
        <v>400007</v>
      </c>
      <c r="EL123" s="2" t="s">
        <v>153</v>
      </c>
      <c r="EM123" s="2" t="s">
        <v>154</v>
      </c>
      <c r="EN123" s="2"/>
      <c r="EO123" s="2" t="s">
        <v>3</v>
      </c>
      <c r="EP123" s="2"/>
      <c r="EQ123" s="2">
        <v>1040</v>
      </c>
      <c r="ER123" s="2">
        <v>0</v>
      </c>
      <c r="ES123" s="2">
        <v>5586.85</v>
      </c>
      <c r="ET123" s="2">
        <v>0</v>
      </c>
      <c r="EU123" s="2">
        <v>0</v>
      </c>
      <c r="EV123" s="2">
        <v>0</v>
      </c>
      <c r="EW123" s="2">
        <v>0</v>
      </c>
      <c r="EX123" s="2">
        <v>0</v>
      </c>
      <c r="EY123" s="2">
        <v>0</v>
      </c>
      <c r="EZ123" s="2"/>
      <c r="FA123" s="2"/>
      <c r="FB123" s="2"/>
      <c r="FC123" s="2"/>
      <c r="FD123" s="2"/>
      <c r="FE123" s="2"/>
      <c r="FF123" s="2"/>
      <c r="FG123" s="2"/>
      <c r="FH123" s="2"/>
      <c r="FI123" s="2"/>
      <c r="FJ123" s="2"/>
      <c r="FK123" s="2"/>
      <c r="FL123" s="2"/>
      <c r="FM123" s="2"/>
      <c r="FN123" s="2"/>
      <c r="FO123" s="2"/>
      <c r="FP123" s="2"/>
      <c r="FQ123" s="2">
        <v>0</v>
      </c>
      <c r="FR123" s="2">
        <f>P123</f>
        <v>11173.7</v>
      </c>
      <c r="FS123" s="2">
        <v>0</v>
      </c>
      <c r="FT123" s="2"/>
      <c r="FU123" s="2"/>
      <c r="FV123" s="2"/>
      <c r="FW123" s="2"/>
      <c r="FX123" s="2">
        <v>0</v>
      </c>
      <c r="FY123" s="2">
        <v>0</v>
      </c>
      <c r="FZ123" s="2"/>
      <c r="GA123" s="2" t="s">
        <v>203</v>
      </c>
      <c r="GB123" s="2"/>
      <c r="GC123" s="2"/>
      <c r="GD123" s="2">
        <v>1</v>
      </c>
      <c r="GE123" s="2"/>
      <c r="GF123" s="2">
        <v>802512330</v>
      </c>
      <c r="GG123" s="2">
        <v>2</v>
      </c>
      <c r="GH123" s="2">
        <v>4</v>
      </c>
      <c r="GI123" s="2">
        <v>-2</v>
      </c>
      <c r="GJ123" s="2">
        <v>0</v>
      </c>
      <c r="GK123" s="2">
        <v>0</v>
      </c>
      <c r="GL123" s="2">
        <f t="shared" si="121"/>
        <v>0</v>
      </c>
      <c r="GM123" s="2">
        <f t="shared" si="122"/>
        <v>11173.7</v>
      </c>
      <c r="GN123" s="2">
        <f t="shared" si="123"/>
        <v>0</v>
      </c>
      <c r="GO123" s="2">
        <f t="shared" si="124"/>
        <v>0</v>
      </c>
      <c r="GP123" s="2">
        <f t="shared" si="125"/>
        <v>0</v>
      </c>
      <c r="GQ123" s="2"/>
      <c r="GR123" s="2">
        <v>1</v>
      </c>
      <c r="GS123" s="2">
        <v>2</v>
      </c>
      <c r="GT123" s="2">
        <v>0</v>
      </c>
      <c r="GU123" s="2" t="s">
        <v>3</v>
      </c>
      <c r="GV123" s="2">
        <f t="shared" si="126"/>
        <v>0</v>
      </c>
      <c r="GW123" s="2">
        <v>1</v>
      </c>
      <c r="GX123" s="2">
        <f t="shared" si="127"/>
        <v>0</v>
      </c>
      <c r="GY123" s="2"/>
      <c r="GZ123" s="2"/>
      <c r="HA123" s="2">
        <v>0</v>
      </c>
      <c r="HB123" s="2">
        <v>0</v>
      </c>
      <c r="HC123" s="2">
        <f t="shared" si="128"/>
        <v>0</v>
      </c>
      <c r="HD123" s="2"/>
      <c r="HE123" s="2" t="s">
        <v>39</v>
      </c>
      <c r="HF123" s="2" t="s">
        <v>156</v>
      </c>
      <c r="HG123" s="2"/>
      <c r="HH123" s="2"/>
      <c r="HI123" s="2"/>
      <c r="HJ123" s="2"/>
      <c r="HK123" s="2"/>
      <c r="HL123" s="2"/>
      <c r="HM123" s="2" t="s">
        <v>3</v>
      </c>
      <c r="HN123" s="2" t="s">
        <v>3</v>
      </c>
      <c r="HO123" s="2" t="s">
        <v>3</v>
      </c>
      <c r="HP123" s="2" t="s">
        <v>3</v>
      </c>
      <c r="HQ123" s="2" t="s">
        <v>3</v>
      </c>
      <c r="HR123" s="2"/>
      <c r="HS123" s="2">
        <v>0</v>
      </c>
      <c r="HT123" s="2"/>
      <c r="HU123" s="2"/>
      <c r="HV123" s="2"/>
      <c r="HW123" s="2"/>
      <c r="HX123" s="2"/>
      <c r="HY123" s="2"/>
      <c r="HZ123" s="2"/>
      <c r="IA123" s="2"/>
      <c r="IB123" s="2"/>
      <c r="IC123" s="2"/>
      <c r="ID123" s="2"/>
      <c r="IE123" s="2"/>
      <c r="IF123" s="2"/>
      <c r="IG123" s="2"/>
      <c r="IH123" s="2"/>
      <c r="II123" s="2"/>
      <c r="IJ123" s="2"/>
      <c r="IK123" s="2">
        <v>0</v>
      </c>
      <c r="IL123" s="2"/>
      <c r="IM123" s="2"/>
      <c r="IN123" s="2"/>
      <c r="IO123" s="2"/>
      <c r="IP123" s="2"/>
      <c r="IQ123" s="2"/>
      <c r="IR123" s="2"/>
      <c r="IS123" s="2"/>
      <c r="IT123" s="2"/>
      <c r="IU123" s="2"/>
    </row>
    <row r="124" spans="1:255" x14ac:dyDescent="0.25">
      <c r="A124" s="3">
        <v>17</v>
      </c>
      <c r="B124" s="3">
        <v>1</v>
      </c>
      <c r="E124" s="3" t="s">
        <v>3</v>
      </c>
      <c r="F124" s="3" t="s">
        <v>201</v>
      </c>
      <c r="G124" s="3" t="s">
        <v>202</v>
      </c>
      <c r="H124" s="3" t="s">
        <v>152</v>
      </c>
      <c r="I124" s="3">
        <v>2</v>
      </c>
      <c r="J124" s="3">
        <v>0</v>
      </c>
      <c r="K124" s="3">
        <v>2</v>
      </c>
      <c r="O124" s="3">
        <f t="shared" si="104"/>
        <v>84584.91</v>
      </c>
      <c r="P124" s="3">
        <f t="shared" si="105"/>
        <v>84584.91</v>
      </c>
      <c r="Q124" s="3">
        <f>(ROUND((ROUND(((ET124)*AV124*I124),2)*BB124),2)+ROUND((ROUND(((AE124-(EU124))*AV124*I124),2)*BS124),2))</f>
        <v>0</v>
      </c>
      <c r="R124" s="3">
        <f>(ROUND((ROUND(((EU124)*AV124*I124),2)*BS124),2)+ROUND((ROUND(((AE124-(EU124))*AV124*I124),2)*BS124),2))</f>
        <v>0</v>
      </c>
      <c r="S124" s="3">
        <f t="shared" si="106"/>
        <v>0</v>
      </c>
      <c r="T124" s="3">
        <f t="shared" si="107"/>
        <v>0</v>
      </c>
      <c r="U124" s="3">
        <f t="shared" si="108"/>
        <v>0</v>
      </c>
      <c r="V124" s="3">
        <f t="shared" si="109"/>
        <v>0</v>
      </c>
      <c r="W124" s="3">
        <f t="shared" si="110"/>
        <v>0</v>
      </c>
      <c r="X124" s="3">
        <f>(ROUND((((S124+ROUND((ROUND(((EU124)*AV124*I124),2)*BS124),2))*AT124)/100),2)+ROUND(((ROUND((ROUND(((AE124-(EU124))*AV124*I124),2)*BS124),2)*AT124)/100),2))</f>
        <v>0</v>
      </c>
      <c r="Y124" s="3">
        <f>(ROUND((((S124+ROUND((ROUND(((EU124)*AV124*I124),2)*BS124),2))*AU124)/100),2)+ROUND(((ROUND((ROUND(((AE124-(EU124))*AV124*I124),2)*BS124),2)*AU124)/100),2))</f>
        <v>0</v>
      </c>
      <c r="AA124" s="3">
        <v>-1</v>
      </c>
      <c r="AB124" s="3">
        <f t="shared" si="111"/>
        <v>5586.85</v>
      </c>
      <c r="AC124" s="3">
        <f>ROUND((ES124),6)</f>
        <v>5586.85</v>
      </c>
      <c r="AD124" s="3">
        <f>ROUND((((ET124)-(EU124))+AE124),6)</f>
        <v>0</v>
      </c>
      <c r="AE124" s="3">
        <f t="shared" si="129"/>
        <v>0</v>
      </c>
      <c r="AF124" s="3">
        <f t="shared" si="129"/>
        <v>0</v>
      </c>
      <c r="AG124" s="3">
        <f t="shared" si="112"/>
        <v>0</v>
      </c>
      <c r="AH124" s="3">
        <f t="shared" si="130"/>
        <v>0</v>
      </c>
      <c r="AI124" s="3">
        <f t="shared" si="130"/>
        <v>0</v>
      </c>
      <c r="AJ124" s="3">
        <f t="shared" si="113"/>
        <v>0</v>
      </c>
      <c r="AK124" s="3">
        <v>5586.85</v>
      </c>
      <c r="AL124" s="3">
        <v>5586.85</v>
      </c>
      <c r="AM124" s="3">
        <v>0</v>
      </c>
      <c r="AN124" s="3">
        <v>0</v>
      </c>
      <c r="AO124" s="3">
        <v>0</v>
      </c>
      <c r="AP124" s="3">
        <v>0</v>
      </c>
      <c r="AQ124" s="3">
        <v>0</v>
      </c>
      <c r="AR124" s="3">
        <v>0</v>
      </c>
      <c r="AS124" s="3">
        <v>0</v>
      </c>
      <c r="AT124" s="3">
        <v>0</v>
      </c>
      <c r="AU124" s="3">
        <v>0</v>
      </c>
      <c r="AV124" s="3">
        <v>1</v>
      </c>
      <c r="AW124" s="3">
        <v>1</v>
      </c>
      <c r="AZ124" s="3">
        <v>1</v>
      </c>
      <c r="BA124" s="3">
        <v>1</v>
      </c>
      <c r="BB124" s="3">
        <v>1</v>
      </c>
      <c r="BC124" s="3">
        <v>7.57</v>
      </c>
      <c r="BD124" s="3" t="s">
        <v>3</v>
      </c>
      <c r="BE124" s="3" t="s">
        <v>3</v>
      </c>
      <c r="BF124" s="3" t="s">
        <v>3</v>
      </c>
      <c r="BG124" s="3" t="s">
        <v>3</v>
      </c>
      <c r="BH124" s="3">
        <v>3</v>
      </c>
      <c r="BI124" s="3">
        <v>3</v>
      </c>
      <c r="BJ124" s="3" t="s">
        <v>201</v>
      </c>
      <c r="BM124" s="3">
        <v>400007</v>
      </c>
      <c r="BN124" s="3">
        <v>0</v>
      </c>
      <c r="BO124" s="3" t="s">
        <v>3</v>
      </c>
      <c r="BP124" s="3">
        <v>0</v>
      </c>
      <c r="BQ124" s="3">
        <v>214</v>
      </c>
      <c r="BR124" s="3">
        <v>0</v>
      </c>
      <c r="BS124" s="3">
        <v>1</v>
      </c>
      <c r="BT124" s="3">
        <v>1</v>
      </c>
      <c r="BU124" s="3">
        <v>1</v>
      </c>
      <c r="BV124" s="3">
        <v>1</v>
      </c>
      <c r="BW124" s="3">
        <v>1</v>
      </c>
      <c r="BX124" s="3">
        <v>1</v>
      </c>
      <c r="BY124" s="3" t="s">
        <v>3</v>
      </c>
      <c r="BZ124" s="3">
        <v>0</v>
      </c>
      <c r="CA124" s="3">
        <v>0</v>
      </c>
      <c r="CB124" s="3" t="s">
        <v>3</v>
      </c>
      <c r="CE124" s="3">
        <v>1566</v>
      </c>
      <c r="CF124" s="3">
        <v>0</v>
      </c>
      <c r="CG124" s="3">
        <v>0</v>
      </c>
      <c r="CM124" s="3">
        <v>0</v>
      </c>
      <c r="CN124" s="3" t="s">
        <v>3</v>
      </c>
      <c r="CO124" s="3">
        <v>0</v>
      </c>
      <c r="CP124" s="3">
        <f t="shared" si="114"/>
        <v>84584.91</v>
      </c>
      <c r="CQ124" s="3">
        <f t="shared" si="115"/>
        <v>42292.45</v>
      </c>
      <c r="CR124" s="3">
        <f>(ROUND((ROUND(((ET124)*AV124*1),2)*BB124),2)+ROUND((ROUND(((AE124-(EU124))*AV124*1),2)*BS124),2))</f>
        <v>0</v>
      </c>
      <c r="CS124" s="3">
        <f>(ROUND((ROUND(((EU124)*AV124*1),2)*BS124),2)+ROUND((ROUND(((AE124-(EU124))*AV124*1),2)*BS124),2))</f>
        <v>0</v>
      </c>
      <c r="CT124" s="3">
        <f t="shared" si="116"/>
        <v>0</v>
      </c>
      <c r="CU124" s="3">
        <f t="shared" si="117"/>
        <v>0</v>
      </c>
      <c r="CV124" s="3">
        <f t="shared" si="118"/>
        <v>0</v>
      </c>
      <c r="CW124" s="3">
        <f t="shared" si="119"/>
        <v>0</v>
      </c>
      <c r="CX124" s="3">
        <f t="shared" si="120"/>
        <v>0</v>
      </c>
      <c r="CY124" s="3">
        <f>(ROUND((((S124+ROUND((ROUND(((EU124)*AV124*1),2)*BS124),2))*AT124)/100),2)+ROUND(((ROUND((ROUND(((AE124-(EU124))*AV124*1),2)*BS124),2)*AT124)/100),2))</f>
        <v>0</v>
      </c>
      <c r="CZ124" s="3">
        <f>(ROUND((((S124+ROUND((ROUND(((EU124)*AV124*1),2)*BS124),2))*AU124)/100),2)+ROUND(((ROUND((ROUND(((AE124-(EU124))*AV124*1),2)*BS124),2)*AU124)/100),2))</f>
        <v>0</v>
      </c>
      <c r="DC124" s="3" t="s">
        <v>3</v>
      </c>
      <c r="DD124" s="3" t="s">
        <v>3</v>
      </c>
      <c r="DE124" s="3" t="s">
        <v>3</v>
      </c>
      <c r="DF124" s="3" t="s">
        <v>3</v>
      </c>
      <c r="DG124" s="3" t="s">
        <v>3</v>
      </c>
      <c r="DH124" s="3" t="s">
        <v>3</v>
      </c>
      <c r="DI124" s="3" t="s">
        <v>3</v>
      </c>
      <c r="DJ124" s="3" t="s">
        <v>3</v>
      </c>
      <c r="DK124" s="3" t="s">
        <v>3</v>
      </c>
      <c r="DL124" s="3" t="s">
        <v>3</v>
      </c>
      <c r="DM124" s="3" t="s">
        <v>3</v>
      </c>
      <c r="DN124" s="3">
        <v>0</v>
      </c>
      <c r="DO124" s="3">
        <v>0</v>
      </c>
      <c r="DP124" s="3">
        <v>1</v>
      </c>
      <c r="DQ124" s="3">
        <v>1</v>
      </c>
      <c r="DU124" s="3">
        <v>1013</v>
      </c>
      <c r="DV124" s="3" t="s">
        <v>152</v>
      </c>
      <c r="DW124" s="3" t="s">
        <v>152</v>
      </c>
      <c r="DX124" s="3">
        <v>1</v>
      </c>
      <c r="DZ124" s="3" t="s">
        <v>3</v>
      </c>
      <c r="EA124" s="3" t="s">
        <v>3</v>
      </c>
      <c r="EB124" s="3" t="s">
        <v>3</v>
      </c>
      <c r="EC124" s="3" t="s">
        <v>3</v>
      </c>
      <c r="EE124" s="3">
        <v>57042890</v>
      </c>
      <c r="EF124" s="3">
        <v>214</v>
      </c>
      <c r="EG124" s="3" t="s">
        <v>153</v>
      </c>
      <c r="EH124" s="3">
        <v>0</v>
      </c>
      <c r="EI124" s="3" t="s">
        <v>3</v>
      </c>
      <c r="EJ124" s="3">
        <v>3</v>
      </c>
      <c r="EK124" s="3">
        <v>400007</v>
      </c>
      <c r="EL124" s="3" t="s">
        <v>153</v>
      </c>
      <c r="EM124" s="3" t="s">
        <v>154</v>
      </c>
      <c r="EO124" s="3" t="s">
        <v>3</v>
      </c>
      <c r="EQ124" s="3">
        <v>1040</v>
      </c>
      <c r="ER124" s="3">
        <v>0</v>
      </c>
      <c r="ES124" s="3">
        <v>5586.85</v>
      </c>
      <c r="ET124" s="3">
        <v>0</v>
      </c>
      <c r="EU124" s="3">
        <v>0</v>
      </c>
      <c r="EV124" s="3">
        <v>0</v>
      </c>
      <c r="EW124" s="3">
        <v>0</v>
      </c>
      <c r="EX124" s="3">
        <v>0</v>
      </c>
      <c r="EY124" s="3">
        <v>0</v>
      </c>
      <c r="EZ124" s="3">
        <v>5</v>
      </c>
      <c r="FC124" s="3">
        <v>1</v>
      </c>
      <c r="FD124" s="3">
        <v>18</v>
      </c>
      <c r="FF124" s="3">
        <v>49500</v>
      </c>
      <c r="FQ124" s="3">
        <v>0</v>
      </c>
      <c r="FR124" s="3">
        <f>P124</f>
        <v>84584.91</v>
      </c>
      <c r="FS124" s="3">
        <v>0</v>
      </c>
      <c r="FX124" s="3">
        <v>0</v>
      </c>
      <c r="FY124" s="3">
        <v>0</v>
      </c>
      <c r="GA124" s="3" t="s">
        <v>203</v>
      </c>
      <c r="GD124" s="3">
        <v>1</v>
      </c>
      <c r="GF124" s="3">
        <v>802512330</v>
      </c>
      <c r="GG124" s="3">
        <v>2</v>
      </c>
      <c r="GH124" s="3">
        <v>3</v>
      </c>
      <c r="GI124" s="3">
        <v>5</v>
      </c>
      <c r="GJ124" s="3">
        <v>0</v>
      </c>
      <c r="GK124" s="3">
        <v>0</v>
      </c>
      <c r="GL124" s="3">
        <f t="shared" si="121"/>
        <v>0</v>
      </c>
      <c r="GM124" s="3">
        <f t="shared" si="122"/>
        <v>84584.91</v>
      </c>
      <c r="GN124" s="3">
        <f t="shared" si="123"/>
        <v>0</v>
      </c>
      <c r="GO124" s="3">
        <f t="shared" si="124"/>
        <v>0</v>
      </c>
      <c r="GP124" s="3">
        <f t="shared" si="125"/>
        <v>0</v>
      </c>
      <c r="GR124" s="3">
        <v>1</v>
      </c>
      <c r="GS124" s="3">
        <v>1</v>
      </c>
      <c r="GT124" s="3">
        <v>0</v>
      </c>
      <c r="GU124" s="3" t="s">
        <v>3</v>
      </c>
      <c r="GV124" s="3">
        <f t="shared" si="126"/>
        <v>0</v>
      </c>
      <c r="GW124" s="3">
        <v>1</v>
      </c>
      <c r="GX124" s="3">
        <f t="shared" si="127"/>
        <v>0</v>
      </c>
      <c r="HA124" s="3">
        <v>0</v>
      </c>
      <c r="HB124" s="3">
        <v>0</v>
      </c>
      <c r="HC124" s="3">
        <f t="shared" si="128"/>
        <v>0</v>
      </c>
      <c r="HE124" s="3" t="s">
        <v>39</v>
      </c>
      <c r="HF124" s="3" t="s">
        <v>156</v>
      </c>
      <c r="HM124" s="3" t="s">
        <v>3</v>
      </c>
      <c r="HN124" s="3" t="s">
        <v>3</v>
      </c>
      <c r="HO124" s="3" t="s">
        <v>3</v>
      </c>
      <c r="HP124" s="3" t="s">
        <v>3</v>
      </c>
      <c r="HQ124" s="3" t="s">
        <v>3</v>
      </c>
      <c r="HS124" s="3">
        <v>0</v>
      </c>
      <c r="IK124" s="3">
        <v>0</v>
      </c>
    </row>
    <row r="125" spans="1:255" x14ac:dyDescent="0.25">
      <c r="A125" s="2">
        <v>17</v>
      </c>
      <c r="B125" s="2">
        <v>1</v>
      </c>
      <c r="C125" s="2">
        <f>ROW(SmtRes!A155)</f>
        <v>155</v>
      </c>
      <c r="D125" s="2">
        <f>ROW(EtalonRes!A202)</f>
        <v>202</v>
      </c>
      <c r="E125" s="2" t="s">
        <v>204</v>
      </c>
      <c r="F125" s="2" t="s">
        <v>205</v>
      </c>
      <c r="G125" s="2" t="s">
        <v>206</v>
      </c>
      <c r="H125" s="2" t="s">
        <v>27</v>
      </c>
      <c r="I125" s="2">
        <v>1</v>
      </c>
      <c r="J125" s="2">
        <v>0</v>
      </c>
      <c r="K125" s="2">
        <v>1</v>
      </c>
      <c r="L125" s="2"/>
      <c r="M125" s="2"/>
      <c r="N125" s="2"/>
      <c r="O125" s="2">
        <f t="shared" si="104"/>
        <v>86.85</v>
      </c>
      <c r="P125" s="2">
        <f t="shared" si="105"/>
        <v>2.67</v>
      </c>
      <c r="Q125" s="2">
        <f>(ROUND((ROUND((((ET125*1.2))*AV125*I125),2)*BB125),2)+ROUND((ROUND(((AE125-((EU125*1.2)))*AV125*I125),2)*BS125),2))</f>
        <v>0.13</v>
      </c>
      <c r="R125" s="2">
        <f>(ROUND((ROUND((((EU125*1.2))*AV125*I125),2)*BS125),2)+ROUND((ROUND(((AE125-((EU125*1.2)))*AV125*I125),2)*BS125),2))</f>
        <v>0</v>
      </c>
      <c r="S125" s="2">
        <f t="shared" si="106"/>
        <v>84.05</v>
      </c>
      <c r="T125" s="2">
        <f t="shared" si="107"/>
        <v>0</v>
      </c>
      <c r="U125" s="2">
        <f t="shared" si="108"/>
        <v>6.282</v>
      </c>
      <c r="V125" s="2">
        <f t="shared" si="109"/>
        <v>0</v>
      </c>
      <c r="W125" s="2">
        <f t="shared" si="110"/>
        <v>0</v>
      </c>
      <c r="X125" s="2">
        <f>(ROUND((((S125+ROUND((ROUND((((EU125*1.2))*AV125*I125),2)*BS125),2))*AT125)/100),2)+ROUND(((ROUND((ROUND(((AE125-((EU125*1.2)))*AV125*I125),2)*BS125),2)*AT125)/100),2))</f>
        <v>75.650000000000006</v>
      </c>
      <c r="Y125" s="2">
        <f>(ROUND((((S125+ROUND((ROUND((((EU125*1.2))*AV125*I125),2)*BS125),2))*AU125)/100),2)+ROUND(((ROUND((ROUND(((AE125-((EU125*1.2)))*AV125*I125),2)*BS125),2)*AU125)/100),2))</f>
        <v>38.659999999999997</v>
      </c>
      <c r="Z125" s="2"/>
      <c r="AA125" s="2">
        <v>57014138</v>
      </c>
      <c r="AB125" s="2">
        <f t="shared" si="111"/>
        <v>83.07</v>
      </c>
      <c r="AC125" s="2">
        <f>ROUND(((ES125*1)),6)</f>
        <v>2.67</v>
      </c>
      <c r="AD125" s="2">
        <f>ROUND(((((ET125*1.2))-((EU125*1.2)))+AE125),6)</f>
        <v>0.12</v>
      </c>
      <c r="AE125" s="2">
        <f t="shared" ref="AE125:AF128" si="131">ROUND(((EU125*1.2)),6)</f>
        <v>0</v>
      </c>
      <c r="AF125" s="2">
        <f t="shared" si="131"/>
        <v>80.28</v>
      </c>
      <c r="AG125" s="2">
        <f t="shared" si="112"/>
        <v>0</v>
      </c>
      <c r="AH125" s="2">
        <f t="shared" ref="AH125:AI128" si="132">((EW125*1.2))</f>
        <v>6</v>
      </c>
      <c r="AI125" s="2">
        <f t="shared" si="132"/>
        <v>0</v>
      </c>
      <c r="AJ125" s="2">
        <f t="shared" si="113"/>
        <v>0</v>
      </c>
      <c r="AK125" s="2">
        <v>69.67</v>
      </c>
      <c r="AL125" s="2">
        <v>2.67</v>
      </c>
      <c r="AM125" s="2">
        <v>0.1</v>
      </c>
      <c r="AN125" s="2">
        <v>0</v>
      </c>
      <c r="AO125" s="2">
        <v>66.900000000000006</v>
      </c>
      <c r="AP125" s="2">
        <v>0</v>
      </c>
      <c r="AQ125" s="2">
        <v>5</v>
      </c>
      <c r="AR125" s="2">
        <v>0</v>
      </c>
      <c r="AS125" s="2">
        <v>0</v>
      </c>
      <c r="AT125" s="2">
        <v>90</v>
      </c>
      <c r="AU125" s="2">
        <v>46</v>
      </c>
      <c r="AV125" s="2">
        <v>1.0469999999999999</v>
      </c>
      <c r="AW125" s="2">
        <v>1</v>
      </c>
      <c r="AX125" s="2"/>
      <c r="AY125" s="2"/>
      <c r="AZ125" s="2">
        <v>1</v>
      </c>
      <c r="BA125" s="2">
        <v>1</v>
      </c>
      <c r="BB125" s="2">
        <v>1</v>
      </c>
      <c r="BC125" s="2">
        <v>1</v>
      </c>
      <c r="BD125" s="2" t="s">
        <v>3</v>
      </c>
      <c r="BE125" s="2" t="s">
        <v>3</v>
      </c>
      <c r="BF125" s="2" t="s">
        <v>3</v>
      </c>
      <c r="BG125" s="2" t="s">
        <v>3</v>
      </c>
      <c r="BH125" s="2">
        <v>0</v>
      </c>
      <c r="BI125" s="2">
        <v>2</v>
      </c>
      <c r="BJ125" s="2" t="s">
        <v>207</v>
      </c>
      <c r="BK125" s="2"/>
      <c r="BL125" s="2"/>
      <c r="BM125" s="2">
        <v>68</v>
      </c>
      <c r="BN125" s="2">
        <v>0</v>
      </c>
      <c r="BO125" s="2" t="s">
        <v>205</v>
      </c>
      <c r="BP125" s="2">
        <v>1</v>
      </c>
      <c r="BQ125" s="2">
        <v>40</v>
      </c>
      <c r="BR125" s="2">
        <v>0</v>
      </c>
      <c r="BS125" s="2">
        <v>1</v>
      </c>
      <c r="BT125" s="2">
        <v>1</v>
      </c>
      <c r="BU125" s="2">
        <v>1</v>
      </c>
      <c r="BV125" s="2">
        <v>1</v>
      </c>
      <c r="BW125" s="2">
        <v>1</v>
      </c>
      <c r="BX125" s="2">
        <v>1</v>
      </c>
      <c r="BY125" s="2" t="s">
        <v>3</v>
      </c>
      <c r="BZ125" s="2">
        <v>90</v>
      </c>
      <c r="CA125" s="2">
        <v>46</v>
      </c>
      <c r="CB125" s="2" t="s">
        <v>3</v>
      </c>
      <c r="CC125" s="2"/>
      <c r="CD125" s="2"/>
      <c r="CE125" s="2">
        <v>1566</v>
      </c>
      <c r="CF125" s="2">
        <v>0</v>
      </c>
      <c r="CG125" s="2">
        <v>0</v>
      </c>
      <c r="CH125" s="2"/>
      <c r="CI125" s="2"/>
      <c r="CJ125" s="2"/>
      <c r="CK125" s="2"/>
      <c r="CL125" s="2"/>
      <c r="CM125" s="2">
        <v>0</v>
      </c>
      <c r="CN125" s="2" t="s">
        <v>624</v>
      </c>
      <c r="CO125" s="2">
        <v>0</v>
      </c>
      <c r="CP125" s="2">
        <f t="shared" si="114"/>
        <v>86.85</v>
      </c>
      <c r="CQ125" s="2">
        <f t="shared" si="115"/>
        <v>2.67</v>
      </c>
      <c r="CR125" s="2">
        <f>(ROUND((ROUND((((ET125*1.2))*AV125*1),2)*BB125),2)+ROUND((ROUND(((AE125-((EU125*1.2)))*AV125*1),2)*BS125),2))</f>
        <v>0.13</v>
      </c>
      <c r="CS125" s="2">
        <f>(ROUND((ROUND((((EU125*1.2))*AV125*1),2)*BS125),2)+ROUND((ROUND(((AE125-((EU125*1.2)))*AV125*1),2)*BS125),2))</f>
        <v>0</v>
      </c>
      <c r="CT125" s="2">
        <f t="shared" si="116"/>
        <v>84.05</v>
      </c>
      <c r="CU125" s="2">
        <f t="shared" si="117"/>
        <v>0</v>
      </c>
      <c r="CV125" s="2">
        <f t="shared" si="118"/>
        <v>6.282</v>
      </c>
      <c r="CW125" s="2">
        <f t="shared" si="119"/>
        <v>0</v>
      </c>
      <c r="CX125" s="2">
        <f t="shared" si="120"/>
        <v>0</v>
      </c>
      <c r="CY125" s="2">
        <f>(ROUND((((S125+ROUND((ROUND((((EU125*1.2))*AV125*1),2)*BS125),2))*AT125)/100),2)+ROUND(((ROUND((ROUND(((AE125-((EU125*1.2)))*AV125*1),2)*BS125),2)*AT125)/100),2))</f>
        <v>75.650000000000006</v>
      </c>
      <c r="CZ125" s="2">
        <f>(ROUND((((S125+ROUND((ROUND((((EU125*1.2))*AV125*1),2)*BS125),2))*AU125)/100),2)+ROUND(((ROUND((ROUND(((AE125-((EU125*1.2)))*AV125*1),2)*BS125),2)*AU125)/100),2))</f>
        <v>38.659999999999997</v>
      </c>
      <c r="DA125" s="2"/>
      <c r="DB125" s="2">
        <v>65</v>
      </c>
      <c r="DC125" s="2" t="s">
        <v>3</v>
      </c>
      <c r="DD125" s="2" t="s">
        <v>70</v>
      </c>
      <c r="DE125" s="2" t="s">
        <v>71</v>
      </c>
      <c r="DF125" s="2" t="s">
        <v>71</v>
      </c>
      <c r="DG125" s="2" t="s">
        <v>71</v>
      </c>
      <c r="DH125" s="2" t="s">
        <v>3</v>
      </c>
      <c r="DI125" s="2" t="s">
        <v>71</v>
      </c>
      <c r="DJ125" s="2" t="s">
        <v>71</v>
      </c>
      <c r="DK125" s="2" t="s">
        <v>3</v>
      </c>
      <c r="DL125" s="2" t="s">
        <v>3</v>
      </c>
      <c r="DM125" s="2" t="s">
        <v>3</v>
      </c>
      <c r="DN125" s="2">
        <v>0</v>
      </c>
      <c r="DO125" s="2">
        <v>0</v>
      </c>
      <c r="DP125" s="2">
        <v>1</v>
      </c>
      <c r="DQ125" s="2">
        <v>1</v>
      </c>
      <c r="DR125" s="2"/>
      <c r="DS125" s="2"/>
      <c r="DT125" s="2"/>
      <c r="DU125" s="2">
        <v>1013</v>
      </c>
      <c r="DV125" s="2" t="s">
        <v>27</v>
      </c>
      <c r="DW125" s="2" t="s">
        <v>27</v>
      </c>
      <c r="DX125" s="2">
        <v>1</v>
      </c>
      <c r="DY125" s="2"/>
      <c r="DZ125" s="2" t="s">
        <v>3</v>
      </c>
      <c r="EA125" s="2" t="s">
        <v>3</v>
      </c>
      <c r="EB125" s="2" t="s">
        <v>3</v>
      </c>
      <c r="EC125" s="2" t="s">
        <v>3</v>
      </c>
      <c r="ED125" s="2"/>
      <c r="EE125" s="2">
        <v>57042958</v>
      </c>
      <c r="EF125" s="2">
        <v>40</v>
      </c>
      <c r="EG125" s="2" t="s">
        <v>31</v>
      </c>
      <c r="EH125" s="2">
        <v>0</v>
      </c>
      <c r="EI125" s="2" t="s">
        <v>3</v>
      </c>
      <c r="EJ125" s="2">
        <v>2</v>
      </c>
      <c r="EK125" s="2">
        <v>68</v>
      </c>
      <c r="EL125" s="2" t="s">
        <v>32</v>
      </c>
      <c r="EM125" s="2" t="s">
        <v>33</v>
      </c>
      <c r="EN125" s="2"/>
      <c r="EO125" s="2" t="s">
        <v>75</v>
      </c>
      <c r="EP125" s="2"/>
      <c r="EQ125" s="2">
        <v>0</v>
      </c>
      <c r="ER125" s="2">
        <v>69.67</v>
      </c>
      <c r="ES125" s="2">
        <v>2.67</v>
      </c>
      <c r="ET125" s="2">
        <v>0.1</v>
      </c>
      <c r="EU125" s="2">
        <v>0</v>
      </c>
      <c r="EV125" s="2">
        <v>66.900000000000006</v>
      </c>
      <c r="EW125" s="2">
        <v>5</v>
      </c>
      <c r="EX125" s="2">
        <v>0</v>
      </c>
      <c r="EY125" s="2">
        <v>0</v>
      </c>
      <c r="EZ125" s="2"/>
      <c r="FA125" s="2"/>
      <c r="FB125" s="2"/>
      <c r="FC125" s="2"/>
      <c r="FD125" s="2"/>
      <c r="FE125" s="2"/>
      <c r="FF125" s="2"/>
      <c r="FG125" s="2"/>
      <c r="FH125" s="2"/>
      <c r="FI125" s="2"/>
      <c r="FJ125" s="2"/>
      <c r="FK125" s="2"/>
      <c r="FL125" s="2"/>
      <c r="FM125" s="2"/>
      <c r="FN125" s="2"/>
      <c r="FO125" s="2"/>
      <c r="FP125" s="2"/>
      <c r="FQ125" s="2">
        <v>0</v>
      </c>
      <c r="FR125" s="2">
        <v>0</v>
      </c>
      <c r="FS125" s="2">
        <v>0</v>
      </c>
      <c r="FT125" s="2"/>
      <c r="FU125" s="2"/>
      <c r="FV125" s="2"/>
      <c r="FW125" s="2"/>
      <c r="FX125" s="2">
        <v>90</v>
      </c>
      <c r="FY125" s="2">
        <v>46</v>
      </c>
      <c r="FZ125" s="2"/>
      <c r="GA125" s="2" t="s">
        <v>3</v>
      </c>
      <c r="GB125" s="2"/>
      <c r="GC125" s="2"/>
      <c r="GD125" s="2">
        <v>1</v>
      </c>
      <c r="GE125" s="2"/>
      <c r="GF125" s="2">
        <v>2020905601</v>
      </c>
      <c r="GG125" s="2">
        <v>2</v>
      </c>
      <c r="GH125" s="2">
        <v>1</v>
      </c>
      <c r="GI125" s="2">
        <v>2</v>
      </c>
      <c r="GJ125" s="2">
        <v>0</v>
      </c>
      <c r="GK125" s="2">
        <v>0</v>
      </c>
      <c r="GL125" s="2">
        <f t="shared" si="121"/>
        <v>0</v>
      </c>
      <c r="GM125" s="2">
        <f t="shared" si="122"/>
        <v>201.16</v>
      </c>
      <c r="GN125" s="2">
        <f t="shared" si="123"/>
        <v>0</v>
      </c>
      <c r="GO125" s="2">
        <f t="shared" si="124"/>
        <v>201.16</v>
      </c>
      <c r="GP125" s="2">
        <f t="shared" si="125"/>
        <v>0</v>
      </c>
      <c r="GQ125" s="2"/>
      <c r="GR125" s="2">
        <v>0</v>
      </c>
      <c r="GS125" s="2">
        <v>3</v>
      </c>
      <c r="GT125" s="2">
        <v>0</v>
      </c>
      <c r="GU125" s="2" t="s">
        <v>3</v>
      </c>
      <c r="GV125" s="2">
        <f t="shared" si="126"/>
        <v>0</v>
      </c>
      <c r="GW125" s="2">
        <v>1</v>
      </c>
      <c r="GX125" s="2">
        <f t="shared" si="127"/>
        <v>0</v>
      </c>
      <c r="GY125" s="2"/>
      <c r="GZ125" s="2"/>
      <c r="HA125" s="2">
        <v>0</v>
      </c>
      <c r="HB125" s="2">
        <v>0</v>
      </c>
      <c r="HC125" s="2">
        <f t="shared" si="128"/>
        <v>0</v>
      </c>
      <c r="HD125" s="2"/>
      <c r="HE125" s="2" t="s">
        <v>3</v>
      </c>
      <c r="HF125" s="2" t="s">
        <v>3</v>
      </c>
      <c r="HG125" s="2"/>
      <c r="HH125" s="2"/>
      <c r="HI125" s="2"/>
      <c r="HJ125" s="2"/>
      <c r="HK125" s="2"/>
      <c r="HL125" s="2"/>
      <c r="HM125" s="2" t="s">
        <v>3</v>
      </c>
      <c r="HN125" s="2" t="s">
        <v>3</v>
      </c>
      <c r="HO125" s="2" t="s">
        <v>3</v>
      </c>
      <c r="HP125" s="2" t="s">
        <v>3</v>
      </c>
      <c r="HQ125" s="2" t="s">
        <v>3</v>
      </c>
      <c r="HR125" s="2"/>
      <c r="HS125" s="2">
        <v>0</v>
      </c>
      <c r="HT125" s="2"/>
      <c r="HU125" s="2"/>
      <c r="HV125" s="2"/>
      <c r="HW125" s="2"/>
      <c r="HX125" s="2"/>
      <c r="HY125" s="2"/>
      <c r="HZ125" s="2"/>
      <c r="IA125" s="2"/>
      <c r="IB125" s="2"/>
      <c r="IC125" s="2"/>
      <c r="ID125" s="2"/>
      <c r="IE125" s="2"/>
      <c r="IF125" s="2"/>
      <c r="IG125" s="2"/>
      <c r="IH125" s="2"/>
      <c r="II125" s="2"/>
      <c r="IJ125" s="2"/>
      <c r="IK125" s="2">
        <v>0</v>
      </c>
      <c r="IL125" s="2"/>
      <c r="IM125" s="2"/>
      <c r="IN125" s="2"/>
      <c r="IO125" s="2"/>
      <c r="IP125" s="2"/>
      <c r="IQ125" s="2"/>
      <c r="IR125" s="2"/>
      <c r="IS125" s="2"/>
      <c r="IT125" s="2"/>
      <c r="IU125" s="2"/>
    </row>
    <row r="126" spans="1:255" x14ac:dyDescent="0.25">
      <c r="A126" s="3">
        <v>17</v>
      </c>
      <c r="B126" s="3">
        <v>1</v>
      </c>
      <c r="C126" s="3">
        <f>ROW(SmtRes!A158)</f>
        <v>158</v>
      </c>
      <c r="D126" s="3">
        <f>ROW(EtalonRes!A206)</f>
        <v>206</v>
      </c>
      <c r="E126" s="3" t="s">
        <v>204</v>
      </c>
      <c r="F126" s="3" t="s">
        <v>205</v>
      </c>
      <c r="G126" s="3" t="s">
        <v>206</v>
      </c>
      <c r="H126" s="3" t="s">
        <v>27</v>
      </c>
      <c r="I126" s="3">
        <v>1</v>
      </c>
      <c r="J126" s="3">
        <v>0</v>
      </c>
      <c r="K126" s="3">
        <v>1</v>
      </c>
      <c r="O126" s="3">
        <f t="shared" si="104"/>
        <v>4739.97</v>
      </c>
      <c r="P126" s="3">
        <f t="shared" si="105"/>
        <v>2.48</v>
      </c>
      <c r="Q126" s="3">
        <f>(ROUND((ROUND((((ET126*1.2))*AV126*I126),2)*BB126),2)+ROUND((ROUND(((AE126-((EU126*1.2)))*AV126*I126),2)*BS126),2))</f>
        <v>1.27</v>
      </c>
      <c r="R126" s="3">
        <f>(ROUND((ROUND((((EU126*1.2))*AV126*I126),2)*BS126),2)+ROUND((ROUND(((AE126-((EU126*1.2)))*AV126*I126),2)*BS126),2))</f>
        <v>0</v>
      </c>
      <c r="S126" s="3">
        <f t="shared" si="106"/>
        <v>4736.22</v>
      </c>
      <c r="T126" s="3">
        <f t="shared" si="107"/>
        <v>0</v>
      </c>
      <c r="U126" s="3">
        <f t="shared" si="108"/>
        <v>6.282</v>
      </c>
      <c r="V126" s="3">
        <f t="shared" si="109"/>
        <v>0</v>
      </c>
      <c r="W126" s="3">
        <f t="shared" si="110"/>
        <v>0</v>
      </c>
      <c r="X126" s="3">
        <f>(ROUND((((S126+ROUND((ROUND((((EU126*1.2))*AV126*I126),2)*BS126),2))*AT126)/100),2)+ROUND(((ROUND((ROUND(((AE126-((EU126*1.2)))*AV126*I126),2)*BS126),2)*AT126)/100),2))</f>
        <v>4262.6000000000004</v>
      </c>
      <c r="Y126" s="3">
        <f>(ROUND((((S126+ROUND((ROUND((((EU126*1.2))*AV126*I126),2)*BS126),2))*AU126)/100),2)+ROUND(((ROUND((ROUND(((AE126-((EU126*1.2)))*AV126*I126),2)*BS126),2)*AU126)/100),2))</f>
        <v>2178.66</v>
      </c>
      <c r="AA126" s="3">
        <v>57014140</v>
      </c>
      <c r="AB126" s="3">
        <f t="shared" si="111"/>
        <v>83.07</v>
      </c>
      <c r="AC126" s="3">
        <f>ROUND(((ES126*1)),6)</f>
        <v>2.67</v>
      </c>
      <c r="AD126" s="3">
        <f>ROUND(((((ET126*1.2))-((EU126*1.2)))+AE126),6)</f>
        <v>0.12</v>
      </c>
      <c r="AE126" s="3">
        <f t="shared" si="131"/>
        <v>0</v>
      </c>
      <c r="AF126" s="3">
        <f t="shared" si="131"/>
        <v>80.28</v>
      </c>
      <c r="AG126" s="3">
        <f t="shared" si="112"/>
        <v>0</v>
      </c>
      <c r="AH126" s="3">
        <f t="shared" si="132"/>
        <v>6</v>
      </c>
      <c r="AI126" s="3">
        <f t="shared" si="132"/>
        <v>0</v>
      </c>
      <c r="AJ126" s="3">
        <f t="shared" si="113"/>
        <v>0</v>
      </c>
      <c r="AK126" s="3">
        <v>69.67</v>
      </c>
      <c r="AL126" s="3">
        <v>2.67</v>
      </c>
      <c r="AM126" s="3">
        <v>0.1</v>
      </c>
      <c r="AN126" s="3">
        <v>0</v>
      </c>
      <c r="AO126" s="3">
        <v>66.900000000000006</v>
      </c>
      <c r="AP126" s="3">
        <v>0</v>
      </c>
      <c r="AQ126" s="3">
        <v>5</v>
      </c>
      <c r="AR126" s="3">
        <v>0</v>
      </c>
      <c r="AS126" s="3">
        <v>0</v>
      </c>
      <c r="AT126" s="3">
        <v>90</v>
      </c>
      <c r="AU126" s="3">
        <v>46</v>
      </c>
      <c r="AV126" s="3">
        <v>1.0469999999999999</v>
      </c>
      <c r="AW126" s="3">
        <v>1</v>
      </c>
      <c r="AZ126" s="3">
        <v>1</v>
      </c>
      <c r="BA126" s="3">
        <v>56.35</v>
      </c>
      <c r="BB126" s="3">
        <v>9.8000000000000007</v>
      </c>
      <c r="BC126" s="3">
        <v>0.93</v>
      </c>
      <c r="BD126" s="3" t="s">
        <v>3</v>
      </c>
      <c r="BE126" s="3" t="s">
        <v>3</v>
      </c>
      <c r="BF126" s="3" t="s">
        <v>3</v>
      </c>
      <c r="BG126" s="3" t="s">
        <v>3</v>
      </c>
      <c r="BH126" s="3">
        <v>0</v>
      </c>
      <c r="BI126" s="3">
        <v>2</v>
      </c>
      <c r="BJ126" s="3" t="s">
        <v>207</v>
      </c>
      <c r="BM126" s="3">
        <v>68</v>
      </c>
      <c r="BN126" s="3">
        <v>0</v>
      </c>
      <c r="BO126" s="3" t="s">
        <v>205</v>
      </c>
      <c r="BP126" s="3">
        <v>1</v>
      </c>
      <c r="BQ126" s="3">
        <v>40</v>
      </c>
      <c r="BR126" s="3">
        <v>0</v>
      </c>
      <c r="BS126" s="3">
        <v>56.35</v>
      </c>
      <c r="BT126" s="3">
        <v>1</v>
      </c>
      <c r="BU126" s="3">
        <v>1</v>
      </c>
      <c r="BV126" s="3">
        <v>1</v>
      </c>
      <c r="BW126" s="3">
        <v>1</v>
      </c>
      <c r="BX126" s="3">
        <v>1</v>
      </c>
      <c r="BY126" s="3" t="s">
        <v>3</v>
      </c>
      <c r="BZ126" s="3">
        <v>90</v>
      </c>
      <c r="CA126" s="3">
        <v>46</v>
      </c>
      <c r="CB126" s="3" t="s">
        <v>3</v>
      </c>
      <c r="CE126" s="3">
        <v>1566</v>
      </c>
      <c r="CF126" s="3">
        <v>0</v>
      </c>
      <c r="CG126" s="3">
        <v>0</v>
      </c>
      <c r="CM126" s="3">
        <v>0</v>
      </c>
      <c r="CN126" s="3" t="s">
        <v>624</v>
      </c>
      <c r="CO126" s="3">
        <v>0</v>
      </c>
      <c r="CP126" s="3">
        <f t="shared" si="114"/>
        <v>4739.97</v>
      </c>
      <c r="CQ126" s="3">
        <f t="shared" si="115"/>
        <v>2.48</v>
      </c>
      <c r="CR126" s="3">
        <f>(ROUND((ROUND((((ET126*1.2))*AV126*1),2)*BB126),2)+ROUND((ROUND(((AE126-((EU126*1.2)))*AV126*1),2)*BS126),2))</f>
        <v>1.27</v>
      </c>
      <c r="CS126" s="3">
        <f>(ROUND((ROUND((((EU126*1.2))*AV126*1),2)*BS126),2)+ROUND((ROUND(((AE126-((EU126*1.2)))*AV126*1),2)*BS126),2))</f>
        <v>0</v>
      </c>
      <c r="CT126" s="3">
        <f t="shared" si="116"/>
        <v>4736.22</v>
      </c>
      <c r="CU126" s="3">
        <f t="shared" si="117"/>
        <v>0</v>
      </c>
      <c r="CV126" s="3">
        <f t="shared" si="118"/>
        <v>6.282</v>
      </c>
      <c r="CW126" s="3">
        <f t="shared" si="119"/>
        <v>0</v>
      </c>
      <c r="CX126" s="3">
        <f t="shared" si="120"/>
        <v>0</v>
      </c>
      <c r="CY126" s="3">
        <f>(ROUND((((S126+ROUND((ROUND((((EU126*1.2))*AV126*1),2)*BS126),2))*AT126)/100),2)+ROUND(((ROUND((ROUND(((AE126-((EU126*1.2)))*AV126*1),2)*BS126),2)*AT126)/100),2))</f>
        <v>4262.6000000000004</v>
      </c>
      <c r="CZ126" s="3">
        <f>(ROUND((((S126+ROUND((ROUND((((EU126*1.2))*AV126*1),2)*BS126),2))*AU126)/100),2)+ROUND(((ROUND((ROUND(((AE126-((EU126*1.2)))*AV126*1),2)*BS126),2)*AU126)/100),2))</f>
        <v>2178.66</v>
      </c>
      <c r="DB126" s="3">
        <v>66</v>
      </c>
      <c r="DC126" s="3" t="s">
        <v>3</v>
      </c>
      <c r="DD126" s="3" t="s">
        <v>70</v>
      </c>
      <c r="DE126" s="3" t="s">
        <v>71</v>
      </c>
      <c r="DF126" s="3" t="s">
        <v>71</v>
      </c>
      <c r="DG126" s="3" t="s">
        <v>71</v>
      </c>
      <c r="DH126" s="3" t="s">
        <v>3</v>
      </c>
      <c r="DI126" s="3" t="s">
        <v>71</v>
      </c>
      <c r="DJ126" s="3" t="s">
        <v>71</v>
      </c>
      <c r="DK126" s="3" t="s">
        <v>3</v>
      </c>
      <c r="DL126" s="3" t="s">
        <v>3</v>
      </c>
      <c r="DM126" s="3" t="s">
        <v>3</v>
      </c>
      <c r="DN126" s="3">
        <v>0</v>
      </c>
      <c r="DO126" s="3">
        <v>0</v>
      </c>
      <c r="DP126" s="3">
        <v>1</v>
      </c>
      <c r="DQ126" s="3">
        <v>1</v>
      </c>
      <c r="DU126" s="3">
        <v>1013</v>
      </c>
      <c r="DV126" s="3" t="s">
        <v>27</v>
      </c>
      <c r="DW126" s="3" t="s">
        <v>27</v>
      </c>
      <c r="DX126" s="3">
        <v>1</v>
      </c>
      <c r="DZ126" s="3" t="s">
        <v>3</v>
      </c>
      <c r="EA126" s="3" t="s">
        <v>3</v>
      </c>
      <c r="EB126" s="3" t="s">
        <v>3</v>
      </c>
      <c r="EC126" s="3" t="s">
        <v>3</v>
      </c>
      <c r="EE126" s="3">
        <v>57042958</v>
      </c>
      <c r="EF126" s="3">
        <v>40</v>
      </c>
      <c r="EG126" s="3" t="s">
        <v>31</v>
      </c>
      <c r="EH126" s="3">
        <v>0</v>
      </c>
      <c r="EI126" s="3" t="s">
        <v>3</v>
      </c>
      <c r="EJ126" s="3">
        <v>2</v>
      </c>
      <c r="EK126" s="3">
        <v>68</v>
      </c>
      <c r="EL126" s="3" t="s">
        <v>32</v>
      </c>
      <c r="EM126" s="3" t="s">
        <v>33</v>
      </c>
      <c r="EO126" s="3" t="s">
        <v>75</v>
      </c>
      <c r="EQ126" s="3">
        <v>0</v>
      </c>
      <c r="ER126" s="3">
        <v>69.67</v>
      </c>
      <c r="ES126" s="3">
        <v>2.67</v>
      </c>
      <c r="ET126" s="3">
        <v>0.1</v>
      </c>
      <c r="EU126" s="3">
        <v>0</v>
      </c>
      <c r="EV126" s="3">
        <v>66.900000000000006</v>
      </c>
      <c r="EW126" s="3">
        <v>5</v>
      </c>
      <c r="EX126" s="3">
        <v>0</v>
      </c>
      <c r="EY126" s="3">
        <v>0</v>
      </c>
      <c r="FQ126" s="3">
        <v>0</v>
      </c>
      <c r="FR126" s="3">
        <v>0</v>
      </c>
      <c r="FS126" s="3">
        <v>0</v>
      </c>
      <c r="FX126" s="3">
        <v>90</v>
      </c>
      <c r="FY126" s="3">
        <v>46</v>
      </c>
      <c r="GA126" s="3" t="s">
        <v>3</v>
      </c>
      <c r="GD126" s="3">
        <v>1</v>
      </c>
      <c r="GF126" s="3">
        <v>2020905601</v>
      </c>
      <c r="GG126" s="3">
        <v>2</v>
      </c>
      <c r="GH126" s="3">
        <v>1</v>
      </c>
      <c r="GI126" s="3">
        <v>2</v>
      </c>
      <c r="GJ126" s="3">
        <v>0</v>
      </c>
      <c r="GK126" s="3">
        <v>0</v>
      </c>
      <c r="GL126" s="3">
        <f t="shared" si="121"/>
        <v>0</v>
      </c>
      <c r="GM126" s="3">
        <f t="shared" si="122"/>
        <v>11181.23</v>
      </c>
      <c r="GN126" s="3">
        <f t="shared" si="123"/>
        <v>0</v>
      </c>
      <c r="GO126" s="3">
        <f t="shared" si="124"/>
        <v>11181.23</v>
      </c>
      <c r="GP126" s="3">
        <f t="shared" si="125"/>
        <v>0</v>
      </c>
      <c r="GR126" s="3">
        <v>0</v>
      </c>
      <c r="GS126" s="3">
        <v>3</v>
      </c>
      <c r="GT126" s="3">
        <v>0</v>
      </c>
      <c r="GU126" s="3" t="s">
        <v>3</v>
      </c>
      <c r="GV126" s="3">
        <f t="shared" si="126"/>
        <v>0</v>
      </c>
      <c r="GW126" s="3">
        <v>1</v>
      </c>
      <c r="GX126" s="3">
        <f t="shared" si="127"/>
        <v>0</v>
      </c>
      <c r="HA126" s="3">
        <v>0</v>
      </c>
      <c r="HB126" s="3">
        <v>0</v>
      </c>
      <c r="HC126" s="3">
        <f t="shared" si="128"/>
        <v>0</v>
      </c>
      <c r="HE126" s="3" t="s">
        <v>3</v>
      </c>
      <c r="HF126" s="3" t="s">
        <v>3</v>
      </c>
      <c r="HM126" s="3" t="s">
        <v>3</v>
      </c>
      <c r="HN126" s="3" t="s">
        <v>3</v>
      </c>
      <c r="HO126" s="3" t="s">
        <v>3</v>
      </c>
      <c r="HP126" s="3" t="s">
        <v>3</v>
      </c>
      <c r="HQ126" s="3" t="s">
        <v>3</v>
      </c>
      <c r="HS126" s="3">
        <v>0</v>
      </c>
      <c r="IK126" s="3">
        <v>0</v>
      </c>
    </row>
    <row r="127" spans="1:255" x14ac:dyDescent="0.25">
      <c r="A127" s="2">
        <v>17</v>
      </c>
      <c r="B127" s="2">
        <v>1</v>
      </c>
      <c r="C127" s="2">
        <f>ROW(SmtRes!A161)</f>
        <v>161</v>
      </c>
      <c r="D127" s="2">
        <f>ROW(EtalonRes!A210)</f>
        <v>210</v>
      </c>
      <c r="E127" s="2" t="s">
        <v>3</v>
      </c>
      <c r="F127" s="2" t="s">
        <v>36</v>
      </c>
      <c r="G127" s="2" t="s">
        <v>208</v>
      </c>
      <c r="H127" s="2" t="s">
        <v>27</v>
      </c>
      <c r="I127" s="2">
        <v>1</v>
      </c>
      <c r="J127" s="2">
        <v>0</v>
      </c>
      <c r="K127" s="2">
        <v>1</v>
      </c>
      <c r="L127" s="2"/>
      <c r="M127" s="2"/>
      <c r="N127" s="2"/>
      <c r="O127" s="2">
        <f t="shared" si="104"/>
        <v>135.96</v>
      </c>
      <c r="P127" s="2">
        <f t="shared" si="105"/>
        <v>4.45</v>
      </c>
      <c r="Q127" s="2">
        <f>(ROUND((ROUND((((ET127*1.2))*AV127*I127),2)*BB127),2)+ROUND((ROUND(((AE127-((EU127*1.2)))*AV127*I127),2)*BS127),2))</f>
        <v>0.23</v>
      </c>
      <c r="R127" s="2">
        <f>(ROUND((ROUND((((EU127*1.2))*AV127*I127),2)*BS127),2)+ROUND((ROUND(((AE127-((EU127*1.2)))*AV127*I127),2)*BS127),2))</f>
        <v>0</v>
      </c>
      <c r="S127" s="2">
        <f t="shared" si="106"/>
        <v>131.28</v>
      </c>
      <c r="T127" s="2">
        <f t="shared" si="107"/>
        <v>0</v>
      </c>
      <c r="U127" s="2">
        <f t="shared" si="108"/>
        <v>11.307599999999999</v>
      </c>
      <c r="V127" s="2">
        <f t="shared" si="109"/>
        <v>0</v>
      </c>
      <c r="W127" s="2">
        <f t="shared" si="110"/>
        <v>0</v>
      </c>
      <c r="X127" s="2">
        <f>(ROUND((((S127+ROUND((ROUND((((EU127*1.2))*AV127*I127),2)*BS127),2))*AT127)/100),2)+ROUND(((ROUND((ROUND(((AE127-((EU127*1.2)))*AV127*I127),2)*BS127),2)*AT127)/100),2))</f>
        <v>118.15</v>
      </c>
      <c r="Y127" s="2">
        <f>(ROUND((((S127+ROUND((ROUND((((EU127*1.2))*AV127*I127),2)*BS127),2))*AU127)/100),2)+ROUND(((ROUND((ROUND(((AE127-((EU127*1.2)))*AV127*I127),2)*BS127),2)*AU127)/100),2))</f>
        <v>60.39</v>
      </c>
      <c r="Z127" s="2"/>
      <c r="AA127" s="2">
        <v>-1</v>
      </c>
      <c r="AB127" s="2">
        <f t="shared" si="111"/>
        <v>130.054</v>
      </c>
      <c r="AC127" s="2">
        <f>ROUND(((ES127*1)),6)</f>
        <v>4.45</v>
      </c>
      <c r="AD127" s="2">
        <f>ROUND(((((ET127*1.2))-((EU127*1.2)))+AE127),6)</f>
        <v>0.216</v>
      </c>
      <c r="AE127" s="2">
        <f t="shared" si="131"/>
        <v>0</v>
      </c>
      <c r="AF127" s="2">
        <f t="shared" si="131"/>
        <v>125.38800000000001</v>
      </c>
      <c r="AG127" s="2">
        <f t="shared" si="112"/>
        <v>0</v>
      </c>
      <c r="AH127" s="2">
        <f t="shared" si="132"/>
        <v>10.799999999999999</v>
      </c>
      <c r="AI127" s="2">
        <f t="shared" si="132"/>
        <v>0</v>
      </c>
      <c r="AJ127" s="2">
        <f t="shared" si="113"/>
        <v>0</v>
      </c>
      <c r="AK127" s="2">
        <v>109.12</v>
      </c>
      <c r="AL127" s="2">
        <v>4.45</v>
      </c>
      <c r="AM127" s="2">
        <v>0.18</v>
      </c>
      <c r="AN127" s="2">
        <v>0</v>
      </c>
      <c r="AO127" s="2">
        <v>104.49</v>
      </c>
      <c r="AP127" s="2">
        <v>0</v>
      </c>
      <c r="AQ127" s="2">
        <v>9</v>
      </c>
      <c r="AR127" s="2">
        <v>0</v>
      </c>
      <c r="AS127" s="2">
        <v>0</v>
      </c>
      <c r="AT127" s="2">
        <v>90</v>
      </c>
      <c r="AU127" s="2">
        <v>46</v>
      </c>
      <c r="AV127" s="2">
        <v>1.0469999999999999</v>
      </c>
      <c r="AW127" s="2">
        <v>1</v>
      </c>
      <c r="AX127" s="2"/>
      <c r="AY127" s="2"/>
      <c r="AZ127" s="2">
        <v>1</v>
      </c>
      <c r="BA127" s="2">
        <v>1</v>
      </c>
      <c r="BB127" s="2">
        <v>1</v>
      </c>
      <c r="BC127" s="2">
        <v>1</v>
      </c>
      <c r="BD127" s="2" t="s">
        <v>3</v>
      </c>
      <c r="BE127" s="2" t="s">
        <v>3</v>
      </c>
      <c r="BF127" s="2" t="s">
        <v>3</v>
      </c>
      <c r="BG127" s="2" t="s">
        <v>3</v>
      </c>
      <c r="BH127" s="2">
        <v>0</v>
      </c>
      <c r="BI127" s="2">
        <v>2</v>
      </c>
      <c r="BJ127" s="2" t="s">
        <v>38</v>
      </c>
      <c r="BK127" s="2"/>
      <c r="BL127" s="2"/>
      <c r="BM127" s="2">
        <v>68</v>
      </c>
      <c r="BN127" s="2">
        <v>0</v>
      </c>
      <c r="BO127" s="2" t="s">
        <v>36</v>
      </c>
      <c r="BP127" s="2">
        <v>1</v>
      </c>
      <c r="BQ127" s="2">
        <v>40</v>
      </c>
      <c r="BR127" s="2">
        <v>0</v>
      </c>
      <c r="BS127" s="2">
        <v>1</v>
      </c>
      <c r="BT127" s="2">
        <v>1</v>
      </c>
      <c r="BU127" s="2">
        <v>1</v>
      </c>
      <c r="BV127" s="2">
        <v>1</v>
      </c>
      <c r="BW127" s="2">
        <v>1</v>
      </c>
      <c r="BX127" s="2">
        <v>1</v>
      </c>
      <c r="BY127" s="2" t="s">
        <v>3</v>
      </c>
      <c r="BZ127" s="2">
        <v>90</v>
      </c>
      <c r="CA127" s="2">
        <v>46</v>
      </c>
      <c r="CB127" s="2" t="s">
        <v>3</v>
      </c>
      <c r="CC127" s="2"/>
      <c r="CD127" s="2"/>
      <c r="CE127" s="2">
        <v>1566</v>
      </c>
      <c r="CF127" s="2">
        <v>0</v>
      </c>
      <c r="CG127" s="2">
        <v>0</v>
      </c>
      <c r="CH127" s="2"/>
      <c r="CI127" s="2"/>
      <c r="CJ127" s="2"/>
      <c r="CK127" s="2"/>
      <c r="CL127" s="2"/>
      <c r="CM127" s="2">
        <v>0</v>
      </c>
      <c r="CN127" s="2" t="s">
        <v>624</v>
      </c>
      <c r="CO127" s="2">
        <v>0</v>
      </c>
      <c r="CP127" s="2">
        <f t="shared" si="114"/>
        <v>135.96</v>
      </c>
      <c r="CQ127" s="2">
        <f t="shared" si="115"/>
        <v>4.45</v>
      </c>
      <c r="CR127" s="2">
        <f>(ROUND((ROUND((((ET127*1.2))*AV127*1),2)*BB127),2)+ROUND((ROUND(((AE127-((EU127*1.2)))*AV127*1),2)*BS127),2))</f>
        <v>0.23</v>
      </c>
      <c r="CS127" s="2">
        <f>(ROUND((ROUND((((EU127*1.2))*AV127*1),2)*BS127),2)+ROUND((ROUND(((AE127-((EU127*1.2)))*AV127*1),2)*BS127),2))</f>
        <v>0</v>
      </c>
      <c r="CT127" s="2">
        <f t="shared" si="116"/>
        <v>131.28</v>
      </c>
      <c r="CU127" s="2">
        <f t="shared" si="117"/>
        <v>0</v>
      </c>
      <c r="CV127" s="2">
        <f t="shared" si="118"/>
        <v>11.307599999999999</v>
      </c>
      <c r="CW127" s="2">
        <f t="shared" si="119"/>
        <v>0</v>
      </c>
      <c r="CX127" s="2">
        <f t="shared" si="120"/>
        <v>0</v>
      </c>
      <c r="CY127" s="2">
        <f>(ROUND((((S127+ROUND((ROUND((((EU127*1.2))*AV127*1),2)*BS127),2))*AT127)/100),2)+ROUND(((ROUND((ROUND(((AE127-((EU127*1.2)))*AV127*1),2)*BS127),2)*AT127)/100),2))</f>
        <v>118.15</v>
      </c>
      <c r="CZ127" s="2">
        <f>(ROUND((((S127+ROUND((ROUND((((EU127*1.2))*AV127*1),2)*BS127),2))*AU127)/100),2)+ROUND(((ROUND((ROUND(((AE127-((EU127*1.2)))*AV127*1),2)*BS127),2)*AU127)/100),2))</f>
        <v>60.39</v>
      </c>
      <c r="DA127" s="2"/>
      <c r="DB127" s="2">
        <v>67</v>
      </c>
      <c r="DC127" s="2" t="s">
        <v>3</v>
      </c>
      <c r="DD127" s="2" t="s">
        <v>70</v>
      </c>
      <c r="DE127" s="2" t="s">
        <v>71</v>
      </c>
      <c r="DF127" s="2" t="s">
        <v>71</v>
      </c>
      <c r="DG127" s="2" t="s">
        <v>71</v>
      </c>
      <c r="DH127" s="2" t="s">
        <v>3</v>
      </c>
      <c r="DI127" s="2" t="s">
        <v>71</v>
      </c>
      <c r="DJ127" s="2" t="s">
        <v>71</v>
      </c>
      <c r="DK127" s="2" t="s">
        <v>3</v>
      </c>
      <c r="DL127" s="2" t="s">
        <v>3</v>
      </c>
      <c r="DM127" s="2" t="s">
        <v>3</v>
      </c>
      <c r="DN127" s="2">
        <v>0</v>
      </c>
      <c r="DO127" s="2">
        <v>0</v>
      </c>
      <c r="DP127" s="2">
        <v>1</v>
      </c>
      <c r="DQ127" s="2">
        <v>1</v>
      </c>
      <c r="DR127" s="2"/>
      <c r="DS127" s="2"/>
      <c r="DT127" s="2"/>
      <c r="DU127" s="2">
        <v>1013</v>
      </c>
      <c r="DV127" s="2" t="s">
        <v>27</v>
      </c>
      <c r="DW127" s="2" t="s">
        <v>27</v>
      </c>
      <c r="DX127" s="2">
        <v>1</v>
      </c>
      <c r="DY127" s="2"/>
      <c r="DZ127" s="2" t="s">
        <v>3</v>
      </c>
      <c r="EA127" s="2" t="s">
        <v>3</v>
      </c>
      <c r="EB127" s="2" t="s">
        <v>3</v>
      </c>
      <c r="EC127" s="2" t="s">
        <v>3</v>
      </c>
      <c r="ED127" s="2"/>
      <c r="EE127" s="2">
        <v>57042958</v>
      </c>
      <c r="EF127" s="2">
        <v>40</v>
      </c>
      <c r="EG127" s="2" t="s">
        <v>31</v>
      </c>
      <c r="EH127" s="2">
        <v>0</v>
      </c>
      <c r="EI127" s="2" t="s">
        <v>3</v>
      </c>
      <c r="EJ127" s="2">
        <v>2</v>
      </c>
      <c r="EK127" s="2">
        <v>68</v>
      </c>
      <c r="EL127" s="2" t="s">
        <v>32</v>
      </c>
      <c r="EM127" s="2" t="s">
        <v>33</v>
      </c>
      <c r="EN127" s="2"/>
      <c r="EO127" s="2" t="s">
        <v>75</v>
      </c>
      <c r="EP127" s="2"/>
      <c r="EQ127" s="2">
        <v>1024</v>
      </c>
      <c r="ER127" s="2">
        <v>109.12</v>
      </c>
      <c r="ES127" s="2">
        <v>4.45</v>
      </c>
      <c r="ET127" s="2">
        <v>0.18</v>
      </c>
      <c r="EU127" s="2">
        <v>0</v>
      </c>
      <c r="EV127" s="2">
        <v>104.49</v>
      </c>
      <c r="EW127" s="2">
        <v>9</v>
      </c>
      <c r="EX127" s="2">
        <v>0</v>
      </c>
      <c r="EY127" s="2">
        <v>0</v>
      </c>
      <c r="EZ127" s="2"/>
      <c r="FA127" s="2"/>
      <c r="FB127" s="2"/>
      <c r="FC127" s="2"/>
      <c r="FD127" s="2"/>
      <c r="FE127" s="2"/>
      <c r="FF127" s="2"/>
      <c r="FG127" s="2"/>
      <c r="FH127" s="2"/>
      <c r="FI127" s="2"/>
      <c r="FJ127" s="2"/>
      <c r="FK127" s="2"/>
      <c r="FL127" s="2"/>
      <c r="FM127" s="2"/>
      <c r="FN127" s="2"/>
      <c r="FO127" s="2"/>
      <c r="FP127" s="2"/>
      <c r="FQ127" s="2">
        <v>0</v>
      </c>
      <c r="FR127" s="2">
        <v>0</v>
      </c>
      <c r="FS127" s="2">
        <v>0</v>
      </c>
      <c r="FT127" s="2"/>
      <c r="FU127" s="2"/>
      <c r="FV127" s="2"/>
      <c r="FW127" s="2"/>
      <c r="FX127" s="2">
        <v>90</v>
      </c>
      <c r="FY127" s="2">
        <v>46</v>
      </c>
      <c r="FZ127" s="2"/>
      <c r="GA127" s="2" t="s">
        <v>3</v>
      </c>
      <c r="GB127" s="2"/>
      <c r="GC127" s="2"/>
      <c r="GD127" s="2">
        <v>1</v>
      </c>
      <c r="GE127" s="2"/>
      <c r="GF127" s="2">
        <v>2090153958</v>
      </c>
      <c r="GG127" s="2">
        <v>2</v>
      </c>
      <c r="GH127" s="2">
        <v>1</v>
      </c>
      <c r="GI127" s="2">
        <v>2</v>
      </c>
      <c r="GJ127" s="2">
        <v>0</v>
      </c>
      <c r="GK127" s="2">
        <v>0</v>
      </c>
      <c r="GL127" s="2">
        <f t="shared" si="121"/>
        <v>0</v>
      </c>
      <c r="GM127" s="2">
        <f t="shared" si="122"/>
        <v>314.5</v>
      </c>
      <c r="GN127" s="2">
        <f t="shared" si="123"/>
        <v>0</v>
      </c>
      <c r="GO127" s="2">
        <f t="shared" si="124"/>
        <v>314.5</v>
      </c>
      <c r="GP127" s="2">
        <f t="shared" si="125"/>
        <v>0</v>
      </c>
      <c r="GQ127" s="2"/>
      <c r="GR127" s="2">
        <v>0</v>
      </c>
      <c r="GS127" s="2">
        <v>3</v>
      </c>
      <c r="GT127" s="2">
        <v>0</v>
      </c>
      <c r="GU127" s="2" t="s">
        <v>3</v>
      </c>
      <c r="GV127" s="2">
        <f t="shared" si="126"/>
        <v>0</v>
      </c>
      <c r="GW127" s="2">
        <v>1</v>
      </c>
      <c r="GX127" s="2">
        <f t="shared" si="127"/>
        <v>0</v>
      </c>
      <c r="GY127" s="2"/>
      <c r="GZ127" s="2"/>
      <c r="HA127" s="2">
        <v>0</v>
      </c>
      <c r="HB127" s="2">
        <v>0</v>
      </c>
      <c r="HC127" s="2">
        <f t="shared" si="128"/>
        <v>0</v>
      </c>
      <c r="HD127" s="2"/>
      <c r="HE127" s="2" t="s">
        <v>3</v>
      </c>
      <c r="HF127" s="2" t="s">
        <v>3</v>
      </c>
      <c r="HG127" s="2"/>
      <c r="HH127" s="2"/>
      <c r="HI127" s="2"/>
      <c r="HJ127" s="2"/>
      <c r="HK127" s="2"/>
      <c r="HL127" s="2"/>
      <c r="HM127" s="2" t="s">
        <v>3</v>
      </c>
      <c r="HN127" s="2" t="s">
        <v>3</v>
      </c>
      <c r="HO127" s="2" t="s">
        <v>3</v>
      </c>
      <c r="HP127" s="2" t="s">
        <v>3</v>
      </c>
      <c r="HQ127" s="2" t="s">
        <v>3</v>
      </c>
      <c r="HR127" s="2"/>
      <c r="HS127" s="2">
        <v>0</v>
      </c>
      <c r="HT127" s="2"/>
      <c r="HU127" s="2"/>
      <c r="HV127" s="2"/>
      <c r="HW127" s="2"/>
      <c r="HX127" s="2"/>
      <c r="HY127" s="2"/>
      <c r="HZ127" s="2"/>
      <c r="IA127" s="2"/>
      <c r="IB127" s="2"/>
      <c r="IC127" s="2"/>
      <c r="ID127" s="2"/>
      <c r="IE127" s="2"/>
      <c r="IF127" s="2"/>
      <c r="IG127" s="2"/>
      <c r="IH127" s="2"/>
      <c r="II127" s="2"/>
      <c r="IJ127" s="2"/>
      <c r="IK127" s="2">
        <v>0</v>
      </c>
      <c r="IL127" s="2"/>
      <c r="IM127" s="2"/>
      <c r="IN127" s="2"/>
      <c r="IO127" s="2"/>
      <c r="IP127" s="2"/>
      <c r="IQ127" s="2"/>
      <c r="IR127" s="2"/>
      <c r="IS127" s="2"/>
      <c r="IT127" s="2"/>
      <c r="IU127" s="2"/>
    </row>
    <row r="128" spans="1:255" x14ac:dyDescent="0.25">
      <c r="A128" s="3">
        <v>17</v>
      </c>
      <c r="B128" s="3">
        <v>1</v>
      </c>
      <c r="C128" s="3">
        <f>ROW(SmtRes!A164)</f>
        <v>164</v>
      </c>
      <c r="D128" s="3">
        <f>ROW(EtalonRes!A214)</f>
        <v>214</v>
      </c>
      <c r="E128" s="3" t="s">
        <v>3</v>
      </c>
      <c r="F128" s="3" t="s">
        <v>36</v>
      </c>
      <c r="G128" s="3" t="s">
        <v>208</v>
      </c>
      <c r="H128" s="3" t="s">
        <v>27</v>
      </c>
      <c r="I128" s="3">
        <v>1</v>
      </c>
      <c r="J128" s="3">
        <v>0</v>
      </c>
      <c r="K128" s="3">
        <v>1</v>
      </c>
      <c r="O128" s="3">
        <f t="shared" si="104"/>
        <v>7403.9</v>
      </c>
      <c r="P128" s="3">
        <f t="shared" si="105"/>
        <v>4.1399999999999997</v>
      </c>
      <c r="Q128" s="3">
        <f>(ROUND((ROUND((((ET128*1.2))*AV128*I128),2)*BB128),2)+ROUND((ROUND(((AE128-((EU128*1.2)))*AV128*I128),2)*BS128),2))</f>
        <v>2.13</v>
      </c>
      <c r="R128" s="3">
        <f>(ROUND((ROUND((((EU128*1.2))*AV128*I128),2)*BS128),2)+ROUND((ROUND(((AE128-((EU128*1.2)))*AV128*I128),2)*BS128),2))</f>
        <v>0</v>
      </c>
      <c r="S128" s="3">
        <f t="shared" si="106"/>
        <v>7397.63</v>
      </c>
      <c r="T128" s="3">
        <f t="shared" si="107"/>
        <v>0</v>
      </c>
      <c r="U128" s="3">
        <f t="shared" si="108"/>
        <v>11.307599999999999</v>
      </c>
      <c r="V128" s="3">
        <f t="shared" si="109"/>
        <v>0</v>
      </c>
      <c r="W128" s="3">
        <f t="shared" si="110"/>
        <v>0</v>
      </c>
      <c r="X128" s="3">
        <f>(ROUND((((S128+ROUND((ROUND((((EU128*1.2))*AV128*I128),2)*BS128),2))*AT128)/100),2)+ROUND(((ROUND((ROUND(((AE128-((EU128*1.2)))*AV128*I128),2)*BS128),2)*AT128)/100),2))</f>
        <v>6657.87</v>
      </c>
      <c r="Y128" s="3">
        <f>(ROUND((((S128+ROUND((ROUND((((EU128*1.2))*AV128*I128),2)*BS128),2))*AU128)/100),2)+ROUND(((ROUND((ROUND(((AE128-((EU128*1.2)))*AV128*I128),2)*BS128),2)*AU128)/100),2))</f>
        <v>3402.91</v>
      </c>
      <c r="AA128" s="3">
        <v>-1</v>
      </c>
      <c r="AB128" s="3">
        <f t="shared" si="111"/>
        <v>130.054</v>
      </c>
      <c r="AC128" s="3">
        <f>ROUND(((ES128*1)),6)</f>
        <v>4.45</v>
      </c>
      <c r="AD128" s="3">
        <f>ROUND(((((ET128*1.2))-((EU128*1.2)))+AE128),6)</f>
        <v>0.216</v>
      </c>
      <c r="AE128" s="3">
        <f t="shared" si="131"/>
        <v>0</v>
      </c>
      <c r="AF128" s="3">
        <f t="shared" si="131"/>
        <v>125.38800000000001</v>
      </c>
      <c r="AG128" s="3">
        <f t="shared" si="112"/>
        <v>0</v>
      </c>
      <c r="AH128" s="3">
        <f t="shared" si="132"/>
        <v>10.799999999999999</v>
      </c>
      <c r="AI128" s="3">
        <f t="shared" si="132"/>
        <v>0</v>
      </c>
      <c r="AJ128" s="3">
        <f t="shared" si="113"/>
        <v>0</v>
      </c>
      <c r="AK128" s="3">
        <v>109.12</v>
      </c>
      <c r="AL128" s="3">
        <v>4.45</v>
      </c>
      <c r="AM128" s="3">
        <v>0.18</v>
      </c>
      <c r="AN128" s="3">
        <v>0</v>
      </c>
      <c r="AO128" s="3">
        <v>104.49</v>
      </c>
      <c r="AP128" s="3">
        <v>0</v>
      </c>
      <c r="AQ128" s="3">
        <v>9</v>
      </c>
      <c r="AR128" s="3">
        <v>0</v>
      </c>
      <c r="AS128" s="3">
        <v>0</v>
      </c>
      <c r="AT128" s="3">
        <v>90</v>
      </c>
      <c r="AU128" s="3">
        <v>46</v>
      </c>
      <c r="AV128" s="3">
        <v>1.0469999999999999</v>
      </c>
      <c r="AW128" s="3">
        <v>1</v>
      </c>
      <c r="AZ128" s="3">
        <v>1</v>
      </c>
      <c r="BA128" s="3">
        <v>56.35</v>
      </c>
      <c r="BB128" s="3">
        <v>9.2799999999999994</v>
      </c>
      <c r="BC128" s="3">
        <v>0.93</v>
      </c>
      <c r="BD128" s="3" t="s">
        <v>3</v>
      </c>
      <c r="BE128" s="3" t="s">
        <v>3</v>
      </c>
      <c r="BF128" s="3" t="s">
        <v>3</v>
      </c>
      <c r="BG128" s="3" t="s">
        <v>3</v>
      </c>
      <c r="BH128" s="3">
        <v>0</v>
      </c>
      <c r="BI128" s="3">
        <v>2</v>
      </c>
      <c r="BJ128" s="3" t="s">
        <v>38</v>
      </c>
      <c r="BM128" s="3">
        <v>68</v>
      </c>
      <c r="BN128" s="3">
        <v>0</v>
      </c>
      <c r="BO128" s="3" t="s">
        <v>36</v>
      </c>
      <c r="BP128" s="3">
        <v>1</v>
      </c>
      <c r="BQ128" s="3">
        <v>40</v>
      </c>
      <c r="BR128" s="3">
        <v>0</v>
      </c>
      <c r="BS128" s="3">
        <v>56.35</v>
      </c>
      <c r="BT128" s="3">
        <v>1</v>
      </c>
      <c r="BU128" s="3">
        <v>1</v>
      </c>
      <c r="BV128" s="3">
        <v>1</v>
      </c>
      <c r="BW128" s="3">
        <v>1</v>
      </c>
      <c r="BX128" s="3">
        <v>1</v>
      </c>
      <c r="BY128" s="3" t="s">
        <v>3</v>
      </c>
      <c r="BZ128" s="3">
        <v>90</v>
      </c>
      <c r="CA128" s="3">
        <v>46</v>
      </c>
      <c r="CB128" s="3" t="s">
        <v>3</v>
      </c>
      <c r="CE128" s="3">
        <v>1566</v>
      </c>
      <c r="CF128" s="3">
        <v>0</v>
      </c>
      <c r="CG128" s="3">
        <v>0</v>
      </c>
      <c r="CM128" s="3">
        <v>0</v>
      </c>
      <c r="CN128" s="3" t="s">
        <v>624</v>
      </c>
      <c r="CO128" s="3">
        <v>0</v>
      </c>
      <c r="CP128" s="3">
        <f t="shared" si="114"/>
        <v>7403.9000000000005</v>
      </c>
      <c r="CQ128" s="3">
        <f t="shared" si="115"/>
        <v>4.1399999999999997</v>
      </c>
      <c r="CR128" s="3">
        <f>(ROUND((ROUND((((ET128*1.2))*AV128*1),2)*BB128),2)+ROUND((ROUND(((AE128-((EU128*1.2)))*AV128*1),2)*BS128),2))</f>
        <v>2.13</v>
      </c>
      <c r="CS128" s="3">
        <f>(ROUND((ROUND((((EU128*1.2))*AV128*1),2)*BS128),2)+ROUND((ROUND(((AE128-((EU128*1.2)))*AV128*1),2)*BS128),2))</f>
        <v>0</v>
      </c>
      <c r="CT128" s="3">
        <f t="shared" si="116"/>
        <v>7397.63</v>
      </c>
      <c r="CU128" s="3">
        <f t="shared" si="117"/>
        <v>0</v>
      </c>
      <c r="CV128" s="3">
        <f t="shared" si="118"/>
        <v>11.307599999999999</v>
      </c>
      <c r="CW128" s="3">
        <f t="shared" si="119"/>
        <v>0</v>
      </c>
      <c r="CX128" s="3">
        <f t="shared" si="120"/>
        <v>0</v>
      </c>
      <c r="CY128" s="3">
        <f>(ROUND((((S128+ROUND((ROUND((((EU128*1.2))*AV128*1),2)*BS128),2))*AT128)/100),2)+ROUND(((ROUND((ROUND(((AE128-((EU128*1.2)))*AV128*1),2)*BS128),2)*AT128)/100),2))</f>
        <v>6657.87</v>
      </c>
      <c r="CZ128" s="3">
        <f>(ROUND((((S128+ROUND((ROUND((((EU128*1.2))*AV128*1),2)*BS128),2))*AU128)/100),2)+ROUND(((ROUND((ROUND(((AE128-((EU128*1.2)))*AV128*1),2)*BS128),2)*AU128)/100),2))</f>
        <v>3402.91</v>
      </c>
      <c r="DB128" s="3">
        <v>68</v>
      </c>
      <c r="DC128" s="3" t="s">
        <v>3</v>
      </c>
      <c r="DD128" s="3" t="s">
        <v>70</v>
      </c>
      <c r="DE128" s="3" t="s">
        <v>71</v>
      </c>
      <c r="DF128" s="3" t="s">
        <v>71</v>
      </c>
      <c r="DG128" s="3" t="s">
        <v>71</v>
      </c>
      <c r="DH128" s="3" t="s">
        <v>3</v>
      </c>
      <c r="DI128" s="3" t="s">
        <v>71</v>
      </c>
      <c r="DJ128" s="3" t="s">
        <v>71</v>
      </c>
      <c r="DK128" s="3" t="s">
        <v>3</v>
      </c>
      <c r="DL128" s="3" t="s">
        <v>3</v>
      </c>
      <c r="DM128" s="3" t="s">
        <v>3</v>
      </c>
      <c r="DN128" s="3">
        <v>0</v>
      </c>
      <c r="DO128" s="3">
        <v>0</v>
      </c>
      <c r="DP128" s="3">
        <v>1</v>
      </c>
      <c r="DQ128" s="3">
        <v>1</v>
      </c>
      <c r="DU128" s="3">
        <v>1013</v>
      </c>
      <c r="DV128" s="3" t="s">
        <v>27</v>
      </c>
      <c r="DW128" s="3" t="s">
        <v>27</v>
      </c>
      <c r="DX128" s="3">
        <v>1</v>
      </c>
      <c r="DZ128" s="3" t="s">
        <v>3</v>
      </c>
      <c r="EA128" s="3" t="s">
        <v>3</v>
      </c>
      <c r="EB128" s="3" t="s">
        <v>3</v>
      </c>
      <c r="EC128" s="3" t="s">
        <v>3</v>
      </c>
      <c r="EE128" s="3">
        <v>57042958</v>
      </c>
      <c r="EF128" s="3">
        <v>40</v>
      </c>
      <c r="EG128" s="3" t="s">
        <v>31</v>
      </c>
      <c r="EH128" s="3">
        <v>0</v>
      </c>
      <c r="EI128" s="3" t="s">
        <v>3</v>
      </c>
      <c r="EJ128" s="3">
        <v>2</v>
      </c>
      <c r="EK128" s="3">
        <v>68</v>
      </c>
      <c r="EL128" s="3" t="s">
        <v>32</v>
      </c>
      <c r="EM128" s="3" t="s">
        <v>33</v>
      </c>
      <c r="EO128" s="3" t="s">
        <v>75</v>
      </c>
      <c r="EQ128" s="3">
        <v>1024</v>
      </c>
      <c r="ER128" s="3">
        <v>109.12</v>
      </c>
      <c r="ES128" s="3">
        <v>4.45</v>
      </c>
      <c r="ET128" s="3">
        <v>0.18</v>
      </c>
      <c r="EU128" s="3">
        <v>0</v>
      </c>
      <c r="EV128" s="3">
        <v>104.49</v>
      </c>
      <c r="EW128" s="3">
        <v>9</v>
      </c>
      <c r="EX128" s="3">
        <v>0</v>
      </c>
      <c r="EY128" s="3">
        <v>0</v>
      </c>
      <c r="FQ128" s="3">
        <v>0</v>
      </c>
      <c r="FR128" s="3">
        <v>0</v>
      </c>
      <c r="FS128" s="3">
        <v>0</v>
      </c>
      <c r="FX128" s="3">
        <v>90</v>
      </c>
      <c r="FY128" s="3">
        <v>46</v>
      </c>
      <c r="GA128" s="3" t="s">
        <v>3</v>
      </c>
      <c r="GD128" s="3">
        <v>1</v>
      </c>
      <c r="GF128" s="3">
        <v>2090153958</v>
      </c>
      <c r="GG128" s="3">
        <v>2</v>
      </c>
      <c r="GH128" s="3">
        <v>1</v>
      </c>
      <c r="GI128" s="3">
        <v>2</v>
      </c>
      <c r="GJ128" s="3">
        <v>0</v>
      </c>
      <c r="GK128" s="3">
        <v>0</v>
      </c>
      <c r="GL128" s="3">
        <f t="shared" si="121"/>
        <v>0</v>
      </c>
      <c r="GM128" s="3">
        <f t="shared" si="122"/>
        <v>17464.68</v>
      </c>
      <c r="GN128" s="3">
        <f t="shared" si="123"/>
        <v>0</v>
      </c>
      <c r="GO128" s="3">
        <f t="shared" si="124"/>
        <v>17464.68</v>
      </c>
      <c r="GP128" s="3">
        <f t="shared" si="125"/>
        <v>0</v>
      </c>
      <c r="GR128" s="3">
        <v>0</v>
      </c>
      <c r="GS128" s="3">
        <v>3</v>
      </c>
      <c r="GT128" s="3">
        <v>0</v>
      </c>
      <c r="GU128" s="3" t="s">
        <v>3</v>
      </c>
      <c r="GV128" s="3">
        <f t="shared" si="126"/>
        <v>0</v>
      </c>
      <c r="GW128" s="3">
        <v>1</v>
      </c>
      <c r="GX128" s="3">
        <f t="shared" si="127"/>
        <v>0</v>
      </c>
      <c r="HA128" s="3">
        <v>0</v>
      </c>
      <c r="HB128" s="3">
        <v>0</v>
      </c>
      <c r="HC128" s="3">
        <f t="shared" si="128"/>
        <v>0</v>
      </c>
      <c r="HE128" s="3" t="s">
        <v>3</v>
      </c>
      <c r="HF128" s="3" t="s">
        <v>3</v>
      </c>
      <c r="HM128" s="3" t="s">
        <v>3</v>
      </c>
      <c r="HN128" s="3" t="s">
        <v>3</v>
      </c>
      <c r="HO128" s="3" t="s">
        <v>3</v>
      </c>
      <c r="HP128" s="3" t="s">
        <v>3</v>
      </c>
      <c r="HQ128" s="3" t="s">
        <v>3</v>
      </c>
      <c r="HS128" s="3">
        <v>0</v>
      </c>
      <c r="IK128" s="3">
        <v>0</v>
      </c>
    </row>
    <row r="129" spans="1:255" x14ac:dyDescent="0.25">
      <c r="A129" s="2">
        <v>17</v>
      </c>
      <c r="B129" s="2">
        <v>1</v>
      </c>
      <c r="C129" s="2"/>
      <c r="D129" s="2"/>
      <c r="E129" s="2" t="s">
        <v>209</v>
      </c>
      <c r="F129" s="2" t="s">
        <v>210</v>
      </c>
      <c r="G129" s="2" t="s">
        <v>211</v>
      </c>
      <c r="H129" s="2" t="s">
        <v>152</v>
      </c>
      <c r="I129" s="2">
        <v>1</v>
      </c>
      <c r="J129" s="2">
        <v>0</v>
      </c>
      <c r="K129" s="2">
        <v>1</v>
      </c>
      <c r="L129" s="2"/>
      <c r="M129" s="2"/>
      <c r="N129" s="2"/>
      <c r="O129" s="2">
        <f t="shared" si="104"/>
        <v>4438.4399999999996</v>
      </c>
      <c r="P129" s="2">
        <f t="shared" si="105"/>
        <v>4438.4399999999996</v>
      </c>
      <c r="Q129" s="2">
        <f>(ROUND((ROUND(((ET129)*AV129*I129),2)*BB129),2)+ROUND((ROUND(((AE129-(EU129))*AV129*I129),2)*BS129),2))</f>
        <v>0</v>
      </c>
      <c r="R129" s="2">
        <f>(ROUND((ROUND(((EU129)*AV129*I129),2)*BS129),2)+ROUND((ROUND(((AE129-(EU129))*AV129*I129),2)*BS129),2))</f>
        <v>0</v>
      </c>
      <c r="S129" s="2">
        <f t="shared" si="106"/>
        <v>0</v>
      </c>
      <c r="T129" s="2">
        <f t="shared" si="107"/>
        <v>0</v>
      </c>
      <c r="U129" s="2">
        <f t="shared" si="108"/>
        <v>0</v>
      </c>
      <c r="V129" s="2">
        <f t="shared" si="109"/>
        <v>0</v>
      </c>
      <c r="W129" s="2">
        <f t="shared" si="110"/>
        <v>0</v>
      </c>
      <c r="X129" s="2">
        <f>(ROUND((((S129+ROUND((ROUND(((EU129)*AV129*I129),2)*BS129),2))*AT129)/100),2)+ROUND(((ROUND((ROUND(((AE129-(EU129))*AV129*I129),2)*BS129),2)*AT129)/100),2))</f>
        <v>0</v>
      </c>
      <c r="Y129" s="2">
        <f>(ROUND((((S129+ROUND((ROUND(((EU129)*AV129*I129),2)*BS129),2))*AU129)/100),2)+ROUND(((ROUND((ROUND(((AE129-(EU129))*AV129*I129),2)*BS129),2)*AU129)/100),2))</f>
        <v>0</v>
      </c>
      <c r="Z129" s="2"/>
      <c r="AA129" s="2">
        <v>57014138</v>
      </c>
      <c r="AB129" s="2">
        <f t="shared" si="111"/>
        <v>4438.4399999999996</v>
      </c>
      <c r="AC129" s="2">
        <f>ROUND((ES129),6)</f>
        <v>4438.4399999999996</v>
      </c>
      <c r="AD129" s="2">
        <f>ROUND((((ET129)-(EU129))+AE129),6)</f>
        <v>0</v>
      </c>
      <c r="AE129" s="2">
        <f>ROUND((EU129),6)</f>
        <v>0</v>
      </c>
      <c r="AF129" s="2">
        <f>ROUND((EV129),6)</f>
        <v>0</v>
      </c>
      <c r="AG129" s="2">
        <f t="shared" si="112"/>
        <v>0</v>
      </c>
      <c r="AH129" s="2">
        <f>(EW129)</f>
        <v>0</v>
      </c>
      <c r="AI129" s="2">
        <f>(EX129)</f>
        <v>0</v>
      </c>
      <c r="AJ129" s="2">
        <f t="shared" si="113"/>
        <v>0</v>
      </c>
      <c r="AK129" s="2">
        <v>4438.4399999999996</v>
      </c>
      <c r="AL129" s="2">
        <v>4438.4399999999996</v>
      </c>
      <c r="AM129" s="2">
        <v>0</v>
      </c>
      <c r="AN129" s="2">
        <v>0</v>
      </c>
      <c r="AO129" s="2">
        <v>0</v>
      </c>
      <c r="AP129" s="2">
        <v>0</v>
      </c>
      <c r="AQ129" s="2">
        <v>0</v>
      </c>
      <c r="AR129" s="2">
        <v>0</v>
      </c>
      <c r="AS129" s="2">
        <v>0</v>
      </c>
      <c r="AT129" s="2">
        <v>0</v>
      </c>
      <c r="AU129" s="2">
        <v>0</v>
      </c>
      <c r="AV129" s="2">
        <v>1</v>
      </c>
      <c r="AW129" s="2">
        <v>1</v>
      </c>
      <c r="AX129" s="2"/>
      <c r="AY129" s="2"/>
      <c r="AZ129" s="2">
        <v>1</v>
      </c>
      <c r="BA129" s="2">
        <v>1</v>
      </c>
      <c r="BB129" s="2">
        <v>1</v>
      </c>
      <c r="BC129" s="2">
        <v>1</v>
      </c>
      <c r="BD129" s="2" t="s">
        <v>3</v>
      </c>
      <c r="BE129" s="2" t="s">
        <v>3</v>
      </c>
      <c r="BF129" s="2" t="s">
        <v>3</v>
      </c>
      <c r="BG129" s="2" t="s">
        <v>3</v>
      </c>
      <c r="BH129" s="2">
        <v>3</v>
      </c>
      <c r="BI129" s="2">
        <v>3</v>
      </c>
      <c r="BJ129" s="2" t="s">
        <v>210</v>
      </c>
      <c r="BK129" s="2"/>
      <c r="BL129" s="2"/>
      <c r="BM129" s="2">
        <v>400007</v>
      </c>
      <c r="BN129" s="2">
        <v>0</v>
      </c>
      <c r="BO129" s="2" t="s">
        <v>3</v>
      </c>
      <c r="BP129" s="2">
        <v>0</v>
      </c>
      <c r="BQ129" s="2">
        <v>214</v>
      </c>
      <c r="BR129" s="2">
        <v>0</v>
      </c>
      <c r="BS129" s="2">
        <v>1</v>
      </c>
      <c r="BT129" s="2">
        <v>1</v>
      </c>
      <c r="BU129" s="2">
        <v>1</v>
      </c>
      <c r="BV129" s="2">
        <v>1</v>
      </c>
      <c r="BW129" s="2">
        <v>1</v>
      </c>
      <c r="BX129" s="2">
        <v>1</v>
      </c>
      <c r="BY129" s="2" t="s">
        <v>3</v>
      </c>
      <c r="BZ129" s="2">
        <v>0</v>
      </c>
      <c r="CA129" s="2">
        <v>0</v>
      </c>
      <c r="CB129" s="2" t="s">
        <v>3</v>
      </c>
      <c r="CC129" s="2"/>
      <c r="CD129" s="2"/>
      <c r="CE129" s="2">
        <v>1566</v>
      </c>
      <c r="CF129" s="2">
        <v>0</v>
      </c>
      <c r="CG129" s="2">
        <v>0</v>
      </c>
      <c r="CH129" s="2"/>
      <c r="CI129" s="2"/>
      <c r="CJ129" s="2"/>
      <c r="CK129" s="2"/>
      <c r="CL129" s="2"/>
      <c r="CM129" s="2">
        <v>0</v>
      </c>
      <c r="CN129" s="2" t="s">
        <v>3</v>
      </c>
      <c r="CO129" s="2">
        <v>0</v>
      </c>
      <c r="CP129" s="2">
        <f t="shared" si="114"/>
        <v>4438.4399999999996</v>
      </c>
      <c r="CQ129" s="2">
        <f t="shared" si="115"/>
        <v>4438.4399999999996</v>
      </c>
      <c r="CR129" s="2">
        <f>(ROUND((ROUND(((ET129)*AV129*1),2)*BB129),2)+ROUND((ROUND(((AE129-(EU129))*AV129*1),2)*BS129),2))</f>
        <v>0</v>
      </c>
      <c r="CS129" s="2">
        <f>(ROUND((ROUND(((EU129)*AV129*1),2)*BS129),2)+ROUND((ROUND(((AE129-(EU129))*AV129*1),2)*BS129),2))</f>
        <v>0</v>
      </c>
      <c r="CT129" s="2">
        <f t="shared" si="116"/>
        <v>0</v>
      </c>
      <c r="CU129" s="2">
        <f t="shared" si="117"/>
        <v>0</v>
      </c>
      <c r="CV129" s="2">
        <f t="shared" si="118"/>
        <v>0</v>
      </c>
      <c r="CW129" s="2">
        <f t="shared" si="119"/>
        <v>0</v>
      </c>
      <c r="CX129" s="2">
        <f t="shared" si="120"/>
        <v>0</v>
      </c>
      <c r="CY129" s="2">
        <f>(ROUND((((S129+ROUND((ROUND(((EU129)*AV129*1),2)*BS129),2))*AT129)/100),2)+ROUND(((ROUND((ROUND(((AE129-(EU129))*AV129*1),2)*BS129),2)*AT129)/100),2))</f>
        <v>0</v>
      </c>
      <c r="CZ129" s="2">
        <f>(ROUND((((S129+ROUND((ROUND(((EU129)*AV129*1),2)*BS129),2))*AU129)/100),2)+ROUND(((ROUND((ROUND(((AE129-(EU129))*AV129*1),2)*BS129),2)*AU129)/100),2))</f>
        <v>0</v>
      </c>
      <c r="DA129" s="2"/>
      <c r="DB129" s="2"/>
      <c r="DC129" s="2" t="s">
        <v>3</v>
      </c>
      <c r="DD129" s="2" t="s">
        <v>3</v>
      </c>
      <c r="DE129" s="2" t="s">
        <v>3</v>
      </c>
      <c r="DF129" s="2" t="s">
        <v>3</v>
      </c>
      <c r="DG129" s="2" t="s">
        <v>3</v>
      </c>
      <c r="DH129" s="2" t="s">
        <v>3</v>
      </c>
      <c r="DI129" s="2" t="s">
        <v>3</v>
      </c>
      <c r="DJ129" s="2" t="s">
        <v>3</v>
      </c>
      <c r="DK129" s="2" t="s">
        <v>3</v>
      </c>
      <c r="DL129" s="2" t="s">
        <v>3</v>
      </c>
      <c r="DM129" s="2" t="s">
        <v>3</v>
      </c>
      <c r="DN129" s="2">
        <v>0</v>
      </c>
      <c r="DO129" s="2">
        <v>0</v>
      </c>
      <c r="DP129" s="2">
        <v>1</v>
      </c>
      <c r="DQ129" s="2">
        <v>1</v>
      </c>
      <c r="DR129" s="2"/>
      <c r="DS129" s="2"/>
      <c r="DT129" s="2"/>
      <c r="DU129" s="2">
        <v>1013</v>
      </c>
      <c r="DV129" s="2" t="s">
        <v>152</v>
      </c>
      <c r="DW129" s="2" t="s">
        <v>152</v>
      </c>
      <c r="DX129" s="2">
        <v>1</v>
      </c>
      <c r="DY129" s="2"/>
      <c r="DZ129" s="2" t="s">
        <v>3</v>
      </c>
      <c r="EA129" s="2" t="s">
        <v>3</v>
      </c>
      <c r="EB129" s="2" t="s">
        <v>3</v>
      </c>
      <c r="EC129" s="2" t="s">
        <v>3</v>
      </c>
      <c r="ED129" s="2"/>
      <c r="EE129" s="2">
        <v>57042890</v>
      </c>
      <c r="EF129" s="2">
        <v>214</v>
      </c>
      <c r="EG129" s="2" t="s">
        <v>153</v>
      </c>
      <c r="EH129" s="2">
        <v>0</v>
      </c>
      <c r="EI129" s="2" t="s">
        <v>3</v>
      </c>
      <c r="EJ129" s="2">
        <v>3</v>
      </c>
      <c r="EK129" s="2">
        <v>400007</v>
      </c>
      <c r="EL129" s="2" t="s">
        <v>153</v>
      </c>
      <c r="EM129" s="2" t="s">
        <v>154</v>
      </c>
      <c r="EN129" s="2"/>
      <c r="EO129" s="2" t="s">
        <v>3</v>
      </c>
      <c r="EP129" s="2"/>
      <c r="EQ129" s="2">
        <v>16</v>
      </c>
      <c r="ER129" s="2">
        <v>0</v>
      </c>
      <c r="ES129" s="2">
        <v>4438.4399999999996</v>
      </c>
      <c r="ET129" s="2">
        <v>0</v>
      </c>
      <c r="EU129" s="2">
        <v>0</v>
      </c>
      <c r="EV129" s="2">
        <v>0</v>
      </c>
      <c r="EW129" s="2">
        <v>0</v>
      </c>
      <c r="EX129" s="2">
        <v>0</v>
      </c>
      <c r="EY129" s="2">
        <v>0</v>
      </c>
      <c r="EZ129" s="2"/>
      <c r="FA129" s="2"/>
      <c r="FB129" s="2"/>
      <c r="FC129" s="2"/>
      <c r="FD129" s="2"/>
      <c r="FE129" s="2"/>
      <c r="FF129" s="2"/>
      <c r="FG129" s="2"/>
      <c r="FH129" s="2"/>
      <c r="FI129" s="2"/>
      <c r="FJ129" s="2"/>
      <c r="FK129" s="2"/>
      <c r="FL129" s="2"/>
      <c r="FM129" s="2"/>
      <c r="FN129" s="2"/>
      <c r="FO129" s="2"/>
      <c r="FP129" s="2"/>
      <c r="FQ129" s="2">
        <v>0</v>
      </c>
      <c r="FR129" s="2">
        <f>P129</f>
        <v>4438.4399999999996</v>
      </c>
      <c r="FS129" s="2">
        <v>0</v>
      </c>
      <c r="FT129" s="2"/>
      <c r="FU129" s="2"/>
      <c r="FV129" s="2"/>
      <c r="FW129" s="2"/>
      <c r="FX129" s="2">
        <v>0</v>
      </c>
      <c r="FY129" s="2">
        <v>0</v>
      </c>
      <c r="FZ129" s="2"/>
      <c r="GA129" s="2" t="s">
        <v>212</v>
      </c>
      <c r="GB129" s="2"/>
      <c r="GC129" s="2"/>
      <c r="GD129" s="2">
        <v>1</v>
      </c>
      <c r="GE129" s="2"/>
      <c r="GF129" s="2">
        <v>-589543128</v>
      </c>
      <c r="GG129" s="2">
        <v>2</v>
      </c>
      <c r="GH129" s="2">
        <v>4</v>
      </c>
      <c r="GI129" s="2">
        <v>-2</v>
      </c>
      <c r="GJ129" s="2">
        <v>0</v>
      </c>
      <c r="GK129" s="2">
        <v>0</v>
      </c>
      <c r="GL129" s="2">
        <f t="shared" si="121"/>
        <v>0</v>
      </c>
      <c r="GM129" s="2">
        <f t="shared" si="122"/>
        <v>4438.4399999999996</v>
      </c>
      <c r="GN129" s="2">
        <f t="shared" si="123"/>
        <v>0</v>
      </c>
      <c r="GO129" s="2">
        <f t="shared" si="124"/>
        <v>0</v>
      </c>
      <c r="GP129" s="2">
        <f t="shared" si="125"/>
        <v>0</v>
      </c>
      <c r="GQ129" s="2"/>
      <c r="GR129" s="2">
        <v>1</v>
      </c>
      <c r="GS129" s="2">
        <v>2</v>
      </c>
      <c r="GT129" s="2">
        <v>0</v>
      </c>
      <c r="GU129" s="2" t="s">
        <v>3</v>
      </c>
      <c r="GV129" s="2">
        <f t="shared" si="126"/>
        <v>0</v>
      </c>
      <c r="GW129" s="2">
        <v>1</v>
      </c>
      <c r="GX129" s="2">
        <f t="shared" si="127"/>
        <v>0</v>
      </c>
      <c r="GY129" s="2"/>
      <c r="GZ129" s="2"/>
      <c r="HA129" s="2">
        <v>0</v>
      </c>
      <c r="HB129" s="2">
        <v>0</v>
      </c>
      <c r="HC129" s="2">
        <f t="shared" si="128"/>
        <v>0</v>
      </c>
      <c r="HD129" s="2"/>
      <c r="HE129" s="2" t="s">
        <v>39</v>
      </c>
      <c r="HF129" s="2" t="s">
        <v>156</v>
      </c>
      <c r="HG129" s="2"/>
      <c r="HH129" s="2"/>
      <c r="HI129" s="2"/>
      <c r="HJ129" s="2"/>
      <c r="HK129" s="2"/>
      <c r="HL129" s="2"/>
      <c r="HM129" s="2" t="s">
        <v>3</v>
      </c>
      <c r="HN129" s="2" t="s">
        <v>3</v>
      </c>
      <c r="HO129" s="2" t="s">
        <v>3</v>
      </c>
      <c r="HP129" s="2" t="s">
        <v>3</v>
      </c>
      <c r="HQ129" s="2" t="s">
        <v>3</v>
      </c>
      <c r="HR129" s="2"/>
      <c r="HS129" s="2">
        <v>0</v>
      </c>
      <c r="HT129" s="2"/>
      <c r="HU129" s="2"/>
      <c r="HV129" s="2"/>
      <c r="HW129" s="2"/>
      <c r="HX129" s="2"/>
      <c r="HY129" s="2"/>
      <c r="HZ129" s="2"/>
      <c r="IA129" s="2"/>
      <c r="IB129" s="2"/>
      <c r="IC129" s="2"/>
      <c r="ID129" s="2"/>
      <c r="IE129" s="2"/>
      <c r="IF129" s="2"/>
      <c r="IG129" s="2"/>
      <c r="IH129" s="2"/>
      <c r="II129" s="2"/>
      <c r="IJ129" s="2"/>
      <c r="IK129" s="2">
        <v>0</v>
      </c>
      <c r="IL129" s="2"/>
      <c r="IM129" s="2"/>
      <c r="IN129" s="2"/>
      <c r="IO129" s="2"/>
      <c r="IP129" s="2"/>
      <c r="IQ129" s="2"/>
      <c r="IR129" s="2"/>
      <c r="IS129" s="2"/>
      <c r="IT129" s="2"/>
      <c r="IU129" s="2"/>
    </row>
    <row r="130" spans="1:255" x14ac:dyDescent="0.25">
      <c r="A130" s="3">
        <v>17</v>
      </c>
      <c r="B130" s="3">
        <v>1</v>
      </c>
      <c r="E130" s="3" t="s">
        <v>209</v>
      </c>
      <c r="F130" s="3" t="s">
        <v>210</v>
      </c>
      <c r="G130" s="3" t="s">
        <v>211</v>
      </c>
      <c r="H130" s="3" t="s">
        <v>152</v>
      </c>
      <c r="I130" s="3">
        <v>1</v>
      </c>
      <c r="J130" s="3">
        <v>0</v>
      </c>
      <c r="K130" s="3">
        <v>1</v>
      </c>
      <c r="O130" s="3">
        <f t="shared" si="104"/>
        <v>33598.99</v>
      </c>
      <c r="P130" s="3">
        <f t="shared" si="105"/>
        <v>33598.99</v>
      </c>
      <c r="Q130" s="3">
        <f>(ROUND((ROUND(((ET130)*AV130*I130),2)*BB130),2)+ROUND((ROUND(((AE130-(EU130))*AV130*I130),2)*BS130),2))</f>
        <v>0</v>
      </c>
      <c r="R130" s="3">
        <f>(ROUND((ROUND(((EU130)*AV130*I130),2)*BS130),2)+ROUND((ROUND(((AE130-(EU130))*AV130*I130),2)*BS130),2))</f>
        <v>0</v>
      </c>
      <c r="S130" s="3">
        <f t="shared" si="106"/>
        <v>0</v>
      </c>
      <c r="T130" s="3">
        <f t="shared" si="107"/>
        <v>0</v>
      </c>
      <c r="U130" s="3">
        <f t="shared" si="108"/>
        <v>0</v>
      </c>
      <c r="V130" s="3">
        <f t="shared" si="109"/>
        <v>0</v>
      </c>
      <c r="W130" s="3">
        <f t="shared" si="110"/>
        <v>0</v>
      </c>
      <c r="X130" s="3">
        <f>(ROUND((((S130+ROUND((ROUND(((EU130)*AV130*I130),2)*BS130),2))*AT130)/100),2)+ROUND(((ROUND((ROUND(((AE130-(EU130))*AV130*I130),2)*BS130),2)*AT130)/100),2))</f>
        <v>0</v>
      </c>
      <c r="Y130" s="3">
        <f>(ROUND((((S130+ROUND((ROUND(((EU130)*AV130*I130),2)*BS130),2))*AU130)/100),2)+ROUND(((ROUND((ROUND(((AE130-(EU130))*AV130*I130),2)*BS130),2)*AU130)/100),2))</f>
        <v>0</v>
      </c>
      <c r="AA130" s="3">
        <v>57014140</v>
      </c>
      <c r="AB130" s="3">
        <f t="shared" si="111"/>
        <v>4438.4399999999996</v>
      </c>
      <c r="AC130" s="3">
        <f>ROUND((ES130),6)</f>
        <v>4438.4399999999996</v>
      </c>
      <c r="AD130" s="3">
        <f>ROUND((((ET130)-(EU130))+AE130),6)</f>
        <v>0</v>
      </c>
      <c r="AE130" s="3">
        <f>ROUND((EU130),6)</f>
        <v>0</v>
      </c>
      <c r="AF130" s="3">
        <f>ROUND((EV130),6)</f>
        <v>0</v>
      </c>
      <c r="AG130" s="3">
        <f t="shared" si="112"/>
        <v>0</v>
      </c>
      <c r="AH130" s="3">
        <f>(EW130)</f>
        <v>0</v>
      </c>
      <c r="AI130" s="3">
        <f>(EX130)</f>
        <v>0</v>
      </c>
      <c r="AJ130" s="3">
        <f t="shared" si="113"/>
        <v>0</v>
      </c>
      <c r="AK130" s="3">
        <v>4438.4399999999996</v>
      </c>
      <c r="AL130" s="3">
        <v>4438.4399999999996</v>
      </c>
      <c r="AM130" s="3">
        <v>0</v>
      </c>
      <c r="AN130" s="3">
        <v>0</v>
      </c>
      <c r="AO130" s="3">
        <v>0</v>
      </c>
      <c r="AP130" s="3">
        <v>0</v>
      </c>
      <c r="AQ130" s="3">
        <v>0</v>
      </c>
      <c r="AR130" s="3">
        <v>0</v>
      </c>
      <c r="AS130" s="3">
        <v>0</v>
      </c>
      <c r="AT130" s="3">
        <v>0</v>
      </c>
      <c r="AU130" s="3">
        <v>0</v>
      </c>
      <c r="AV130" s="3">
        <v>1</v>
      </c>
      <c r="AW130" s="3">
        <v>1</v>
      </c>
      <c r="AZ130" s="3">
        <v>1</v>
      </c>
      <c r="BA130" s="3">
        <v>1</v>
      </c>
      <c r="BB130" s="3">
        <v>1</v>
      </c>
      <c r="BC130" s="3">
        <v>7.57</v>
      </c>
      <c r="BD130" s="3" t="s">
        <v>3</v>
      </c>
      <c r="BE130" s="3" t="s">
        <v>3</v>
      </c>
      <c r="BF130" s="3" t="s">
        <v>3</v>
      </c>
      <c r="BG130" s="3" t="s">
        <v>3</v>
      </c>
      <c r="BH130" s="3">
        <v>3</v>
      </c>
      <c r="BI130" s="3">
        <v>3</v>
      </c>
      <c r="BJ130" s="3" t="s">
        <v>210</v>
      </c>
      <c r="BM130" s="3">
        <v>400007</v>
      </c>
      <c r="BN130" s="3">
        <v>0</v>
      </c>
      <c r="BO130" s="3" t="s">
        <v>3</v>
      </c>
      <c r="BP130" s="3">
        <v>0</v>
      </c>
      <c r="BQ130" s="3">
        <v>214</v>
      </c>
      <c r="BR130" s="3">
        <v>0</v>
      </c>
      <c r="BS130" s="3">
        <v>1</v>
      </c>
      <c r="BT130" s="3">
        <v>1</v>
      </c>
      <c r="BU130" s="3">
        <v>1</v>
      </c>
      <c r="BV130" s="3">
        <v>1</v>
      </c>
      <c r="BW130" s="3">
        <v>1</v>
      </c>
      <c r="BX130" s="3">
        <v>1</v>
      </c>
      <c r="BY130" s="3" t="s">
        <v>3</v>
      </c>
      <c r="BZ130" s="3">
        <v>0</v>
      </c>
      <c r="CA130" s="3">
        <v>0</v>
      </c>
      <c r="CB130" s="3" t="s">
        <v>3</v>
      </c>
      <c r="CE130" s="3">
        <v>1566</v>
      </c>
      <c r="CF130" s="3">
        <v>0</v>
      </c>
      <c r="CG130" s="3">
        <v>0</v>
      </c>
      <c r="CM130" s="3">
        <v>0</v>
      </c>
      <c r="CN130" s="3" t="s">
        <v>3</v>
      </c>
      <c r="CO130" s="3">
        <v>0</v>
      </c>
      <c r="CP130" s="3">
        <f t="shared" si="114"/>
        <v>33598.99</v>
      </c>
      <c r="CQ130" s="3">
        <f t="shared" si="115"/>
        <v>33598.99</v>
      </c>
      <c r="CR130" s="3">
        <f>(ROUND((ROUND(((ET130)*AV130*1),2)*BB130),2)+ROUND((ROUND(((AE130-(EU130))*AV130*1),2)*BS130),2))</f>
        <v>0</v>
      </c>
      <c r="CS130" s="3">
        <f>(ROUND((ROUND(((EU130)*AV130*1),2)*BS130),2)+ROUND((ROUND(((AE130-(EU130))*AV130*1),2)*BS130),2))</f>
        <v>0</v>
      </c>
      <c r="CT130" s="3">
        <f t="shared" si="116"/>
        <v>0</v>
      </c>
      <c r="CU130" s="3">
        <f t="shared" si="117"/>
        <v>0</v>
      </c>
      <c r="CV130" s="3">
        <f t="shared" si="118"/>
        <v>0</v>
      </c>
      <c r="CW130" s="3">
        <f t="shared" si="119"/>
        <v>0</v>
      </c>
      <c r="CX130" s="3">
        <f t="shared" si="120"/>
        <v>0</v>
      </c>
      <c r="CY130" s="3">
        <f>(ROUND((((S130+ROUND((ROUND(((EU130)*AV130*1),2)*BS130),2))*AT130)/100),2)+ROUND(((ROUND((ROUND(((AE130-(EU130))*AV130*1),2)*BS130),2)*AT130)/100),2))</f>
        <v>0</v>
      </c>
      <c r="CZ130" s="3">
        <f>(ROUND((((S130+ROUND((ROUND(((EU130)*AV130*1),2)*BS130),2))*AU130)/100),2)+ROUND(((ROUND((ROUND(((AE130-(EU130))*AV130*1),2)*BS130),2)*AU130)/100),2))</f>
        <v>0</v>
      </c>
      <c r="DC130" s="3" t="s">
        <v>3</v>
      </c>
      <c r="DD130" s="3" t="s">
        <v>3</v>
      </c>
      <c r="DE130" s="3" t="s">
        <v>3</v>
      </c>
      <c r="DF130" s="3" t="s">
        <v>3</v>
      </c>
      <c r="DG130" s="3" t="s">
        <v>3</v>
      </c>
      <c r="DH130" s="3" t="s">
        <v>3</v>
      </c>
      <c r="DI130" s="3" t="s">
        <v>3</v>
      </c>
      <c r="DJ130" s="3" t="s">
        <v>3</v>
      </c>
      <c r="DK130" s="3" t="s">
        <v>3</v>
      </c>
      <c r="DL130" s="3" t="s">
        <v>3</v>
      </c>
      <c r="DM130" s="3" t="s">
        <v>3</v>
      </c>
      <c r="DN130" s="3">
        <v>0</v>
      </c>
      <c r="DO130" s="3">
        <v>0</v>
      </c>
      <c r="DP130" s="3">
        <v>1</v>
      </c>
      <c r="DQ130" s="3">
        <v>1</v>
      </c>
      <c r="DU130" s="3">
        <v>1013</v>
      </c>
      <c r="DV130" s="3" t="s">
        <v>152</v>
      </c>
      <c r="DW130" s="3" t="s">
        <v>152</v>
      </c>
      <c r="DX130" s="3">
        <v>1</v>
      </c>
      <c r="DZ130" s="3" t="s">
        <v>3</v>
      </c>
      <c r="EA130" s="3" t="s">
        <v>3</v>
      </c>
      <c r="EB130" s="3" t="s">
        <v>3</v>
      </c>
      <c r="EC130" s="3" t="s">
        <v>3</v>
      </c>
      <c r="EE130" s="3">
        <v>57042890</v>
      </c>
      <c r="EF130" s="3">
        <v>214</v>
      </c>
      <c r="EG130" s="3" t="s">
        <v>153</v>
      </c>
      <c r="EH130" s="3">
        <v>0</v>
      </c>
      <c r="EI130" s="3" t="s">
        <v>3</v>
      </c>
      <c r="EJ130" s="3">
        <v>3</v>
      </c>
      <c r="EK130" s="3">
        <v>400007</v>
      </c>
      <c r="EL130" s="3" t="s">
        <v>153</v>
      </c>
      <c r="EM130" s="3" t="s">
        <v>154</v>
      </c>
      <c r="EO130" s="3" t="s">
        <v>3</v>
      </c>
      <c r="EQ130" s="3">
        <v>16</v>
      </c>
      <c r="ER130" s="3">
        <v>0</v>
      </c>
      <c r="ES130" s="3">
        <v>4438.4399999999996</v>
      </c>
      <c r="ET130" s="3">
        <v>0</v>
      </c>
      <c r="EU130" s="3">
        <v>0</v>
      </c>
      <c r="EV130" s="3">
        <v>0</v>
      </c>
      <c r="EW130" s="3">
        <v>0</v>
      </c>
      <c r="EX130" s="3">
        <v>0</v>
      </c>
      <c r="EY130" s="3">
        <v>0</v>
      </c>
      <c r="EZ130" s="3">
        <v>5</v>
      </c>
      <c r="FC130" s="3">
        <v>1</v>
      </c>
      <c r="FD130" s="3">
        <v>18</v>
      </c>
      <c r="FF130" s="3">
        <v>39325</v>
      </c>
      <c r="FQ130" s="3">
        <v>0</v>
      </c>
      <c r="FR130" s="3">
        <f>P130</f>
        <v>33598.99</v>
      </c>
      <c r="FS130" s="3">
        <v>0</v>
      </c>
      <c r="FX130" s="3">
        <v>0</v>
      </c>
      <c r="FY130" s="3">
        <v>0</v>
      </c>
      <c r="GA130" s="3" t="s">
        <v>212</v>
      </c>
      <c r="GD130" s="3">
        <v>1</v>
      </c>
      <c r="GF130" s="3">
        <v>-589543128</v>
      </c>
      <c r="GG130" s="3">
        <v>2</v>
      </c>
      <c r="GH130" s="3">
        <v>3</v>
      </c>
      <c r="GI130" s="3">
        <v>5</v>
      </c>
      <c r="GJ130" s="3">
        <v>0</v>
      </c>
      <c r="GK130" s="3">
        <v>0</v>
      </c>
      <c r="GL130" s="3">
        <f t="shared" si="121"/>
        <v>0</v>
      </c>
      <c r="GM130" s="3">
        <f t="shared" si="122"/>
        <v>33598.99</v>
      </c>
      <c r="GN130" s="3">
        <f t="shared" si="123"/>
        <v>0</v>
      </c>
      <c r="GO130" s="3">
        <f t="shared" si="124"/>
        <v>0</v>
      </c>
      <c r="GP130" s="3">
        <f t="shared" si="125"/>
        <v>0</v>
      </c>
      <c r="GR130" s="3">
        <v>1</v>
      </c>
      <c r="GS130" s="3">
        <v>1</v>
      </c>
      <c r="GT130" s="3">
        <v>0</v>
      </c>
      <c r="GU130" s="3" t="s">
        <v>3</v>
      </c>
      <c r="GV130" s="3">
        <f t="shared" si="126"/>
        <v>0</v>
      </c>
      <c r="GW130" s="3">
        <v>1</v>
      </c>
      <c r="GX130" s="3">
        <f t="shared" si="127"/>
        <v>0</v>
      </c>
      <c r="HA130" s="3">
        <v>0</v>
      </c>
      <c r="HB130" s="3">
        <v>0</v>
      </c>
      <c r="HC130" s="3">
        <f t="shared" si="128"/>
        <v>0</v>
      </c>
      <c r="HE130" s="3" t="s">
        <v>39</v>
      </c>
      <c r="HF130" s="3" t="s">
        <v>156</v>
      </c>
      <c r="HM130" s="3" t="s">
        <v>3</v>
      </c>
      <c r="HN130" s="3" t="s">
        <v>3</v>
      </c>
      <c r="HO130" s="3" t="s">
        <v>3</v>
      </c>
      <c r="HP130" s="3" t="s">
        <v>3</v>
      </c>
      <c r="HQ130" s="3" t="s">
        <v>3</v>
      </c>
      <c r="HS130" s="3">
        <v>0</v>
      </c>
      <c r="IK130" s="3">
        <v>0</v>
      </c>
    </row>
    <row r="131" spans="1:255" x14ac:dyDescent="0.25">
      <c r="A131" s="2">
        <v>17</v>
      </c>
      <c r="B131" s="2">
        <v>1</v>
      </c>
      <c r="C131" s="2">
        <f>ROW(SmtRes!A165)</f>
        <v>165</v>
      </c>
      <c r="D131" s="2">
        <f>ROW(EtalonRes!A215)</f>
        <v>215</v>
      </c>
      <c r="E131" s="2" t="s">
        <v>213</v>
      </c>
      <c r="F131" s="2" t="s">
        <v>177</v>
      </c>
      <c r="G131" s="2" t="s">
        <v>178</v>
      </c>
      <c r="H131" s="2" t="s">
        <v>27</v>
      </c>
      <c r="I131" s="2">
        <v>2</v>
      </c>
      <c r="J131" s="2">
        <v>0</v>
      </c>
      <c r="K131" s="2">
        <v>2</v>
      </c>
      <c r="L131" s="2"/>
      <c r="M131" s="2"/>
      <c r="N131" s="2"/>
      <c r="O131" s="2">
        <f t="shared" si="104"/>
        <v>264.02999999999997</v>
      </c>
      <c r="P131" s="2">
        <f t="shared" si="105"/>
        <v>25.06</v>
      </c>
      <c r="Q131" s="2">
        <f>(ROUND((ROUND((((ET131*1.2))*AV131*I131),2)*BB131),2)+ROUND((ROUND(((AE131-((EU131*1.2)))*AV131*I131),2)*BS131),2))</f>
        <v>0.15</v>
      </c>
      <c r="R131" s="2">
        <f>(ROUND((ROUND((((EU131*1.2))*AV131*I131),2)*BS131),2)+ROUND((ROUND(((AE131-((EU131*1.2)))*AV131*I131),2)*BS131),2))</f>
        <v>0.03</v>
      </c>
      <c r="S131" s="2">
        <f t="shared" si="106"/>
        <v>238.82</v>
      </c>
      <c r="T131" s="2">
        <f t="shared" si="107"/>
        <v>0</v>
      </c>
      <c r="U131" s="2">
        <f t="shared" si="108"/>
        <v>18.09216</v>
      </c>
      <c r="V131" s="2">
        <f t="shared" si="109"/>
        <v>0</v>
      </c>
      <c r="W131" s="2">
        <f t="shared" si="110"/>
        <v>0</v>
      </c>
      <c r="X131" s="2">
        <f>(ROUND((((S131+ROUND((ROUND((((EU131*1.2))*AV131*I131),2)*BS131),2))*AT131)/100),2)+ROUND(((ROUND((ROUND(((AE131-((EU131*1.2)))*AV131*I131),2)*BS131),2)*AT131)/100),2))</f>
        <v>214.97</v>
      </c>
      <c r="Y131" s="2">
        <f>(ROUND((((S131+ROUND((ROUND((((EU131*1.2))*AV131*I131),2)*BS131),2))*AU131)/100),2)+ROUND(((ROUND((ROUND(((AE131-((EU131*1.2)))*AV131*I131),2)*BS131),2)*AU131)/100),2))</f>
        <v>109.87</v>
      </c>
      <c r="Z131" s="2"/>
      <c r="AA131" s="2">
        <v>57014138</v>
      </c>
      <c r="AB131" s="2">
        <f t="shared" si="111"/>
        <v>126.65</v>
      </c>
      <c r="AC131" s="2">
        <f>ROUND(((ES131*1)),6)</f>
        <v>12.53</v>
      </c>
      <c r="AD131" s="2">
        <f>ROUND(((((ET131*1.2))-((EU131*1.2)))+AE131),6)</f>
        <v>7.1999999999999995E-2</v>
      </c>
      <c r="AE131" s="2">
        <f t="shared" ref="AE131:AF134" si="133">ROUND(((EU131*1.2)),6)</f>
        <v>1.2E-2</v>
      </c>
      <c r="AF131" s="2">
        <f t="shared" si="133"/>
        <v>114.048</v>
      </c>
      <c r="AG131" s="2">
        <f t="shared" si="112"/>
        <v>0</v>
      </c>
      <c r="AH131" s="2">
        <f t="shared" ref="AH131:AI134" si="134">((EW131*1.2))</f>
        <v>8.64</v>
      </c>
      <c r="AI131" s="2">
        <f t="shared" si="134"/>
        <v>0</v>
      </c>
      <c r="AJ131" s="2">
        <f t="shared" si="113"/>
        <v>0</v>
      </c>
      <c r="AK131" s="2">
        <v>107.63</v>
      </c>
      <c r="AL131" s="2">
        <v>12.53</v>
      </c>
      <c r="AM131" s="2">
        <v>0.06</v>
      </c>
      <c r="AN131" s="2">
        <v>0.01</v>
      </c>
      <c r="AO131" s="2">
        <v>95.04</v>
      </c>
      <c r="AP131" s="2">
        <v>0</v>
      </c>
      <c r="AQ131" s="2">
        <v>7.2</v>
      </c>
      <c r="AR131" s="2">
        <v>0</v>
      </c>
      <c r="AS131" s="2">
        <v>0</v>
      </c>
      <c r="AT131" s="2">
        <v>90</v>
      </c>
      <c r="AU131" s="2">
        <v>46</v>
      </c>
      <c r="AV131" s="2">
        <v>1.0469999999999999</v>
      </c>
      <c r="AW131" s="2">
        <v>1</v>
      </c>
      <c r="AX131" s="2"/>
      <c r="AY131" s="2"/>
      <c r="AZ131" s="2">
        <v>1</v>
      </c>
      <c r="BA131" s="2">
        <v>1</v>
      </c>
      <c r="BB131" s="2">
        <v>1</v>
      </c>
      <c r="BC131" s="2">
        <v>1</v>
      </c>
      <c r="BD131" s="2" t="s">
        <v>3</v>
      </c>
      <c r="BE131" s="2" t="s">
        <v>3</v>
      </c>
      <c r="BF131" s="2" t="s">
        <v>3</v>
      </c>
      <c r="BG131" s="2" t="s">
        <v>3</v>
      </c>
      <c r="BH131" s="2">
        <v>0</v>
      </c>
      <c r="BI131" s="2">
        <v>2</v>
      </c>
      <c r="BJ131" s="2" t="s">
        <v>179</v>
      </c>
      <c r="BK131" s="2"/>
      <c r="BL131" s="2"/>
      <c r="BM131" s="2">
        <v>68</v>
      </c>
      <c r="BN131" s="2">
        <v>0</v>
      </c>
      <c r="BO131" s="2" t="s">
        <v>177</v>
      </c>
      <c r="BP131" s="2">
        <v>1</v>
      </c>
      <c r="BQ131" s="2">
        <v>40</v>
      </c>
      <c r="BR131" s="2">
        <v>0</v>
      </c>
      <c r="BS131" s="2">
        <v>1</v>
      </c>
      <c r="BT131" s="2">
        <v>1</v>
      </c>
      <c r="BU131" s="2">
        <v>1</v>
      </c>
      <c r="BV131" s="2">
        <v>1</v>
      </c>
      <c r="BW131" s="2">
        <v>1</v>
      </c>
      <c r="BX131" s="2">
        <v>1</v>
      </c>
      <c r="BY131" s="2" t="s">
        <v>3</v>
      </c>
      <c r="BZ131" s="2">
        <v>90</v>
      </c>
      <c r="CA131" s="2">
        <v>46</v>
      </c>
      <c r="CB131" s="2" t="s">
        <v>3</v>
      </c>
      <c r="CC131" s="2"/>
      <c r="CD131" s="2"/>
      <c r="CE131" s="2">
        <v>1566</v>
      </c>
      <c r="CF131" s="2">
        <v>0</v>
      </c>
      <c r="CG131" s="2">
        <v>0</v>
      </c>
      <c r="CH131" s="2"/>
      <c r="CI131" s="2"/>
      <c r="CJ131" s="2"/>
      <c r="CK131" s="2"/>
      <c r="CL131" s="2"/>
      <c r="CM131" s="2">
        <v>0</v>
      </c>
      <c r="CN131" s="2" t="s">
        <v>624</v>
      </c>
      <c r="CO131" s="2">
        <v>0</v>
      </c>
      <c r="CP131" s="2">
        <f t="shared" si="114"/>
        <v>264.02999999999997</v>
      </c>
      <c r="CQ131" s="2">
        <f t="shared" si="115"/>
        <v>12.53</v>
      </c>
      <c r="CR131" s="2">
        <f>(ROUND((ROUND((((ET131*1.2))*AV131*1),2)*BB131),2)+ROUND((ROUND(((AE131-((EU131*1.2)))*AV131*1),2)*BS131),2))</f>
        <v>0.08</v>
      </c>
      <c r="CS131" s="2">
        <f>(ROUND((ROUND((((EU131*1.2))*AV131*1),2)*BS131),2)+ROUND((ROUND(((AE131-((EU131*1.2)))*AV131*1),2)*BS131),2))</f>
        <v>0.01</v>
      </c>
      <c r="CT131" s="2">
        <f t="shared" si="116"/>
        <v>119.41</v>
      </c>
      <c r="CU131" s="2">
        <f t="shared" si="117"/>
        <v>0</v>
      </c>
      <c r="CV131" s="2">
        <f t="shared" si="118"/>
        <v>9.0460799999999999</v>
      </c>
      <c r="CW131" s="2">
        <f t="shared" si="119"/>
        <v>0</v>
      </c>
      <c r="CX131" s="2">
        <f t="shared" si="120"/>
        <v>0</v>
      </c>
      <c r="CY131" s="2">
        <f>(ROUND((((S131+ROUND((ROUND((((EU131*1.2))*AV131*1),2)*BS131),2))*AT131)/100),2)+ROUND(((ROUND((ROUND(((AE131-((EU131*1.2)))*AV131*1),2)*BS131),2)*AT131)/100),2))</f>
        <v>214.95</v>
      </c>
      <c r="CZ131" s="2">
        <f>(ROUND((((S131+ROUND((ROUND((((EU131*1.2))*AV131*1),2)*BS131),2))*AU131)/100),2)+ROUND(((ROUND((ROUND(((AE131-((EU131*1.2)))*AV131*1),2)*BS131),2)*AU131)/100),2))</f>
        <v>109.86</v>
      </c>
      <c r="DA131" s="2"/>
      <c r="DB131" s="2">
        <v>69</v>
      </c>
      <c r="DC131" s="2" t="s">
        <v>3</v>
      </c>
      <c r="DD131" s="2" t="s">
        <v>70</v>
      </c>
      <c r="DE131" s="2" t="s">
        <v>71</v>
      </c>
      <c r="DF131" s="2" t="s">
        <v>71</v>
      </c>
      <c r="DG131" s="2" t="s">
        <v>71</v>
      </c>
      <c r="DH131" s="2" t="s">
        <v>3</v>
      </c>
      <c r="DI131" s="2" t="s">
        <v>71</v>
      </c>
      <c r="DJ131" s="2" t="s">
        <v>71</v>
      </c>
      <c r="DK131" s="2" t="s">
        <v>3</v>
      </c>
      <c r="DL131" s="2" t="s">
        <v>3</v>
      </c>
      <c r="DM131" s="2" t="s">
        <v>3</v>
      </c>
      <c r="DN131" s="2">
        <v>0</v>
      </c>
      <c r="DO131" s="2">
        <v>0</v>
      </c>
      <c r="DP131" s="2">
        <v>1</v>
      </c>
      <c r="DQ131" s="2">
        <v>1</v>
      </c>
      <c r="DR131" s="2"/>
      <c r="DS131" s="2"/>
      <c r="DT131" s="2"/>
      <c r="DU131" s="2">
        <v>1013</v>
      </c>
      <c r="DV131" s="2" t="s">
        <v>27</v>
      </c>
      <c r="DW131" s="2" t="s">
        <v>27</v>
      </c>
      <c r="DX131" s="2">
        <v>1</v>
      </c>
      <c r="DY131" s="2"/>
      <c r="DZ131" s="2" t="s">
        <v>3</v>
      </c>
      <c r="EA131" s="2" t="s">
        <v>3</v>
      </c>
      <c r="EB131" s="2" t="s">
        <v>3</v>
      </c>
      <c r="EC131" s="2" t="s">
        <v>3</v>
      </c>
      <c r="ED131" s="2"/>
      <c r="EE131" s="2">
        <v>57042958</v>
      </c>
      <c r="EF131" s="2">
        <v>40</v>
      </c>
      <c r="EG131" s="2" t="s">
        <v>31</v>
      </c>
      <c r="EH131" s="2">
        <v>0</v>
      </c>
      <c r="EI131" s="2" t="s">
        <v>3</v>
      </c>
      <c r="EJ131" s="2">
        <v>2</v>
      </c>
      <c r="EK131" s="2">
        <v>68</v>
      </c>
      <c r="EL131" s="2" t="s">
        <v>32</v>
      </c>
      <c r="EM131" s="2" t="s">
        <v>33</v>
      </c>
      <c r="EN131" s="2"/>
      <c r="EO131" s="2" t="s">
        <v>75</v>
      </c>
      <c r="EP131" s="2"/>
      <c r="EQ131" s="2">
        <v>0</v>
      </c>
      <c r="ER131" s="2">
        <v>107.63</v>
      </c>
      <c r="ES131" s="2">
        <v>12.53</v>
      </c>
      <c r="ET131" s="2">
        <v>0.06</v>
      </c>
      <c r="EU131" s="2">
        <v>0.01</v>
      </c>
      <c r="EV131" s="2">
        <v>95.04</v>
      </c>
      <c r="EW131" s="2">
        <v>7.2</v>
      </c>
      <c r="EX131" s="2">
        <v>0</v>
      </c>
      <c r="EY131" s="2">
        <v>0</v>
      </c>
      <c r="EZ131" s="2"/>
      <c r="FA131" s="2"/>
      <c r="FB131" s="2"/>
      <c r="FC131" s="2"/>
      <c r="FD131" s="2"/>
      <c r="FE131" s="2"/>
      <c r="FF131" s="2"/>
      <c r="FG131" s="2"/>
      <c r="FH131" s="2"/>
      <c r="FI131" s="2"/>
      <c r="FJ131" s="2"/>
      <c r="FK131" s="2"/>
      <c r="FL131" s="2"/>
      <c r="FM131" s="2"/>
      <c r="FN131" s="2"/>
      <c r="FO131" s="2"/>
      <c r="FP131" s="2"/>
      <c r="FQ131" s="2">
        <v>0</v>
      </c>
      <c r="FR131" s="2">
        <v>0</v>
      </c>
      <c r="FS131" s="2">
        <v>0</v>
      </c>
      <c r="FT131" s="2"/>
      <c r="FU131" s="2"/>
      <c r="FV131" s="2"/>
      <c r="FW131" s="2"/>
      <c r="FX131" s="2">
        <v>90</v>
      </c>
      <c r="FY131" s="2">
        <v>46</v>
      </c>
      <c r="FZ131" s="2"/>
      <c r="GA131" s="2" t="s">
        <v>3</v>
      </c>
      <c r="GB131" s="2"/>
      <c r="GC131" s="2"/>
      <c r="GD131" s="2">
        <v>1</v>
      </c>
      <c r="GE131" s="2"/>
      <c r="GF131" s="2">
        <v>-488197810</v>
      </c>
      <c r="GG131" s="2">
        <v>2</v>
      </c>
      <c r="GH131" s="2">
        <v>1</v>
      </c>
      <c r="GI131" s="2">
        <v>2</v>
      </c>
      <c r="GJ131" s="2">
        <v>0</v>
      </c>
      <c r="GK131" s="2">
        <v>0</v>
      </c>
      <c r="GL131" s="2">
        <f t="shared" si="121"/>
        <v>0</v>
      </c>
      <c r="GM131" s="2">
        <f t="shared" si="122"/>
        <v>588.87</v>
      </c>
      <c r="GN131" s="2">
        <f t="shared" si="123"/>
        <v>0</v>
      </c>
      <c r="GO131" s="2">
        <f t="shared" si="124"/>
        <v>588.87</v>
      </c>
      <c r="GP131" s="2">
        <f t="shared" si="125"/>
        <v>0</v>
      </c>
      <c r="GQ131" s="2"/>
      <c r="GR131" s="2">
        <v>0</v>
      </c>
      <c r="GS131" s="2">
        <v>3</v>
      </c>
      <c r="GT131" s="2">
        <v>0</v>
      </c>
      <c r="GU131" s="2" t="s">
        <v>3</v>
      </c>
      <c r="GV131" s="2">
        <f t="shared" si="126"/>
        <v>0</v>
      </c>
      <c r="GW131" s="2">
        <v>1</v>
      </c>
      <c r="GX131" s="2">
        <f t="shared" si="127"/>
        <v>0</v>
      </c>
      <c r="GY131" s="2"/>
      <c r="GZ131" s="2"/>
      <c r="HA131" s="2">
        <v>0</v>
      </c>
      <c r="HB131" s="2">
        <v>0</v>
      </c>
      <c r="HC131" s="2">
        <f t="shared" si="128"/>
        <v>0</v>
      </c>
      <c r="HD131" s="2"/>
      <c r="HE131" s="2" t="s">
        <v>3</v>
      </c>
      <c r="HF131" s="2" t="s">
        <v>3</v>
      </c>
      <c r="HG131" s="2"/>
      <c r="HH131" s="2"/>
      <c r="HI131" s="2"/>
      <c r="HJ131" s="2"/>
      <c r="HK131" s="2"/>
      <c r="HL131" s="2"/>
      <c r="HM131" s="2" t="s">
        <v>3</v>
      </c>
      <c r="HN131" s="2" t="s">
        <v>3</v>
      </c>
      <c r="HO131" s="2" t="s">
        <v>3</v>
      </c>
      <c r="HP131" s="2" t="s">
        <v>3</v>
      </c>
      <c r="HQ131" s="2" t="s">
        <v>3</v>
      </c>
      <c r="HR131" s="2"/>
      <c r="HS131" s="2">
        <v>0</v>
      </c>
      <c r="HT131" s="2"/>
      <c r="HU131" s="2"/>
      <c r="HV131" s="2"/>
      <c r="HW131" s="2"/>
      <c r="HX131" s="2"/>
      <c r="HY131" s="2"/>
      <c r="HZ131" s="2"/>
      <c r="IA131" s="2"/>
      <c r="IB131" s="2"/>
      <c r="IC131" s="2"/>
      <c r="ID131" s="2"/>
      <c r="IE131" s="2"/>
      <c r="IF131" s="2"/>
      <c r="IG131" s="2"/>
      <c r="IH131" s="2"/>
      <c r="II131" s="2"/>
      <c r="IJ131" s="2"/>
      <c r="IK131" s="2">
        <v>0</v>
      </c>
      <c r="IL131" s="2"/>
      <c r="IM131" s="2"/>
      <c r="IN131" s="2"/>
      <c r="IO131" s="2"/>
      <c r="IP131" s="2"/>
      <c r="IQ131" s="2"/>
      <c r="IR131" s="2"/>
      <c r="IS131" s="2"/>
      <c r="IT131" s="2"/>
      <c r="IU131" s="2"/>
    </row>
    <row r="132" spans="1:255" x14ac:dyDescent="0.25">
      <c r="A132" s="3">
        <v>17</v>
      </c>
      <c r="B132" s="3">
        <v>1</v>
      </c>
      <c r="C132" s="3">
        <f>ROW(SmtRes!A166)</f>
        <v>166</v>
      </c>
      <c r="D132" s="3">
        <f>ROW(EtalonRes!A216)</f>
        <v>216</v>
      </c>
      <c r="E132" s="3" t="s">
        <v>213</v>
      </c>
      <c r="F132" s="3" t="s">
        <v>177</v>
      </c>
      <c r="G132" s="3" t="s">
        <v>178</v>
      </c>
      <c r="H132" s="3" t="s">
        <v>27</v>
      </c>
      <c r="I132" s="3">
        <v>2</v>
      </c>
      <c r="J132" s="3">
        <v>0</v>
      </c>
      <c r="K132" s="3">
        <v>2</v>
      </c>
      <c r="O132" s="3">
        <f t="shared" si="104"/>
        <v>13706.88</v>
      </c>
      <c r="P132" s="3">
        <f t="shared" si="105"/>
        <v>246.59</v>
      </c>
      <c r="Q132" s="3">
        <f>(ROUND((ROUND((((ET132*1.2))*AV132*I132),2)*BB132),2)+ROUND((ROUND(((AE132-((EU132*1.2)))*AV132*I132),2)*BS132),2))</f>
        <v>2.78</v>
      </c>
      <c r="R132" s="3">
        <f>(ROUND((ROUND((((EU132*1.2))*AV132*I132),2)*BS132),2)+ROUND((ROUND(((AE132-((EU132*1.2)))*AV132*I132),2)*BS132),2))</f>
        <v>1.69</v>
      </c>
      <c r="S132" s="3">
        <f t="shared" si="106"/>
        <v>13457.51</v>
      </c>
      <c r="T132" s="3">
        <f t="shared" si="107"/>
        <v>0</v>
      </c>
      <c r="U132" s="3">
        <f t="shared" si="108"/>
        <v>18.09216</v>
      </c>
      <c r="V132" s="3">
        <f t="shared" si="109"/>
        <v>0</v>
      </c>
      <c r="W132" s="3">
        <f t="shared" si="110"/>
        <v>0</v>
      </c>
      <c r="X132" s="3">
        <f>(ROUND((((S132+ROUND((ROUND((((EU132*1.2))*AV132*I132),2)*BS132),2))*AT132)/100),2)+ROUND(((ROUND((ROUND(((AE132-((EU132*1.2)))*AV132*I132),2)*BS132),2)*AT132)/100),2))</f>
        <v>12113.28</v>
      </c>
      <c r="Y132" s="3">
        <f>(ROUND((((S132+ROUND((ROUND((((EU132*1.2))*AV132*I132),2)*BS132),2))*AU132)/100),2)+ROUND(((ROUND((ROUND(((AE132-((EU132*1.2)))*AV132*I132),2)*BS132),2)*AU132)/100),2))</f>
        <v>6191.23</v>
      </c>
      <c r="AA132" s="3">
        <v>57014140</v>
      </c>
      <c r="AB132" s="3">
        <f t="shared" si="111"/>
        <v>126.65</v>
      </c>
      <c r="AC132" s="3">
        <f>ROUND(((ES132*1)),6)</f>
        <v>12.53</v>
      </c>
      <c r="AD132" s="3">
        <f>ROUND(((((ET132*1.2))-((EU132*1.2)))+AE132),6)</f>
        <v>7.1999999999999995E-2</v>
      </c>
      <c r="AE132" s="3">
        <f t="shared" si="133"/>
        <v>1.2E-2</v>
      </c>
      <c r="AF132" s="3">
        <f t="shared" si="133"/>
        <v>114.048</v>
      </c>
      <c r="AG132" s="3">
        <f t="shared" si="112"/>
        <v>0</v>
      </c>
      <c r="AH132" s="3">
        <f t="shared" si="134"/>
        <v>8.64</v>
      </c>
      <c r="AI132" s="3">
        <f t="shared" si="134"/>
        <v>0</v>
      </c>
      <c r="AJ132" s="3">
        <f t="shared" si="113"/>
        <v>0</v>
      </c>
      <c r="AK132" s="3">
        <v>107.63</v>
      </c>
      <c r="AL132" s="3">
        <v>12.53</v>
      </c>
      <c r="AM132" s="3">
        <v>0.06</v>
      </c>
      <c r="AN132" s="3">
        <v>0.01</v>
      </c>
      <c r="AO132" s="3">
        <v>95.04</v>
      </c>
      <c r="AP132" s="3">
        <v>0</v>
      </c>
      <c r="AQ132" s="3">
        <v>7.2</v>
      </c>
      <c r="AR132" s="3">
        <v>0</v>
      </c>
      <c r="AS132" s="3">
        <v>0</v>
      </c>
      <c r="AT132" s="3">
        <v>90</v>
      </c>
      <c r="AU132" s="3">
        <v>46</v>
      </c>
      <c r="AV132" s="3">
        <v>1.0469999999999999</v>
      </c>
      <c r="AW132" s="3">
        <v>1</v>
      </c>
      <c r="AZ132" s="3">
        <v>1</v>
      </c>
      <c r="BA132" s="3">
        <v>56.35</v>
      </c>
      <c r="BB132" s="3">
        <v>18.5</v>
      </c>
      <c r="BC132" s="3">
        <v>9.84</v>
      </c>
      <c r="BD132" s="3" t="s">
        <v>3</v>
      </c>
      <c r="BE132" s="3" t="s">
        <v>3</v>
      </c>
      <c r="BF132" s="3" t="s">
        <v>3</v>
      </c>
      <c r="BG132" s="3" t="s">
        <v>3</v>
      </c>
      <c r="BH132" s="3">
        <v>0</v>
      </c>
      <c r="BI132" s="3">
        <v>2</v>
      </c>
      <c r="BJ132" s="3" t="s">
        <v>179</v>
      </c>
      <c r="BM132" s="3">
        <v>68</v>
      </c>
      <c r="BN132" s="3">
        <v>0</v>
      </c>
      <c r="BO132" s="3" t="s">
        <v>177</v>
      </c>
      <c r="BP132" s="3">
        <v>1</v>
      </c>
      <c r="BQ132" s="3">
        <v>40</v>
      </c>
      <c r="BR132" s="3">
        <v>0</v>
      </c>
      <c r="BS132" s="3">
        <v>56.35</v>
      </c>
      <c r="BT132" s="3">
        <v>1</v>
      </c>
      <c r="BU132" s="3">
        <v>1</v>
      </c>
      <c r="BV132" s="3">
        <v>1</v>
      </c>
      <c r="BW132" s="3">
        <v>1</v>
      </c>
      <c r="BX132" s="3">
        <v>1</v>
      </c>
      <c r="BY132" s="3" t="s">
        <v>3</v>
      </c>
      <c r="BZ132" s="3">
        <v>90</v>
      </c>
      <c r="CA132" s="3">
        <v>46</v>
      </c>
      <c r="CB132" s="3" t="s">
        <v>3</v>
      </c>
      <c r="CE132" s="3">
        <v>1566</v>
      </c>
      <c r="CF132" s="3">
        <v>0</v>
      </c>
      <c r="CG132" s="3">
        <v>0</v>
      </c>
      <c r="CM132" s="3">
        <v>0</v>
      </c>
      <c r="CN132" s="3" t="s">
        <v>624</v>
      </c>
      <c r="CO132" s="3">
        <v>0</v>
      </c>
      <c r="CP132" s="3">
        <f t="shared" si="114"/>
        <v>13706.880000000001</v>
      </c>
      <c r="CQ132" s="3">
        <f t="shared" si="115"/>
        <v>123.3</v>
      </c>
      <c r="CR132" s="3">
        <f>(ROUND((ROUND((((ET132*1.2))*AV132*1),2)*BB132),2)+ROUND((ROUND(((AE132-((EU132*1.2)))*AV132*1),2)*BS132),2))</f>
        <v>1.48</v>
      </c>
      <c r="CS132" s="3">
        <f>(ROUND((ROUND((((EU132*1.2))*AV132*1),2)*BS132),2)+ROUND((ROUND(((AE132-((EU132*1.2)))*AV132*1),2)*BS132),2))</f>
        <v>0.56000000000000005</v>
      </c>
      <c r="CT132" s="3">
        <f t="shared" si="116"/>
        <v>6728.75</v>
      </c>
      <c r="CU132" s="3">
        <f t="shared" si="117"/>
        <v>0</v>
      </c>
      <c r="CV132" s="3">
        <f t="shared" si="118"/>
        <v>9.0460799999999999</v>
      </c>
      <c r="CW132" s="3">
        <f t="shared" si="119"/>
        <v>0</v>
      </c>
      <c r="CX132" s="3">
        <f t="shared" si="120"/>
        <v>0</v>
      </c>
      <c r="CY132" s="3">
        <f>(ROUND((((S132+ROUND((ROUND((((EU132*1.2))*AV132*1),2)*BS132),2))*AT132)/100),2)+ROUND(((ROUND((ROUND(((AE132-((EU132*1.2)))*AV132*1),2)*BS132),2)*AT132)/100),2))</f>
        <v>12112.26</v>
      </c>
      <c r="CZ132" s="3">
        <f>(ROUND((((S132+ROUND((ROUND((((EU132*1.2))*AV132*1),2)*BS132),2))*AU132)/100),2)+ROUND(((ROUND((ROUND(((AE132-((EU132*1.2)))*AV132*1),2)*BS132),2)*AU132)/100),2))</f>
        <v>6190.71</v>
      </c>
      <c r="DB132" s="3">
        <v>70</v>
      </c>
      <c r="DC132" s="3" t="s">
        <v>3</v>
      </c>
      <c r="DD132" s="3" t="s">
        <v>70</v>
      </c>
      <c r="DE132" s="3" t="s">
        <v>71</v>
      </c>
      <c r="DF132" s="3" t="s">
        <v>71</v>
      </c>
      <c r="DG132" s="3" t="s">
        <v>71</v>
      </c>
      <c r="DH132" s="3" t="s">
        <v>3</v>
      </c>
      <c r="DI132" s="3" t="s">
        <v>71</v>
      </c>
      <c r="DJ132" s="3" t="s">
        <v>71</v>
      </c>
      <c r="DK132" s="3" t="s">
        <v>3</v>
      </c>
      <c r="DL132" s="3" t="s">
        <v>3</v>
      </c>
      <c r="DM132" s="3" t="s">
        <v>3</v>
      </c>
      <c r="DN132" s="3">
        <v>0</v>
      </c>
      <c r="DO132" s="3">
        <v>0</v>
      </c>
      <c r="DP132" s="3">
        <v>1</v>
      </c>
      <c r="DQ132" s="3">
        <v>1</v>
      </c>
      <c r="DU132" s="3">
        <v>1013</v>
      </c>
      <c r="DV132" s="3" t="s">
        <v>27</v>
      </c>
      <c r="DW132" s="3" t="s">
        <v>27</v>
      </c>
      <c r="DX132" s="3">
        <v>1</v>
      </c>
      <c r="DZ132" s="3" t="s">
        <v>3</v>
      </c>
      <c r="EA132" s="3" t="s">
        <v>3</v>
      </c>
      <c r="EB132" s="3" t="s">
        <v>3</v>
      </c>
      <c r="EC132" s="3" t="s">
        <v>3</v>
      </c>
      <c r="EE132" s="3">
        <v>57042958</v>
      </c>
      <c r="EF132" s="3">
        <v>40</v>
      </c>
      <c r="EG132" s="3" t="s">
        <v>31</v>
      </c>
      <c r="EH132" s="3">
        <v>0</v>
      </c>
      <c r="EI132" s="3" t="s">
        <v>3</v>
      </c>
      <c r="EJ132" s="3">
        <v>2</v>
      </c>
      <c r="EK132" s="3">
        <v>68</v>
      </c>
      <c r="EL132" s="3" t="s">
        <v>32</v>
      </c>
      <c r="EM132" s="3" t="s">
        <v>33</v>
      </c>
      <c r="EO132" s="3" t="s">
        <v>75</v>
      </c>
      <c r="EQ132" s="3">
        <v>0</v>
      </c>
      <c r="ER132" s="3">
        <v>107.63</v>
      </c>
      <c r="ES132" s="3">
        <v>12.53</v>
      </c>
      <c r="ET132" s="3">
        <v>0.06</v>
      </c>
      <c r="EU132" s="3">
        <v>0.01</v>
      </c>
      <c r="EV132" s="3">
        <v>95.04</v>
      </c>
      <c r="EW132" s="3">
        <v>7.2</v>
      </c>
      <c r="EX132" s="3">
        <v>0</v>
      </c>
      <c r="EY132" s="3">
        <v>0</v>
      </c>
      <c r="FQ132" s="3">
        <v>0</v>
      </c>
      <c r="FR132" s="3">
        <v>0</v>
      </c>
      <c r="FS132" s="3">
        <v>0</v>
      </c>
      <c r="FX132" s="3">
        <v>90</v>
      </c>
      <c r="FY132" s="3">
        <v>46</v>
      </c>
      <c r="GA132" s="3" t="s">
        <v>3</v>
      </c>
      <c r="GD132" s="3">
        <v>1</v>
      </c>
      <c r="GF132" s="3">
        <v>-488197810</v>
      </c>
      <c r="GG132" s="3">
        <v>2</v>
      </c>
      <c r="GH132" s="3">
        <v>1</v>
      </c>
      <c r="GI132" s="3">
        <v>2</v>
      </c>
      <c r="GJ132" s="3">
        <v>0</v>
      </c>
      <c r="GK132" s="3">
        <v>0</v>
      </c>
      <c r="GL132" s="3">
        <f t="shared" si="121"/>
        <v>0</v>
      </c>
      <c r="GM132" s="3">
        <f t="shared" si="122"/>
        <v>32011.39</v>
      </c>
      <c r="GN132" s="3">
        <f t="shared" si="123"/>
        <v>0</v>
      </c>
      <c r="GO132" s="3">
        <f t="shared" si="124"/>
        <v>32011.39</v>
      </c>
      <c r="GP132" s="3">
        <f t="shared" si="125"/>
        <v>0</v>
      </c>
      <c r="GR132" s="3">
        <v>0</v>
      </c>
      <c r="GS132" s="3">
        <v>3</v>
      </c>
      <c r="GT132" s="3">
        <v>0</v>
      </c>
      <c r="GU132" s="3" t="s">
        <v>3</v>
      </c>
      <c r="GV132" s="3">
        <f t="shared" si="126"/>
        <v>0</v>
      </c>
      <c r="GW132" s="3">
        <v>1</v>
      </c>
      <c r="GX132" s="3">
        <f t="shared" si="127"/>
        <v>0</v>
      </c>
      <c r="HA132" s="3">
        <v>0</v>
      </c>
      <c r="HB132" s="3">
        <v>0</v>
      </c>
      <c r="HC132" s="3">
        <f t="shared" si="128"/>
        <v>0</v>
      </c>
      <c r="HE132" s="3" t="s">
        <v>3</v>
      </c>
      <c r="HF132" s="3" t="s">
        <v>3</v>
      </c>
      <c r="HM132" s="3" t="s">
        <v>3</v>
      </c>
      <c r="HN132" s="3" t="s">
        <v>3</v>
      </c>
      <c r="HO132" s="3" t="s">
        <v>3</v>
      </c>
      <c r="HP132" s="3" t="s">
        <v>3</v>
      </c>
      <c r="HQ132" s="3" t="s">
        <v>3</v>
      </c>
      <c r="HS132" s="3">
        <v>0</v>
      </c>
      <c r="IK132" s="3">
        <v>0</v>
      </c>
    </row>
    <row r="133" spans="1:255" x14ac:dyDescent="0.25">
      <c r="A133" s="2">
        <v>17</v>
      </c>
      <c r="B133" s="2">
        <v>1</v>
      </c>
      <c r="C133" s="2">
        <f>ROW(SmtRes!A167)</f>
        <v>167</v>
      </c>
      <c r="D133" s="2">
        <f>ROW(EtalonRes!A217)</f>
        <v>217</v>
      </c>
      <c r="E133" s="2" t="s">
        <v>3</v>
      </c>
      <c r="F133" s="2" t="s">
        <v>40</v>
      </c>
      <c r="G133" s="2" t="s">
        <v>214</v>
      </c>
      <c r="H133" s="2" t="s">
        <v>27</v>
      </c>
      <c r="I133" s="2">
        <v>2</v>
      </c>
      <c r="J133" s="2">
        <v>0</v>
      </c>
      <c r="K133" s="2">
        <v>2</v>
      </c>
      <c r="L133" s="2"/>
      <c r="M133" s="2"/>
      <c r="N133" s="2"/>
      <c r="O133" s="2">
        <f t="shared" si="104"/>
        <v>430.09</v>
      </c>
      <c r="P133" s="2">
        <f t="shared" si="105"/>
        <v>41.86</v>
      </c>
      <c r="Q133" s="2">
        <f>(ROUND((ROUND((((ET133*1.2))*AV133*I133),2)*BB133),2)+ROUND((ROUND(((AE133-((EU133*1.2)))*AV133*I133),2)*BS133),2))</f>
        <v>0.15</v>
      </c>
      <c r="R133" s="2">
        <f>(ROUND((ROUND((((EU133*1.2))*AV133*I133),2)*BS133),2)+ROUND((ROUND(((AE133-((EU133*1.2)))*AV133*I133),2)*BS133),2))</f>
        <v>0.03</v>
      </c>
      <c r="S133" s="2">
        <f t="shared" si="106"/>
        <v>388.08</v>
      </c>
      <c r="T133" s="2">
        <f t="shared" si="107"/>
        <v>0</v>
      </c>
      <c r="U133" s="2">
        <f t="shared" si="108"/>
        <v>29.399759999999997</v>
      </c>
      <c r="V133" s="2">
        <f t="shared" si="109"/>
        <v>0</v>
      </c>
      <c r="W133" s="2">
        <f t="shared" si="110"/>
        <v>0</v>
      </c>
      <c r="X133" s="2">
        <f>(ROUND((((S133+ROUND((ROUND((((EU133*1.2))*AV133*I133),2)*BS133),2))*AT133)/100),2)+ROUND(((ROUND((ROUND(((AE133-((EU133*1.2)))*AV133*I133),2)*BS133),2)*AT133)/100),2))</f>
        <v>349.3</v>
      </c>
      <c r="Y133" s="2">
        <f>(ROUND((((S133+ROUND((ROUND((((EU133*1.2))*AV133*I133),2)*BS133),2))*AU133)/100),2)+ROUND(((ROUND((ROUND(((AE133-((EU133*1.2)))*AV133*I133),2)*BS133),2)*AU133)/100),2))</f>
        <v>178.53</v>
      </c>
      <c r="Z133" s="2"/>
      <c r="AA133" s="2">
        <v>-1</v>
      </c>
      <c r="AB133" s="2">
        <f t="shared" si="111"/>
        <v>206.33</v>
      </c>
      <c r="AC133" s="2">
        <f>ROUND(((ES133*1)),6)</f>
        <v>20.93</v>
      </c>
      <c r="AD133" s="2">
        <f>ROUND(((((ET133*1.2))-((EU133*1.2)))+AE133),6)</f>
        <v>7.1999999999999995E-2</v>
      </c>
      <c r="AE133" s="2">
        <f t="shared" si="133"/>
        <v>1.2E-2</v>
      </c>
      <c r="AF133" s="2">
        <f t="shared" si="133"/>
        <v>185.328</v>
      </c>
      <c r="AG133" s="2">
        <f t="shared" si="112"/>
        <v>0</v>
      </c>
      <c r="AH133" s="2">
        <f t="shared" si="134"/>
        <v>14.04</v>
      </c>
      <c r="AI133" s="2">
        <f t="shared" si="134"/>
        <v>0</v>
      </c>
      <c r="AJ133" s="2">
        <f t="shared" si="113"/>
        <v>0</v>
      </c>
      <c r="AK133" s="2">
        <v>175.43</v>
      </c>
      <c r="AL133" s="2">
        <v>20.93</v>
      </c>
      <c r="AM133" s="2">
        <v>0.06</v>
      </c>
      <c r="AN133" s="2">
        <v>0.01</v>
      </c>
      <c r="AO133" s="2">
        <v>154.44</v>
      </c>
      <c r="AP133" s="2">
        <v>0</v>
      </c>
      <c r="AQ133" s="2">
        <v>11.7</v>
      </c>
      <c r="AR133" s="2">
        <v>0</v>
      </c>
      <c r="AS133" s="2">
        <v>0</v>
      </c>
      <c r="AT133" s="2">
        <v>90</v>
      </c>
      <c r="AU133" s="2">
        <v>46</v>
      </c>
      <c r="AV133" s="2">
        <v>1.0469999999999999</v>
      </c>
      <c r="AW133" s="2">
        <v>1</v>
      </c>
      <c r="AX133" s="2"/>
      <c r="AY133" s="2"/>
      <c r="AZ133" s="2">
        <v>1</v>
      </c>
      <c r="BA133" s="2">
        <v>1</v>
      </c>
      <c r="BB133" s="2">
        <v>1</v>
      </c>
      <c r="BC133" s="2">
        <v>1</v>
      </c>
      <c r="BD133" s="2" t="s">
        <v>3</v>
      </c>
      <c r="BE133" s="2" t="s">
        <v>3</v>
      </c>
      <c r="BF133" s="2" t="s">
        <v>3</v>
      </c>
      <c r="BG133" s="2" t="s">
        <v>3</v>
      </c>
      <c r="BH133" s="2">
        <v>0</v>
      </c>
      <c r="BI133" s="2">
        <v>2</v>
      </c>
      <c r="BJ133" s="2" t="s">
        <v>42</v>
      </c>
      <c r="BK133" s="2"/>
      <c r="BL133" s="2"/>
      <c r="BM133" s="2">
        <v>68</v>
      </c>
      <c r="BN133" s="2">
        <v>0</v>
      </c>
      <c r="BO133" s="2" t="s">
        <v>40</v>
      </c>
      <c r="BP133" s="2">
        <v>1</v>
      </c>
      <c r="BQ133" s="2">
        <v>40</v>
      </c>
      <c r="BR133" s="2">
        <v>0</v>
      </c>
      <c r="BS133" s="2">
        <v>1</v>
      </c>
      <c r="BT133" s="2">
        <v>1</v>
      </c>
      <c r="BU133" s="2">
        <v>1</v>
      </c>
      <c r="BV133" s="2">
        <v>1</v>
      </c>
      <c r="BW133" s="2">
        <v>1</v>
      </c>
      <c r="BX133" s="2">
        <v>1</v>
      </c>
      <c r="BY133" s="2" t="s">
        <v>3</v>
      </c>
      <c r="BZ133" s="2">
        <v>90</v>
      </c>
      <c r="CA133" s="2">
        <v>46</v>
      </c>
      <c r="CB133" s="2" t="s">
        <v>3</v>
      </c>
      <c r="CC133" s="2"/>
      <c r="CD133" s="2"/>
      <c r="CE133" s="2">
        <v>1566</v>
      </c>
      <c r="CF133" s="2">
        <v>0</v>
      </c>
      <c r="CG133" s="2">
        <v>0</v>
      </c>
      <c r="CH133" s="2"/>
      <c r="CI133" s="2"/>
      <c r="CJ133" s="2"/>
      <c r="CK133" s="2"/>
      <c r="CL133" s="2"/>
      <c r="CM133" s="2">
        <v>0</v>
      </c>
      <c r="CN133" s="2" t="s">
        <v>624</v>
      </c>
      <c r="CO133" s="2">
        <v>0</v>
      </c>
      <c r="CP133" s="2">
        <f t="shared" si="114"/>
        <v>430.09</v>
      </c>
      <c r="CQ133" s="2">
        <f t="shared" si="115"/>
        <v>20.93</v>
      </c>
      <c r="CR133" s="2">
        <f>(ROUND((ROUND((((ET133*1.2))*AV133*1),2)*BB133),2)+ROUND((ROUND(((AE133-((EU133*1.2)))*AV133*1),2)*BS133),2))</f>
        <v>0.08</v>
      </c>
      <c r="CS133" s="2">
        <f>(ROUND((ROUND((((EU133*1.2))*AV133*1),2)*BS133),2)+ROUND((ROUND(((AE133-((EU133*1.2)))*AV133*1),2)*BS133),2))</f>
        <v>0.01</v>
      </c>
      <c r="CT133" s="2">
        <f t="shared" si="116"/>
        <v>194.04</v>
      </c>
      <c r="CU133" s="2">
        <f t="shared" si="117"/>
        <v>0</v>
      </c>
      <c r="CV133" s="2">
        <f t="shared" si="118"/>
        <v>14.699879999999999</v>
      </c>
      <c r="CW133" s="2">
        <f t="shared" si="119"/>
        <v>0</v>
      </c>
      <c r="CX133" s="2">
        <f t="shared" si="120"/>
        <v>0</v>
      </c>
      <c r="CY133" s="2">
        <f>(ROUND((((S133+ROUND((ROUND((((EU133*1.2))*AV133*1),2)*BS133),2))*AT133)/100),2)+ROUND(((ROUND((ROUND(((AE133-((EU133*1.2)))*AV133*1),2)*BS133),2)*AT133)/100),2))</f>
        <v>349.28</v>
      </c>
      <c r="CZ133" s="2">
        <f>(ROUND((((S133+ROUND((ROUND((((EU133*1.2))*AV133*1),2)*BS133),2))*AU133)/100),2)+ROUND(((ROUND((ROUND(((AE133-((EU133*1.2)))*AV133*1),2)*BS133),2)*AU133)/100),2))</f>
        <v>178.52</v>
      </c>
      <c r="DA133" s="2"/>
      <c r="DB133" s="2">
        <v>71</v>
      </c>
      <c r="DC133" s="2" t="s">
        <v>3</v>
      </c>
      <c r="DD133" s="2" t="s">
        <v>70</v>
      </c>
      <c r="DE133" s="2" t="s">
        <v>71</v>
      </c>
      <c r="DF133" s="2" t="s">
        <v>71</v>
      </c>
      <c r="DG133" s="2" t="s">
        <v>71</v>
      </c>
      <c r="DH133" s="2" t="s">
        <v>3</v>
      </c>
      <c r="DI133" s="2" t="s">
        <v>71</v>
      </c>
      <c r="DJ133" s="2" t="s">
        <v>71</v>
      </c>
      <c r="DK133" s="2" t="s">
        <v>3</v>
      </c>
      <c r="DL133" s="2" t="s">
        <v>3</v>
      </c>
      <c r="DM133" s="2" t="s">
        <v>3</v>
      </c>
      <c r="DN133" s="2">
        <v>0</v>
      </c>
      <c r="DO133" s="2">
        <v>0</v>
      </c>
      <c r="DP133" s="2">
        <v>1</v>
      </c>
      <c r="DQ133" s="2">
        <v>1</v>
      </c>
      <c r="DR133" s="2"/>
      <c r="DS133" s="2"/>
      <c r="DT133" s="2"/>
      <c r="DU133" s="2">
        <v>1013</v>
      </c>
      <c r="DV133" s="2" t="s">
        <v>27</v>
      </c>
      <c r="DW133" s="2" t="s">
        <v>27</v>
      </c>
      <c r="DX133" s="2">
        <v>1</v>
      </c>
      <c r="DY133" s="2"/>
      <c r="DZ133" s="2" t="s">
        <v>3</v>
      </c>
      <c r="EA133" s="2" t="s">
        <v>3</v>
      </c>
      <c r="EB133" s="2" t="s">
        <v>3</v>
      </c>
      <c r="EC133" s="2" t="s">
        <v>3</v>
      </c>
      <c r="ED133" s="2"/>
      <c r="EE133" s="2">
        <v>57042958</v>
      </c>
      <c r="EF133" s="2">
        <v>40</v>
      </c>
      <c r="EG133" s="2" t="s">
        <v>31</v>
      </c>
      <c r="EH133" s="2">
        <v>0</v>
      </c>
      <c r="EI133" s="2" t="s">
        <v>3</v>
      </c>
      <c r="EJ133" s="2">
        <v>2</v>
      </c>
      <c r="EK133" s="2">
        <v>68</v>
      </c>
      <c r="EL133" s="2" t="s">
        <v>32</v>
      </c>
      <c r="EM133" s="2" t="s">
        <v>33</v>
      </c>
      <c r="EN133" s="2"/>
      <c r="EO133" s="2" t="s">
        <v>75</v>
      </c>
      <c r="EP133" s="2"/>
      <c r="EQ133" s="2">
        <v>1024</v>
      </c>
      <c r="ER133" s="2">
        <v>175.43</v>
      </c>
      <c r="ES133" s="2">
        <v>20.93</v>
      </c>
      <c r="ET133" s="2">
        <v>0.06</v>
      </c>
      <c r="EU133" s="2">
        <v>0.01</v>
      </c>
      <c r="EV133" s="2">
        <v>154.44</v>
      </c>
      <c r="EW133" s="2">
        <v>11.7</v>
      </c>
      <c r="EX133" s="2">
        <v>0</v>
      </c>
      <c r="EY133" s="2">
        <v>0</v>
      </c>
      <c r="EZ133" s="2"/>
      <c r="FA133" s="2"/>
      <c r="FB133" s="2"/>
      <c r="FC133" s="2"/>
      <c r="FD133" s="2"/>
      <c r="FE133" s="2"/>
      <c r="FF133" s="2"/>
      <c r="FG133" s="2"/>
      <c r="FH133" s="2"/>
      <c r="FI133" s="2"/>
      <c r="FJ133" s="2"/>
      <c r="FK133" s="2"/>
      <c r="FL133" s="2"/>
      <c r="FM133" s="2"/>
      <c r="FN133" s="2"/>
      <c r="FO133" s="2"/>
      <c r="FP133" s="2"/>
      <c r="FQ133" s="2">
        <v>0</v>
      </c>
      <c r="FR133" s="2">
        <v>0</v>
      </c>
      <c r="FS133" s="2">
        <v>0</v>
      </c>
      <c r="FT133" s="2"/>
      <c r="FU133" s="2"/>
      <c r="FV133" s="2"/>
      <c r="FW133" s="2"/>
      <c r="FX133" s="2">
        <v>90</v>
      </c>
      <c r="FY133" s="2">
        <v>46</v>
      </c>
      <c r="FZ133" s="2"/>
      <c r="GA133" s="2" t="s">
        <v>3</v>
      </c>
      <c r="GB133" s="2"/>
      <c r="GC133" s="2"/>
      <c r="GD133" s="2">
        <v>1</v>
      </c>
      <c r="GE133" s="2"/>
      <c r="GF133" s="2">
        <v>755325265</v>
      </c>
      <c r="GG133" s="2">
        <v>2</v>
      </c>
      <c r="GH133" s="2">
        <v>1</v>
      </c>
      <c r="GI133" s="2">
        <v>2</v>
      </c>
      <c r="GJ133" s="2">
        <v>0</v>
      </c>
      <c r="GK133" s="2">
        <v>0</v>
      </c>
      <c r="GL133" s="2">
        <f t="shared" si="121"/>
        <v>0</v>
      </c>
      <c r="GM133" s="2">
        <f t="shared" si="122"/>
        <v>957.92</v>
      </c>
      <c r="GN133" s="2">
        <f t="shared" si="123"/>
        <v>0</v>
      </c>
      <c r="GO133" s="2">
        <f t="shared" si="124"/>
        <v>957.92</v>
      </c>
      <c r="GP133" s="2">
        <f t="shared" si="125"/>
        <v>0</v>
      </c>
      <c r="GQ133" s="2"/>
      <c r="GR133" s="2">
        <v>0</v>
      </c>
      <c r="GS133" s="2">
        <v>3</v>
      </c>
      <c r="GT133" s="2">
        <v>0</v>
      </c>
      <c r="GU133" s="2" t="s">
        <v>3</v>
      </c>
      <c r="GV133" s="2">
        <f t="shared" si="126"/>
        <v>0</v>
      </c>
      <c r="GW133" s="2">
        <v>1</v>
      </c>
      <c r="GX133" s="2">
        <f t="shared" si="127"/>
        <v>0</v>
      </c>
      <c r="GY133" s="2"/>
      <c r="GZ133" s="2"/>
      <c r="HA133" s="2">
        <v>0</v>
      </c>
      <c r="HB133" s="2">
        <v>0</v>
      </c>
      <c r="HC133" s="2">
        <f t="shared" si="128"/>
        <v>0</v>
      </c>
      <c r="HD133" s="2"/>
      <c r="HE133" s="2" t="s">
        <v>3</v>
      </c>
      <c r="HF133" s="2" t="s">
        <v>3</v>
      </c>
      <c r="HG133" s="2"/>
      <c r="HH133" s="2"/>
      <c r="HI133" s="2"/>
      <c r="HJ133" s="2"/>
      <c r="HK133" s="2"/>
      <c r="HL133" s="2"/>
      <c r="HM133" s="2" t="s">
        <v>3</v>
      </c>
      <c r="HN133" s="2" t="s">
        <v>3</v>
      </c>
      <c r="HO133" s="2" t="s">
        <v>3</v>
      </c>
      <c r="HP133" s="2" t="s">
        <v>3</v>
      </c>
      <c r="HQ133" s="2" t="s">
        <v>3</v>
      </c>
      <c r="HR133" s="2"/>
      <c r="HS133" s="2">
        <v>0</v>
      </c>
      <c r="HT133" s="2"/>
      <c r="HU133" s="2"/>
      <c r="HV133" s="2"/>
      <c r="HW133" s="2"/>
      <c r="HX133" s="2"/>
      <c r="HY133" s="2"/>
      <c r="HZ133" s="2"/>
      <c r="IA133" s="2"/>
      <c r="IB133" s="2"/>
      <c r="IC133" s="2"/>
      <c r="ID133" s="2"/>
      <c r="IE133" s="2"/>
      <c r="IF133" s="2"/>
      <c r="IG133" s="2"/>
      <c r="IH133" s="2"/>
      <c r="II133" s="2"/>
      <c r="IJ133" s="2"/>
      <c r="IK133" s="2">
        <v>0</v>
      </c>
      <c r="IL133" s="2"/>
      <c r="IM133" s="2"/>
      <c r="IN133" s="2"/>
      <c r="IO133" s="2"/>
      <c r="IP133" s="2"/>
      <c r="IQ133" s="2"/>
      <c r="IR133" s="2"/>
      <c r="IS133" s="2"/>
      <c r="IT133" s="2"/>
      <c r="IU133" s="2"/>
    </row>
    <row r="134" spans="1:255" x14ac:dyDescent="0.25">
      <c r="A134" s="3">
        <v>17</v>
      </c>
      <c r="B134" s="3">
        <v>1</v>
      </c>
      <c r="C134" s="3">
        <f>ROW(SmtRes!A168)</f>
        <v>168</v>
      </c>
      <c r="D134" s="3">
        <f>ROW(EtalonRes!A218)</f>
        <v>218</v>
      </c>
      <c r="E134" s="3" t="s">
        <v>3</v>
      </c>
      <c r="F134" s="3" t="s">
        <v>40</v>
      </c>
      <c r="G134" s="3" t="s">
        <v>214</v>
      </c>
      <c r="H134" s="3" t="s">
        <v>27</v>
      </c>
      <c r="I134" s="3">
        <v>2</v>
      </c>
      <c r="J134" s="3">
        <v>0</v>
      </c>
      <c r="K134" s="3">
        <v>2</v>
      </c>
      <c r="O134" s="3">
        <f t="shared" si="104"/>
        <v>22282.99</v>
      </c>
      <c r="P134" s="3">
        <f t="shared" si="105"/>
        <v>411.9</v>
      </c>
      <c r="Q134" s="3">
        <f>(ROUND((ROUND((((ET134*1.2))*AV134*I134),2)*BB134),2)+ROUND((ROUND(((AE134-((EU134*1.2)))*AV134*I134),2)*BS134),2))</f>
        <v>2.78</v>
      </c>
      <c r="R134" s="3">
        <f>(ROUND((ROUND((((EU134*1.2))*AV134*I134),2)*BS134),2)+ROUND((ROUND(((AE134-((EU134*1.2)))*AV134*I134),2)*BS134),2))</f>
        <v>1.69</v>
      </c>
      <c r="S134" s="3">
        <f t="shared" si="106"/>
        <v>21868.31</v>
      </c>
      <c r="T134" s="3">
        <f t="shared" si="107"/>
        <v>0</v>
      </c>
      <c r="U134" s="3">
        <f t="shared" si="108"/>
        <v>29.399759999999997</v>
      </c>
      <c r="V134" s="3">
        <f t="shared" si="109"/>
        <v>0</v>
      </c>
      <c r="W134" s="3">
        <f t="shared" si="110"/>
        <v>0</v>
      </c>
      <c r="X134" s="3">
        <f>(ROUND((((S134+ROUND((ROUND((((EU134*1.2))*AV134*I134),2)*BS134),2))*AT134)/100),2)+ROUND(((ROUND((ROUND(((AE134-((EU134*1.2)))*AV134*I134),2)*BS134),2)*AT134)/100),2))</f>
        <v>19683</v>
      </c>
      <c r="Y134" s="3">
        <f>(ROUND((((S134+ROUND((ROUND((((EU134*1.2))*AV134*I134),2)*BS134),2))*AU134)/100),2)+ROUND(((ROUND((ROUND(((AE134-((EU134*1.2)))*AV134*I134),2)*BS134),2)*AU134)/100),2))</f>
        <v>10060.200000000001</v>
      </c>
      <c r="AA134" s="3">
        <v>-1</v>
      </c>
      <c r="AB134" s="3">
        <f t="shared" si="111"/>
        <v>206.33</v>
      </c>
      <c r="AC134" s="3">
        <f>ROUND(((ES134*1)),6)</f>
        <v>20.93</v>
      </c>
      <c r="AD134" s="3">
        <f>ROUND(((((ET134*1.2))-((EU134*1.2)))+AE134),6)</f>
        <v>7.1999999999999995E-2</v>
      </c>
      <c r="AE134" s="3">
        <f t="shared" si="133"/>
        <v>1.2E-2</v>
      </c>
      <c r="AF134" s="3">
        <f t="shared" si="133"/>
        <v>185.328</v>
      </c>
      <c r="AG134" s="3">
        <f t="shared" si="112"/>
        <v>0</v>
      </c>
      <c r="AH134" s="3">
        <f t="shared" si="134"/>
        <v>14.04</v>
      </c>
      <c r="AI134" s="3">
        <f t="shared" si="134"/>
        <v>0</v>
      </c>
      <c r="AJ134" s="3">
        <f t="shared" si="113"/>
        <v>0</v>
      </c>
      <c r="AK134" s="3">
        <v>175.43</v>
      </c>
      <c r="AL134" s="3">
        <v>20.93</v>
      </c>
      <c r="AM134" s="3">
        <v>0.06</v>
      </c>
      <c r="AN134" s="3">
        <v>0.01</v>
      </c>
      <c r="AO134" s="3">
        <v>154.44</v>
      </c>
      <c r="AP134" s="3">
        <v>0</v>
      </c>
      <c r="AQ134" s="3">
        <v>11.7</v>
      </c>
      <c r="AR134" s="3">
        <v>0</v>
      </c>
      <c r="AS134" s="3">
        <v>0</v>
      </c>
      <c r="AT134" s="3">
        <v>90</v>
      </c>
      <c r="AU134" s="3">
        <v>46</v>
      </c>
      <c r="AV134" s="3">
        <v>1.0469999999999999</v>
      </c>
      <c r="AW134" s="3">
        <v>1</v>
      </c>
      <c r="AZ134" s="3">
        <v>1</v>
      </c>
      <c r="BA134" s="3">
        <v>56.35</v>
      </c>
      <c r="BB134" s="3">
        <v>18.5</v>
      </c>
      <c r="BC134" s="3">
        <v>9.84</v>
      </c>
      <c r="BD134" s="3" t="s">
        <v>3</v>
      </c>
      <c r="BE134" s="3" t="s">
        <v>3</v>
      </c>
      <c r="BF134" s="3" t="s">
        <v>3</v>
      </c>
      <c r="BG134" s="3" t="s">
        <v>3</v>
      </c>
      <c r="BH134" s="3">
        <v>0</v>
      </c>
      <c r="BI134" s="3">
        <v>2</v>
      </c>
      <c r="BJ134" s="3" t="s">
        <v>42</v>
      </c>
      <c r="BM134" s="3">
        <v>68</v>
      </c>
      <c r="BN134" s="3">
        <v>0</v>
      </c>
      <c r="BO134" s="3" t="s">
        <v>40</v>
      </c>
      <c r="BP134" s="3">
        <v>1</v>
      </c>
      <c r="BQ134" s="3">
        <v>40</v>
      </c>
      <c r="BR134" s="3">
        <v>0</v>
      </c>
      <c r="BS134" s="3">
        <v>56.35</v>
      </c>
      <c r="BT134" s="3">
        <v>1</v>
      </c>
      <c r="BU134" s="3">
        <v>1</v>
      </c>
      <c r="BV134" s="3">
        <v>1</v>
      </c>
      <c r="BW134" s="3">
        <v>1</v>
      </c>
      <c r="BX134" s="3">
        <v>1</v>
      </c>
      <c r="BY134" s="3" t="s">
        <v>3</v>
      </c>
      <c r="BZ134" s="3">
        <v>90</v>
      </c>
      <c r="CA134" s="3">
        <v>46</v>
      </c>
      <c r="CB134" s="3" t="s">
        <v>3</v>
      </c>
      <c r="CE134" s="3">
        <v>1566</v>
      </c>
      <c r="CF134" s="3">
        <v>0</v>
      </c>
      <c r="CG134" s="3">
        <v>0</v>
      </c>
      <c r="CM134" s="3">
        <v>0</v>
      </c>
      <c r="CN134" s="3" t="s">
        <v>624</v>
      </c>
      <c r="CO134" s="3">
        <v>0</v>
      </c>
      <c r="CP134" s="3">
        <f t="shared" si="114"/>
        <v>22282.99</v>
      </c>
      <c r="CQ134" s="3">
        <f t="shared" si="115"/>
        <v>205.95</v>
      </c>
      <c r="CR134" s="3">
        <f>(ROUND((ROUND((((ET134*1.2))*AV134*1),2)*BB134),2)+ROUND((ROUND(((AE134-((EU134*1.2)))*AV134*1),2)*BS134),2))</f>
        <v>1.48</v>
      </c>
      <c r="CS134" s="3">
        <f>(ROUND((ROUND((((EU134*1.2))*AV134*1),2)*BS134),2)+ROUND((ROUND(((AE134-((EU134*1.2)))*AV134*1),2)*BS134),2))</f>
        <v>0.56000000000000005</v>
      </c>
      <c r="CT134" s="3">
        <f t="shared" si="116"/>
        <v>10934.15</v>
      </c>
      <c r="CU134" s="3">
        <f t="shared" si="117"/>
        <v>0</v>
      </c>
      <c r="CV134" s="3">
        <f t="shared" si="118"/>
        <v>14.699879999999999</v>
      </c>
      <c r="CW134" s="3">
        <f t="shared" si="119"/>
        <v>0</v>
      </c>
      <c r="CX134" s="3">
        <f t="shared" si="120"/>
        <v>0</v>
      </c>
      <c r="CY134" s="3">
        <f>(ROUND((((S134+ROUND((ROUND((((EU134*1.2))*AV134*1),2)*BS134),2))*AT134)/100),2)+ROUND(((ROUND((ROUND(((AE134-((EU134*1.2)))*AV134*1),2)*BS134),2)*AT134)/100),2))</f>
        <v>19681.98</v>
      </c>
      <c r="CZ134" s="3">
        <f>(ROUND((((S134+ROUND((ROUND((((EU134*1.2))*AV134*1),2)*BS134),2))*AU134)/100),2)+ROUND(((ROUND((ROUND(((AE134-((EU134*1.2)))*AV134*1),2)*BS134),2)*AU134)/100),2))</f>
        <v>10059.68</v>
      </c>
      <c r="DB134" s="3">
        <v>72</v>
      </c>
      <c r="DC134" s="3" t="s">
        <v>3</v>
      </c>
      <c r="DD134" s="3" t="s">
        <v>70</v>
      </c>
      <c r="DE134" s="3" t="s">
        <v>71</v>
      </c>
      <c r="DF134" s="3" t="s">
        <v>71</v>
      </c>
      <c r="DG134" s="3" t="s">
        <v>71</v>
      </c>
      <c r="DH134" s="3" t="s">
        <v>3</v>
      </c>
      <c r="DI134" s="3" t="s">
        <v>71</v>
      </c>
      <c r="DJ134" s="3" t="s">
        <v>71</v>
      </c>
      <c r="DK134" s="3" t="s">
        <v>3</v>
      </c>
      <c r="DL134" s="3" t="s">
        <v>3</v>
      </c>
      <c r="DM134" s="3" t="s">
        <v>3</v>
      </c>
      <c r="DN134" s="3">
        <v>0</v>
      </c>
      <c r="DO134" s="3">
        <v>0</v>
      </c>
      <c r="DP134" s="3">
        <v>1</v>
      </c>
      <c r="DQ134" s="3">
        <v>1</v>
      </c>
      <c r="DU134" s="3">
        <v>1013</v>
      </c>
      <c r="DV134" s="3" t="s">
        <v>27</v>
      </c>
      <c r="DW134" s="3" t="s">
        <v>27</v>
      </c>
      <c r="DX134" s="3">
        <v>1</v>
      </c>
      <c r="DZ134" s="3" t="s">
        <v>3</v>
      </c>
      <c r="EA134" s="3" t="s">
        <v>3</v>
      </c>
      <c r="EB134" s="3" t="s">
        <v>3</v>
      </c>
      <c r="EC134" s="3" t="s">
        <v>3</v>
      </c>
      <c r="EE134" s="3">
        <v>57042958</v>
      </c>
      <c r="EF134" s="3">
        <v>40</v>
      </c>
      <c r="EG134" s="3" t="s">
        <v>31</v>
      </c>
      <c r="EH134" s="3">
        <v>0</v>
      </c>
      <c r="EI134" s="3" t="s">
        <v>3</v>
      </c>
      <c r="EJ134" s="3">
        <v>2</v>
      </c>
      <c r="EK134" s="3">
        <v>68</v>
      </c>
      <c r="EL134" s="3" t="s">
        <v>32</v>
      </c>
      <c r="EM134" s="3" t="s">
        <v>33</v>
      </c>
      <c r="EO134" s="3" t="s">
        <v>75</v>
      </c>
      <c r="EQ134" s="3">
        <v>1024</v>
      </c>
      <c r="ER134" s="3">
        <v>175.43</v>
      </c>
      <c r="ES134" s="3">
        <v>20.93</v>
      </c>
      <c r="ET134" s="3">
        <v>0.06</v>
      </c>
      <c r="EU134" s="3">
        <v>0.01</v>
      </c>
      <c r="EV134" s="3">
        <v>154.44</v>
      </c>
      <c r="EW134" s="3">
        <v>11.7</v>
      </c>
      <c r="EX134" s="3">
        <v>0</v>
      </c>
      <c r="EY134" s="3">
        <v>0</v>
      </c>
      <c r="FQ134" s="3">
        <v>0</v>
      </c>
      <c r="FR134" s="3">
        <v>0</v>
      </c>
      <c r="FS134" s="3">
        <v>0</v>
      </c>
      <c r="FX134" s="3">
        <v>90</v>
      </c>
      <c r="FY134" s="3">
        <v>46</v>
      </c>
      <c r="GA134" s="3" t="s">
        <v>3</v>
      </c>
      <c r="GD134" s="3">
        <v>1</v>
      </c>
      <c r="GF134" s="3">
        <v>755325265</v>
      </c>
      <c r="GG134" s="3">
        <v>2</v>
      </c>
      <c r="GH134" s="3">
        <v>1</v>
      </c>
      <c r="GI134" s="3">
        <v>2</v>
      </c>
      <c r="GJ134" s="3">
        <v>0</v>
      </c>
      <c r="GK134" s="3">
        <v>0</v>
      </c>
      <c r="GL134" s="3">
        <f t="shared" si="121"/>
        <v>0</v>
      </c>
      <c r="GM134" s="3">
        <f t="shared" si="122"/>
        <v>52026.19</v>
      </c>
      <c r="GN134" s="3">
        <f t="shared" si="123"/>
        <v>0</v>
      </c>
      <c r="GO134" s="3">
        <f t="shared" si="124"/>
        <v>52026.19</v>
      </c>
      <c r="GP134" s="3">
        <f t="shared" si="125"/>
        <v>0</v>
      </c>
      <c r="GR134" s="3">
        <v>0</v>
      </c>
      <c r="GS134" s="3">
        <v>3</v>
      </c>
      <c r="GT134" s="3">
        <v>0</v>
      </c>
      <c r="GU134" s="3" t="s">
        <v>3</v>
      </c>
      <c r="GV134" s="3">
        <f t="shared" si="126"/>
        <v>0</v>
      </c>
      <c r="GW134" s="3">
        <v>1</v>
      </c>
      <c r="GX134" s="3">
        <f t="shared" si="127"/>
        <v>0</v>
      </c>
      <c r="HA134" s="3">
        <v>0</v>
      </c>
      <c r="HB134" s="3">
        <v>0</v>
      </c>
      <c r="HC134" s="3">
        <f t="shared" si="128"/>
        <v>0</v>
      </c>
      <c r="HE134" s="3" t="s">
        <v>3</v>
      </c>
      <c r="HF134" s="3" t="s">
        <v>3</v>
      </c>
      <c r="HM134" s="3" t="s">
        <v>3</v>
      </c>
      <c r="HN134" s="3" t="s">
        <v>3</v>
      </c>
      <c r="HO134" s="3" t="s">
        <v>3</v>
      </c>
      <c r="HP134" s="3" t="s">
        <v>3</v>
      </c>
      <c r="HQ134" s="3" t="s">
        <v>3</v>
      </c>
      <c r="HS134" s="3">
        <v>0</v>
      </c>
      <c r="IK134" s="3">
        <v>0</v>
      </c>
    </row>
    <row r="135" spans="1:255" x14ac:dyDescent="0.25">
      <c r="A135" s="2">
        <v>17</v>
      </c>
      <c r="B135" s="2">
        <v>1</v>
      </c>
      <c r="C135" s="2"/>
      <c r="D135" s="2"/>
      <c r="E135" s="2" t="s">
        <v>215</v>
      </c>
      <c r="F135" s="2" t="s">
        <v>216</v>
      </c>
      <c r="G135" s="2" t="s">
        <v>217</v>
      </c>
      <c r="H135" s="2" t="s">
        <v>152</v>
      </c>
      <c r="I135" s="2">
        <v>2</v>
      </c>
      <c r="J135" s="2">
        <v>0</v>
      </c>
      <c r="K135" s="2">
        <v>2</v>
      </c>
      <c r="L135" s="2"/>
      <c r="M135" s="2"/>
      <c r="N135" s="2"/>
      <c r="O135" s="2">
        <f t="shared" si="104"/>
        <v>8926.1</v>
      </c>
      <c r="P135" s="2">
        <f t="shared" si="105"/>
        <v>8926.1</v>
      </c>
      <c r="Q135" s="2">
        <f>(ROUND((ROUND(((ET135)*AV135*I135),2)*BB135),2)+ROUND((ROUND(((AE135-(EU135))*AV135*I135),2)*BS135),2))</f>
        <v>0</v>
      </c>
      <c r="R135" s="2">
        <f>(ROUND((ROUND(((EU135)*AV135*I135),2)*BS135),2)+ROUND((ROUND(((AE135-(EU135))*AV135*I135),2)*BS135),2))</f>
        <v>0</v>
      </c>
      <c r="S135" s="2">
        <f t="shared" si="106"/>
        <v>0</v>
      </c>
      <c r="T135" s="2">
        <f t="shared" si="107"/>
        <v>0</v>
      </c>
      <c r="U135" s="2">
        <f t="shared" si="108"/>
        <v>0</v>
      </c>
      <c r="V135" s="2">
        <f t="shared" si="109"/>
        <v>0</v>
      </c>
      <c r="W135" s="2">
        <f t="shared" si="110"/>
        <v>0</v>
      </c>
      <c r="X135" s="2">
        <f>(ROUND((((S135+ROUND((ROUND(((EU135)*AV135*I135),2)*BS135),2))*AT135)/100),2)+ROUND(((ROUND((ROUND(((AE135-(EU135))*AV135*I135),2)*BS135),2)*AT135)/100),2))</f>
        <v>0</v>
      </c>
      <c r="Y135" s="2">
        <f>(ROUND((((S135+ROUND((ROUND(((EU135)*AV135*I135),2)*BS135),2))*AU135)/100),2)+ROUND(((ROUND((ROUND(((AE135-(EU135))*AV135*I135),2)*BS135),2)*AU135)/100),2))</f>
        <v>0</v>
      </c>
      <c r="Z135" s="2"/>
      <c r="AA135" s="2">
        <v>57014138</v>
      </c>
      <c r="AB135" s="2">
        <f t="shared" si="111"/>
        <v>4463.05</v>
      </c>
      <c r="AC135" s="2">
        <f>ROUND((ES135),6)</f>
        <v>4463.05</v>
      </c>
      <c r="AD135" s="2">
        <f>ROUND((((ET135)-(EU135))+AE135),6)</f>
        <v>0</v>
      </c>
      <c r="AE135" s="2">
        <f>ROUND((EU135),6)</f>
        <v>0</v>
      </c>
      <c r="AF135" s="2">
        <f>ROUND((EV135),6)</f>
        <v>0</v>
      </c>
      <c r="AG135" s="2">
        <f t="shared" si="112"/>
        <v>0</v>
      </c>
      <c r="AH135" s="2">
        <f>(EW135)</f>
        <v>0</v>
      </c>
      <c r="AI135" s="2">
        <f>(EX135)</f>
        <v>0</v>
      </c>
      <c r="AJ135" s="2">
        <f t="shared" si="113"/>
        <v>0</v>
      </c>
      <c r="AK135" s="2">
        <v>4463.05</v>
      </c>
      <c r="AL135" s="2">
        <v>4463.05</v>
      </c>
      <c r="AM135" s="2">
        <v>0</v>
      </c>
      <c r="AN135" s="2">
        <v>0</v>
      </c>
      <c r="AO135" s="2">
        <v>0</v>
      </c>
      <c r="AP135" s="2">
        <v>0</v>
      </c>
      <c r="AQ135" s="2">
        <v>0</v>
      </c>
      <c r="AR135" s="2">
        <v>0</v>
      </c>
      <c r="AS135" s="2">
        <v>0</v>
      </c>
      <c r="AT135" s="2">
        <v>0</v>
      </c>
      <c r="AU135" s="2">
        <v>0</v>
      </c>
      <c r="AV135" s="2">
        <v>1</v>
      </c>
      <c r="AW135" s="2">
        <v>1</v>
      </c>
      <c r="AX135" s="2"/>
      <c r="AY135" s="2"/>
      <c r="AZ135" s="2">
        <v>1</v>
      </c>
      <c r="BA135" s="2">
        <v>1</v>
      </c>
      <c r="BB135" s="2">
        <v>1</v>
      </c>
      <c r="BC135" s="2">
        <v>1</v>
      </c>
      <c r="BD135" s="2" t="s">
        <v>3</v>
      </c>
      <c r="BE135" s="2" t="s">
        <v>3</v>
      </c>
      <c r="BF135" s="2" t="s">
        <v>3</v>
      </c>
      <c r="BG135" s="2" t="s">
        <v>3</v>
      </c>
      <c r="BH135" s="2">
        <v>3</v>
      </c>
      <c r="BI135" s="2">
        <v>3</v>
      </c>
      <c r="BJ135" s="2" t="s">
        <v>216</v>
      </c>
      <c r="BK135" s="2"/>
      <c r="BL135" s="2"/>
      <c r="BM135" s="2">
        <v>400007</v>
      </c>
      <c r="BN135" s="2">
        <v>0</v>
      </c>
      <c r="BO135" s="2" t="s">
        <v>3</v>
      </c>
      <c r="BP135" s="2">
        <v>0</v>
      </c>
      <c r="BQ135" s="2">
        <v>214</v>
      </c>
      <c r="BR135" s="2">
        <v>0</v>
      </c>
      <c r="BS135" s="2">
        <v>1</v>
      </c>
      <c r="BT135" s="2">
        <v>1</v>
      </c>
      <c r="BU135" s="2">
        <v>1</v>
      </c>
      <c r="BV135" s="2">
        <v>1</v>
      </c>
      <c r="BW135" s="2">
        <v>1</v>
      </c>
      <c r="BX135" s="2">
        <v>1</v>
      </c>
      <c r="BY135" s="2" t="s">
        <v>3</v>
      </c>
      <c r="BZ135" s="2">
        <v>0</v>
      </c>
      <c r="CA135" s="2">
        <v>0</v>
      </c>
      <c r="CB135" s="2" t="s">
        <v>3</v>
      </c>
      <c r="CC135" s="2"/>
      <c r="CD135" s="2"/>
      <c r="CE135" s="2">
        <v>1566</v>
      </c>
      <c r="CF135" s="2">
        <v>0</v>
      </c>
      <c r="CG135" s="2">
        <v>0</v>
      </c>
      <c r="CH135" s="2"/>
      <c r="CI135" s="2"/>
      <c r="CJ135" s="2"/>
      <c r="CK135" s="2"/>
      <c r="CL135" s="2"/>
      <c r="CM135" s="2">
        <v>0</v>
      </c>
      <c r="CN135" s="2" t="s">
        <v>3</v>
      </c>
      <c r="CO135" s="2">
        <v>0</v>
      </c>
      <c r="CP135" s="2">
        <f t="shared" si="114"/>
        <v>8926.1</v>
      </c>
      <c r="CQ135" s="2">
        <f t="shared" si="115"/>
        <v>4463.05</v>
      </c>
      <c r="CR135" s="2">
        <f>(ROUND((ROUND(((ET135)*AV135*1),2)*BB135),2)+ROUND((ROUND(((AE135-(EU135))*AV135*1),2)*BS135),2))</f>
        <v>0</v>
      </c>
      <c r="CS135" s="2">
        <f>(ROUND((ROUND(((EU135)*AV135*1),2)*BS135),2)+ROUND((ROUND(((AE135-(EU135))*AV135*1),2)*BS135),2))</f>
        <v>0</v>
      </c>
      <c r="CT135" s="2">
        <f t="shared" si="116"/>
        <v>0</v>
      </c>
      <c r="CU135" s="2">
        <f t="shared" si="117"/>
        <v>0</v>
      </c>
      <c r="CV135" s="2">
        <f t="shared" si="118"/>
        <v>0</v>
      </c>
      <c r="CW135" s="2">
        <f t="shared" si="119"/>
        <v>0</v>
      </c>
      <c r="CX135" s="2">
        <f t="shared" si="120"/>
        <v>0</v>
      </c>
      <c r="CY135" s="2">
        <f>(ROUND((((S135+ROUND((ROUND(((EU135)*AV135*1),2)*BS135),2))*AT135)/100),2)+ROUND(((ROUND((ROUND(((AE135-(EU135))*AV135*1),2)*BS135),2)*AT135)/100),2))</f>
        <v>0</v>
      </c>
      <c r="CZ135" s="2">
        <f>(ROUND((((S135+ROUND((ROUND(((EU135)*AV135*1),2)*BS135),2))*AU135)/100),2)+ROUND(((ROUND((ROUND(((AE135-(EU135))*AV135*1),2)*BS135),2)*AU135)/100),2))</f>
        <v>0</v>
      </c>
      <c r="DA135" s="2"/>
      <c r="DB135" s="2"/>
      <c r="DC135" s="2" t="s">
        <v>3</v>
      </c>
      <c r="DD135" s="2" t="s">
        <v>3</v>
      </c>
      <c r="DE135" s="2" t="s">
        <v>3</v>
      </c>
      <c r="DF135" s="2" t="s">
        <v>3</v>
      </c>
      <c r="DG135" s="2" t="s">
        <v>3</v>
      </c>
      <c r="DH135" s="2" t="s">
        <v>3</v>
      </c>
      <c r="DI135" s="2" t="s">
        <v>3</v>
      </c>
      <c r="DJ135" s="2" t="s">
        <v>3</v>
      </c>
      <c r="DK135" s="2" t="s">
        <v>3</v>
      </c>
      <c r="DL135" s="2" t="s">
        <v>3</v>
      </c>
      <c r="DM135" s="2" t="s">
        <v>3</v>
      </c>
      <c r="DN135" s="2">
        <v>0</v>
      </c>
      <c r="DO135" s="2">
        <v>0</v>
      </c>
      <c r="DP135" s="2">
        <v>1</v>
      </c>
      <c r="DQ135" s="2">
        <v>1</v>
      </c>
      <c r="DR135" s="2"/>
      <c r="DS135" s="2"/>
      <c r="DT135" s="2"/>
      <c r="DU135" s="2">
        <v>1013</v>
      </c>
      <c r="DV135" s="2" t="s">
        <v>152</v>
      </c>
      <c r="DW135" s="2" t="s">
        <v>152</v>
      </c>
      <c r="DX135" s="2">
        <v>1</v>
      </c>
      <c r="DY135" s="2"/>
      <c r="DZ135" s="2" t="s">
        <v>3</v>
      </c>
      <c r="EA135" s="2" t="s">
        <v>3</v>
      </c>
      <c r="EB135" s="2" t="s">
        <v>3</v>
      </c>
      <c r="EC135" s="2" t="s">
        <v>3</v>
      </c>
      <c r="ED135" s="2"/>
      <c r="EE135" s="2">
        <v>57042890</v>
      </c>
      <c r="EF135" s="2">
        <v>214</v>
      </c>
      <c r="EG135" s="2" t="s">
        <v>153</v>
      </c>
      <c r="EH135" s="2">
        <v>0</v>
      </c>
      <c r="EI135" s="2" t="s">
        <v>3</v>
      </c>
      <c r="EJ135" s="2">
        <v>3</v>
      </c>
      <c r="EK135" s="2">
        <v>400007</v>
      </c>
      <c r="EL135" s="2" t="s">
        <v>153</v>
      </c>
      <c r="EM135" s="2" t="s">
        <v>154</v>
      </c>
      <c r="EN135" s="2"/>
      <c r="EO135" s="2" t="s">
        <v>3</v>
      </c>
      <c r="EP135" s="2"/>
      <c r="EQ135" s="2">
        <v>16</v>
      </c>
      <c r="ER135" s="2">
        <v>0</v>
      </c>
      <c r="ES135" s="2">
        <v>4463.05</v>
      </c>
      <c r="ET135" s="2">
        <v>0</v>
      </c>
      <c r="EU135" s="2">
        <v>0</v>
      </c>
      <c r="EV135" s="2">
        <v>0</v>
      </c>
      <c r="EW135" s="2">
        <v>0</v>
      </c>
      <c r="EX135" s="2">
        <v>0</v>
      </c>
      <c r="EY135" s="2">
        <v>0</v>
      </c>
      <c r="EZ135" s="2"/>
      <c r="FA135" s="2"/>
      <c r="FB135" s="2"/>
      <c r="FC135" s="2"/>
      <c r="FD135" s="2"/>
      <c r="FE135" s="2"/>
      <c r="FF135" s="2"/>
      <c r="FG135" s="2"/>
      <c r="FH135" s="2"/>
      <c r="FI135" s="2"/>
      <c r="FJ135" s="2"/>
      <c r="FK135" s="2"/>
      <c r="FL135" s="2"/>
      <c r="FM135" s="2"/>
      <c r="FN135" s="2"/>
      <c r="FO135" s="2"/>
      <c r="FP135" s="2"/>
      <c r="FQ135" s="2">
        <v>0</v>
      </c>
      <c r="FR135" s="2">
        <f>P135</f>
        <v>8926.1</v>
      </c>
      <c r="FS135" s="2">
        <v>0</v>
      </c>
      <c r="FT135" s="2"/>
      <c r="FU135" s="2"/>
      <c r="FV135" s="2"/>
      <c r="FW135" s="2"/>
      <c r="FX135" s="2">
        <v>0</v>
      </c>
      <c r="FY135" s="2">
        <v>0</v>
      </c>
      <c r="FZ135" s="2"/>
      <c r="GA135" s="2" t="s">
        <v>218</v>
      </c>
      <c r="GB135" s="2"/>
      <c r="GC135" s="2"/>
      <c r="GD135" s="2">
        <v>1</v>
      </c>
      <c r="GE135" s="2"/>
      <c r="GF135" s="2">
        <v>-2012370134</v>
      </c>
      <c r="GG135" s="2">
        <v>2</v>
      </c>
      <c r="GH135" s="2">
        <v>4</v>
      </c>
      <c r="GI135" s="2">
        <v>-2</v>
      </c>
      <c r="GJ135" s="2">
        <v>0</v>
      </c>
      <c r="GK135" s="2">
        <v>0</v>
      </c>
      <c r="GL135" s="2">
        <f t="shared" si="121"/>
        <v>0</v>
      </c>
      <c r="GM135" s="2">
        <f t="shared" si="122"/>
        <v>8926.1</v>
      </c>
      <c r="GN135" s="2">
        <f t="shared" si="123"/>
        <v>0</v>
      </c>
      <c r="GO135" s="2">
        <f t="shared" si="124"/>
        <v>0</v>
      </c>
      <c r="GP135" s="2">
        <f t="shared" si="125"/>
        <v>0</v>
      </c>
      <c r="GQ135" s="2"/>
      <c r="GR135" s="2">
        <v>1</v>
      </c>
      <c r="GS135" s="2">
        <v>2</v>
      </c>
      <c r="GT135" s="2">
        <v>0</v>
      </c>
      <c r="GU135" s="2" t="s">
        <v>3</v>
      </c>
      <c r="GV135" s="2">
        <f t="shared" si="126"/>
        <v>0</v>
      </c>
      <c r="GW135" s="2">
        <v>1</v>
      </c>
      <c r="GX135" s="2">
        <f t="shared" si="127"/>
        <v>0</v>
      </c>
      <c r="GY135" s="2"/>
      <c r="GZ135" s="2"/>
      <c r="HA135" s="2">
        <v>0</v>
      </c>
      <c r="HB135" s="2">
        <v>0</v>
      </c>
      <c r="HC135" s="2">
        <f t="shared" si="128"/>
        <v>0</v>
      </c>
      <c r="HD135" s="2"/>
      <c r="HE135" s="2" t="s">
        <v>39</v>
      </c>
      <c r="HF135" s="2" t="s">
        <v>156</v>
      </c>
      <c r="HG135" s="2"/>
      <c r="HH135" s="2"/>
      <c r="HI135" s="2"/>
      <c r="HJ135" s="2"/>
      <c r="HK135" s="2"/>
      <c r="HL135" s="2"/>
      <c r="HM135" s="2" t="s">
        <v>3</v>
      </c>
      <c r="HN135" s="2" t="s">
        <v>3</v>
      </c>
      <c r="HO135" s="2" t="s">
        <v>3</v>
      </c>
      <c r="HP135" s="2" t="s">
        <v>3</v>
      </c>
      <c r="HQ135" s="2" t="s">
        <v>3</v>
      </c>
      <c r="HR135" s="2"/>
      <c r="HS135" s="2">
        <v>0</v>
      </c>
      <c r="HT135" s="2"/>
      <c r="HU135" s="2"/>
      <c r="HV135" s="2"/>
      <c r="HW135" s="2"/>
      <c r="HX135" s="2"/>
      <c r="HY135" s="2"/>
      <c r="HZ135" s="2"/>
      <c r="IA135" s="2"/>
      <c r="IB135" s="2"/>
      <c r="IC135" s="2"/>
      <c r="ID135" s="2"/>
      <c r="IE135" s="2"/>
      <c r="IF135" s="2"/>
      <c r="IG135" s="2"/>
      <c r="IH135" s="2"/>
      <c r="II135" s="2"/>
      <c r="IJ135" s="2"/>
      <c r="IK135" s="2">
        <v>0</v>
      </c>
      <c r="IL135" s="2"/>
      <c r="IM135" s="2"/>
      <c r="IN135" s="2"/>
      <c r="IO135" s="2"/>
      <c r="IP135" s="2"/>
      <c r="IQ135" s="2"/>
      <c r="IR135" s="2"/>
      <c r="IS135" s="2"/>
      <c r="IT135" s="2"/>
      <c r="IU135" s="2"/>
    </row>
    <row r="136" spans="1:255" x14ac:dyDescent="0.25">
      <c r="A136" s="3">
        <v>17</v>
      </c>
      <c r="B136" s="3">
        <v>1</v>
      </c>
      <c r="E136" s="3" t="s">
        <v>215</v>
      </c>
      <c r="F136" s="3" t="s">
        <v>216</v>
      </c>
      <c r="G136" s="3" t="s">
        <v>217</v>
      </c>
      <c r="H136" s="3" t="s">
        <v>152</v>
      </c>
      <c r="I136" s="3">
        <v>2</v>
      </c>
      <c r="J136" s="3">
        <v>0</v>
      </c>
      <c r="K136" s="3">
        <v>2</v>
      </c>
      <c r="O136" s="3">
        <f t="shared" si="104"/>
        <v>67570.58</v>
      </c>
      <c r="P136" s="3">
        <f t="shared" si="105"/>
        <v>67570.58</v>
      </c>
      <c r="Q136" s="3">
        <f>(ROUND((ROUND(((ET136)*AV136*I136),2)*BB136),2)+ROUND((ROUND(((AE136-(EU136))*AV136*I136),2)*BS136),2))</f>
        <v>0</v>
      </c>
      <c r="R136" s="3">
        <f>(ROUND((ROUND(((EU136)*AV136*I136),2)*BS136),2)+ROUND((ROUND(((AE136-(EU136))*AV136*I136),2)*BS136),2))</f>
        <v>0</v>
      </c>
      <c r="S136" s="3">
        <f t="shared" si="106"/>
        <v>0</v>
      </c>
      <c r="T136" s="3">
        <f t="shared" si="107"/>
        <v>0</v>
      </c>
      <c r="U136" s="3">
        <f t="shared" si="108"/>
        <v>0</v>
      </c>
      <c r="V136" s="3">
        <f t="shared" si="109"/>
        <v>0</v>
      </c>
      <c r="W136" s="3">
        <f t="shared" si="110"/>
        <v>0</v>
      </c>
      <c r="X136" s="3">
        <f>(ROUND((((S136+ROUND((ROUND(((EU136)*AV136*I136),2)*BS136),2))*AT136)/100),2)+ROUND(((ROUND((ROUND(((AE136-(EU136))*AV136*I136),2)*BS136),2)*AT136)/100),2))</f>
        <v>0</v>
      </c>
      <c r="Y136" s="3">
        <f>(ROUND((((S136+ROUND((ROUND(((EU136)*AV136*I136),2)*BS136),2))*AU136)/100),2)+ROUND(((ROUND((ROUND(((AE136-(EU136))*AV136*I136),2)*BS136),2)*AU136)/100),2))</f>
        <v>0</v>
      </c>
      <c r="AA136" s="3">
        <v>57014140</v>
      </c>
      <c r="AB136" s="3">
        <f t="shared" si="111"/>
        <v>4463.05</v>
      </c>
      <c r="AC136" s="3">
        <f>ROUND((ES136),6)</f>
        <v>4463.05</v>
      </c>
      <c r="AD136" s="3">
        <f>ROUND((((ET136)-(EU136))+AE136),6)</f>
        <v>0</v>
      </c>
      <c r="AE136" s="3">
        <f>ROUND((EU136),6)</f>
        <v>0</v>
      </c>
      <c r="AF136" s="3">
        <f>ROUND((EV136),6)</f>
        <v>0</v>
      </c>
      <c r="AG136" s="3">
        <f t="shared" si="112"/>
        <v>0</v>
      </c>
      <c r="AH136" s="3">
        <f>(EW136)</f>
        <v>0</v>
      </c>
      <c r="AI136" s="3">
        <f>(EX136)</f>
        <v>0</v>
      </c>
      <c r="AJ136" s="3">
        <f t="shared" si="113"/>
        <v>0</v>
      </c>
      <c r="AK136" s="3">
        <v>4463.05</v>
      </c>
      <c r="AL136" s="3">
        <v>4463.05</v>
      </c>
      <c r="AM136" s="3">
        <v>0</v>
      </c>
      <c r="AN136" s="3">
        <v>0</v>
      </c>
      <c r="AO136" s="3">
        <v>0</v>
      </c>
      <c r="AP136" s="3">
        <v>0</v>
      </c>
      <c r="AQ136" s="3">
        <v>0</v>
      </c>
      <c r="AR136" s="3">
        <v>0</v>
      </c>
      <c r="AS136" s="3">
        <v>0</v>
      </c>
      <c r="AT136" s="3">
        <v>0</v>
      </c>
      <c r="AU136" s="3">
        <v>0</v>
      </c>
      <c r="AV136" s="3">
        <v>1</v>
      </c>
      <c r="AW136" s="3">
        <v>1</v>
      </c>
      <c r="AZ136" s="3">
        <v>1</v>
      </c>
      <c r="BA136" s="3">
        <v>1</v>
      </c>
      <c r="BB136" s="3">
        <v>1</v>
      </c>
      <c r="BC136" s="3">
        <v>7.57</v>
      </c>
      <c r="BD136" s="3" t="s">
        <v>3</v>
      </c>
      <c r="BE136" s="3" t="s">
        <v>3</v>
      </c>
      <c r="BF136" s="3" t="s">
        <v>3</v>
      </c>
      <c r="BG136" s="3" t="s">
        <v>3</v>
      </c>
      <c r="BH136" s="3">
        <v>3</v>
      </c>
      <c r="BI136" s="3">
        <v>3</v>
      </c>
      <c r="BJ136" s="3" t="s">
        <v>216</v>
      </c>
      <c r="BM136" s="3">
        <v>400007</v>
      </c>
      <c r="BN136" s="3">
        <v>0</v>
      </c>
      <c r="BO136" s="3" t="s">
        <v>3</v>
      </c>
      <c r="BP136" s="3">
        <v>0</v>
      </c>
      <c r="BQ136" s="3">
        <v>214</v>
      </c>
      <c r="BR136" s="3">
        <v>0</v>
      </c>
      <c r="BS136" s="3">
        <v>1</v>
      </c>
      <c r="BT136" s="3">
        <v>1</v>
      </c>
      <c r="BU136" s="3">
        <v>1</v>
      </c>
      <c r="BV136" s="3">
        <v>1</v>
      </c>
      <c r="BW136" s="3">
        <v>1</v>
      </c>
      <c r="BX136" s="3">
        <v>1</v>
      </c>
      <c r="BY136" s="3" t="s">
        <v>3</v>
      </c>
      <c r="BZ136" s="3">
        <v>0</v>
      </c>
      <c r="CA136" s="3">
        <v>0</v>
      </c>
      <c r="CB136" s="3" t="s">
        <v>3</v>
      </c>
      <c r="CE136" s="3">
        <v>1566</v>
      </c>
      <c r="CF136" s="3">
        <v>0</v>
      </c>
      <c r="CG136" s="3">
        <v>0</v>
      </c>
      <c r="CM136" s="3">
        <v>0</v>
      </c>
      <c r="CN136" s="3" t="s">
        <v>3</v>
      </c>
      <c r="CO136" s="3">
        <v>0</v>
      </c>
      <c r="CP136" s="3">
        <f t="shared" si="114"/>
        <v>67570.58</v>
      </c>
      <c r="CQ136" s="3">
        <f t="shared" si="115"/>
        <v>33785.29</v>
      </c>
      <c r="CR136" s="3">
        <f>(ROUND((ROUND(((ET136)*AV136*1),2)*BB136),2)+ROUND((ROUND(((AE136-(EU136))*AV136*1),2)*BS136),2))</f>
        <v>0</v>
      </c>
      <c r="CS136" s="3">
        <f>(ROUND((ROUND(((EU136)*AV136*1),2)*BS136),2)+ROUND((ROUND(((AE136-(EU136))*AV136*1),2)*BS136),2))</f>
        <v>0</v>
      </c>
      <c r="CT136" s="3">
        <f t="shared" si="116"/>
        <v>0</v>
      </c>
      <c r="CU136" s="3">
        <f t="shared" si="117"/>
        <v>0</v>
      </c>
      <c r="CV136" s="3">
        <f t="shared" si="118"/>
        <v>0</v>
      </c>
      <c r="CW136" s="3">
        <f t="shared" si="119"/>
        <v>0</v>
      </c>
      <c r="CX136" s="3">
        <f t="shared" si="120"/>
        <v>0</v>
      </c>
      <c r="CY136" s="3">
        <f>(ROUND((((S136+ROUND((ROUND(((EU136)*AV136*1),2)*BS136),2))*AT136)/100),2)+ROUND(((ROUND((ROUND(((AE136-(EU136))*AV136*1),2)*BS136),2)*AT136)/100),2))</f>
        <v>0</v>
      </c>
      <c r="CZ136" s="3">
        <f>(ROUND((((S136+ROUND((ROUND(((EU136)*AV136*1),2)*BS136),2))*AU136)/100),2)+ROUND(((ROUND((ROUND(((AE136-(EU136))*AV136*1),2)*BS136),2)*AU136)/100),2))</f>
        <v>0</v>
      </c>
      <c r="DC136" s="3" t="s">
        <v>3</v>
      </c>
      <c r="DD136" s="3" t="s">
        <v>3</v>
      </c>
      <c r="DE136" s="3" t="s">
        <v>3</v>
      </c>
      <c r="DF136" s="3" t="s">
        <v>3</v>
      </c>
      <c r="DG136" s="3" t="s">
        <v>3</v>
      </c>
      <c r="DH136" s="3" t="s">
        <v>3</v>
      </c>
      <c r="DI136" s="3" t="s">
        <v>3</v>
      </c>
      <c r="DJ136" s="3" t="s">
        <v>3</v>
      </c>
      <c r="DK136" s="3" t="s">
        <v>3</v>
      </c>
      <c r="DL136" s="3" t="s">
        <v>3</v>
      </c>
      <c r="DM136" s="3" t="s">
        <v>3</v>
      </c>
      <c r="DN136" s="3">
        <v>0</v>
      </c>
      <c r="DO136" s="3">
        <v>0</v>
      </c>
      <c r="DP136" s="3">
        <v>1</v>
      </c>
      <c r="DQ136" s="3">
        <v>1</v>
      </c>
      <c r="DU136" s="3">
        <v>1013</v>
      </c>
      <c r="DV136" s="3" t="s">
        <v>152</v>
      </c>
      <c r="DW136" s="3" t="s">
        <v>152</v>
      </c>
      <c r="DX136" s="3">
        <v>1</v>
      </c>
      <c r="DZ136" s="3" t="s">
        <v>3</v>
      </c>
      <c r="EA136" s="3" t="s">
        <v>3</v>
      </c>
      <c r="EB136" s="3" t="s">
        <v>3</v>
      </c>
      <c r="EC136" s="3" t="s">
        <v>3</v>
      </c>
      <c r="EE136" s="3">
        <v>57042890</v>
      </c>
      <c r="EF136" s="3">
        <v>214</v>
      </c>
      <c r="EG136" s="3" t="s">
        <v>153</v>
      </c>
      <c r="EH136" s="3">
        <v>0</v>
      </c>
      <c r="EI136" s="3" t="s">
        <v>3</v>
      </c>
      <c r="EJ136" s="3">
        <v>3</v>
      </c>
      <c r="EK136" s="3">
        <v>400007</v>
      </c>
      <c r="EL136" s="3" t="s">
        <v>153</v>
      </c>
      <c r="EM136" s="3" t="s">
        <v>154</v>
      </c>
      <c r="EO136" s="3" t="s">
        <v>3</v>
      </c>
      <c r="EQ136" s="3">
        <v>16</v>
      </c>
      <c r="ER136" s="3">
        <v>0</v>
      </c>
      <c r="ES136" s="3">
        <v>4463.05</v>
      </c>
      <c r="ET136" s="3">
        <v>0</v>
      </c>
      <c r="EU136" s="3">
        <v>0</v>
      </c>
      <c r="EV136" s="3">
        <v>0</v>
      </c>
      <c r="EW136" s="3">
        <v>0</v>
      </c>
      <c r="EX136" s="3">
        <v>0</v>
      </c>
      <c r="EY136" s="3">
        <v>0</v>
      </c>
      <c r="EZ136" s="3">
        <v>5</v>
      </c>
      <c r="FC136" s="3">
        <v>1</v>
      </c>
      <c r="FD136" s="3">
        <v>18</v>
      </c>
      <c r="FF136" s="3">
        <v>39543</v>
      </c>
      <c r="FQ136" s="3">
        <v>0</v>
      </c>
      <c r="FR136" s="3">
        <f>P136</f>
        <v>67570.58</v>
      </c>
      <c r="FS136" s="3">
        <v>0</v>
      </c>
      <c r="FX136" s="3">
        <v>0</v>
      </c>
      <c r="FY136" s="3">
        <v>0</v>
      </c>
      <c r="GA136" s="3" t="s">
        <v>218</v>
      </c>
      <c r="GD136" s="3">
        <v>1</v>
      </c>
      <c r="GF136" s="3">
        <v>-2012370134</v>
      </c>
      <c r="GG136" s="3">
        <v>2</v>
      </c>
      <c r="GH136" s="3">
        <v>3</v>
      </c>
      <c r="GI136" s="3">
        <v>5</v>
      </c>
      <c r="GJ136" s="3">
        <v>0</v>
      </c>
      <c r="GK136" s="3">
        <v>0</v>
      </c>
      <c r="GL136" s="3">
        <f t="shared" si="121"/>
        <v>0</v>
      </c>
      <c r="GM136" s="3">
        <f t="shared" si="122"/>
        <v>67570.58</v>
      </c>
      <c r="GN136" s="3">
        <f t="shared" si="123"/>
        <v>0</v>
      </c>
      <c r="GO136" s="3">
        <f t="shared" si="124"/>
        <v>0</v>
      </c>
      <c r="GP136" s="3">
        <f t="shared" si="125"/>
        <v>0</v>
      </c>
      <c r="GR136" s="3">
        <v>1</v>
      </c>
      <c r="GS136" s="3">
        <v>1</v>
      </c>
      <c r="GT136" s="3">
        <v>0</v>
      </c>
      <c r="GU136" s="3" t="s">
        <v>3</v>
      </c>
      <c r="GV136" s="3">
        <f t="shared" si="126"/>
        <v>0</v>
      </c>
      <c r="GW136" s="3">
        <v>1</v>
      </c>
      <c r="GX136" s="3">
        <f t="shared" si="127"/>
        <v>0</v>
      </c>
      <c r="HA136" s="3">
        <v>0</v>
      </c>
      <c r="HB136" s="3">
        <v>0</v>
      </c>
      <c r="HC136" s="3">
        <f t="shared" si="128"/>
        <v>0</v>
      </c>
      <c r="HE136" s="3" t="s">
        <v>39</v>
      </c>
      <c r="HF136" s="3" t="s">
        <v>156</v>
      </c>
      <c r="HM136" s="3" t="s">
        <v>3</v>
      </c>
      <c r="HN136" s="3" t="s">
        <v>3</v>
      </c>
      <c r="HO136" s="3" t="s">
        <v>3</v>
      </c>
      <c r="HP136" s="3" t="s">
        <v>3</v>
      </c>
      <c r="HQ136" s="3" t="s">
        <v>3</v>
      </c>
      <c r="HS136" s="3">
        <v>0</v>
      </c>
      <c r="IK136" s="3">
        <v>0</v>
      </c>
    </row>
    <row r="137" spans="1:255" x14ac:dyDescent="0.25">
      <c r="A137" s="2">
        <v>17</v>
      </c>
      <c r="B137" s="2">
        <v>1</v>
      </c>
      <c r="C137" s="2">
        <f>ROW(SmtRes!A172)</f>
        <v>172</v>
      </c>
      <c r="D137" s="2">
        <f>ROW(EtalonRes!A223)</f>
        <v>223</v>
      </c>
      <c r="E137" s="2" t="s">
        <v>219</v>
      </c>
      <c r="F137" s="2" t="s">
        <v>44</v>
      </c>
      <c r="G137" s="2" t="s">
        <v>220</v>
      </c>
      <c r="H137" s="2" t="s">
        <v>27</v>
      </c>
      <c r="I137" s="2">
        <v>1</v>
      </c>
      <c r="J137" s="2">
        <v>0</v>
      </c>
      <c r="K137" s="2">
        <v>1</v>
      </c>
      <c r="L137" s="2"/>
      <c r="M137" s="2"/>
      <c r="N137" s="2"/>
      <c r="O137" s="2">
        <f t="shared" si="104"/>
        <v>146.72</v>
      </c>
      <c r="P137" s="2">
        <f t="shared" si="105"/>
        <v>12.35</v>
      </c>
      <c r="Q137" s="2">
        <f>(ROUND((ROUND((((ET137*1.2))*AV137*I137),2)*BB137),2)+ROUND((ROUND(((AE137-((EU137*1.2)))*AV137*I137),2)*BS137),2))</f>
        <v>36.07</v>
      </c>
      <c r="R137" s="2">
        <f>(ROUND((ROUND((((EU137*1.2))*AV137*I137),2)*BS137),2)+ROUND((ROUND(((AE137-((EU137*1.2)))*AV137*I137),2)*BS137),2))</f>
        <v>3.97</v>
      </c>
      <c r="S137" s="2">
        <f t="shared" si="106"/>
        <v>98.3</v>
      </c>
      <c r="T137" s="2">
        <f t="shared" si="107"/>
        <v>0</v>
      </c>
      <c r="U137" s="2">
        <f t="shared" si="108"/>
        <v>7.7896799999999988</v>
      </c>
      <c r="V137" s="2">
        <f t="shared" si="109"/>
        <v>0</v>
      </c>
      <c r="W137" s="2">
        <f t="shared" si="110"/>
        <v>0</v>
      </c>
      <c r="X137" s="2">
        <f>(ROUND((((S137+ROUND((ROUND((((EU137*1.2))*AV137*I137),2)*BS137),2))*AT137)/100),2)+ROUND(((ROUND((ROUND(((AE137-((EU137*1.2)))*AV137*I137),2)*BS137),2)*AT137)/100),2))</f>
        <v>92.04</v>
      </c>
      <c r="Y137" s="2">
        <f>(ROUND((((S137+ROUND((ROUND((((EU137*1.2))*AV137*I137),2)*BS137),2))*AU137)/100),2)+ROUND(((ROUND((ROUND(((AE137-((EU137*1.2)))*AV137*I137),2)*BS137),2)*AU137)/100),2))</f>
        <v>47.04</v>
      </c>
      <c r="Z137" s="2"/>
      <c r="AA137" s="2">
        <v>57014138</v>
      </c>
      <c r="AB137" s="2">
        <f t="shared" si="111"/>
        <v>140.69</v>
      </c>
      <c r="AC137" s="2">
        <f>ROUND(((ES137*1)),6)</f>
        <v>12.35</v>
      </c>
      <c r="AD137" s="2">
        <f>ROUND(((((ET137*1.2))-((EU137*1.2)))+AE137),6)</f>
        <v>34.451999999999998</v>
      </c>
      <c r="AE137" s="2">
        <f>ROUND(((EU137*1.2)),6)</f>
        <v>3.7919999999999998</v>
      </c>
      <c r="AF137" s="2">
        <f>ROUND(((EV137*1.2)),6)</f>
        <v>93.888000000000005</v>
      </c>
      <c r="AG137" s="2">
        <f t="shared" si="112"/>
        <v>0</v>
      </c>
      <c r="AH137" s="2">
        <f>((EW137*1.2))</f>
        <v>7.4399999999999995</v>
      </c>
      <c r="AI137" s="2">
        <f>((EX137*1.2))</f>
        <v>0</v>
      </c>
      <c r="AJ137" s="2">
        <f t="shared" si="113"/>
        <v>0</v>
      </c>
      <c r="AK137" s="2">
        <v>119.3</v>
      </c>
      <c r="AL137" s="2">
        <v>12.35</v>
      </c>
      <c r="AM137" s="2">
        <v>28.71</v>
      </c>
      <c r="AN137" s="2">
        <v>3.16</v>
      </c>
      <c r="AO137" s="2">
        <v>78.239999999999995</v>
      </c>
      <c r="AP137" s="2">
        <v>0</v>
      </c>
      <c r="AQ137" s="2">
        <v>6.2</v>
      </c>
      <c r="AR137" s="2">
        <v>0</v>
      </c>
      <c r="AS137" s="2">
        <v>0</v>
      </c>
      <c r="AT137" s="2">
        <v>90</v>
      </c>
      <c r="AU137" s="2">
        <v>46</v>
      </c>
      <c r="AV137" s="2">
        <v>1.0469999999999999</v>
      </c>
      <c r="AW137" s="2">
        <v>1</v>
      </c>
      <c r="AX137" s="2"/>
      <c r="AY137" s="2"/>
      <c r="AZ137" s="2">
        <v>1</v>
      </c>
      <c r="BA137" s="2">
        <v>1</v>
      </c>
      <c r="BB137" s="2">
        <v>1</v>
      </c>
      <c r="BC137" s="2">
        <v>1</v>
      </c>
      <c r="BD137" s="2" t="s">
        <v>3</v>
      </c>
      <c r="BE137" s="2" t="s">
        <v>3</v>
      </c>
      <c r="BF137" s="2" t="s">
        <v>3</v>
      </c>
      <c r="BG137" s="2" t="s">
        <v>3</v>
      </c>
      <c r="BH137" s="2">
        <v>0</v>
      </c>
      <c r="BI137" s="2">
        <v>2</v>
      </c>
      <c r="BJ137" s="2" t="s">
        <v>46</v>
      </c>
      <c r="BK137" s="2"/>
      <c r="BL137" s="2"/>
      <c r="BM137" s="2">
        <v>68</v>
      </c>
      <c r="BN137" s="2">
        <v>0</v>
      </c>
      <c r="BO137" s="2" t="s">
        <v>44</v>
      </c>
      <c r="BP137" s="2">
        <v>1</v>
      </c>
      <c r="BQ137" s="2">
        <v>40</v>
      </c>
      <c r="BR137" s="2">
        <v>0</v>
      </c>
      <c r="BS137" s="2">
        <v>1</v>
      </c>
      <c r="BT137" s="2">
        <v>1</v>
      </c>
      <c r="BU137" s="2">
        <v>1</v>
      </c>
      <c r="BV137" s="2">
        <v>1</v>
      </c>
      <c r="BW137" s="2">
        <v>1</v>
      </c>
      <c r="BX137" s="2">
        <v>1</v>
      </c>
      <c r="BY137" s="2" t="s">
        <v>3</v>
      </c>
      <c r="BZ137" s="2">
        <v>90</v>
      </c>
      <c r="CA137" s="2">
        <v>46</v>
      </c>
      <c r="CB137" s="2" t="s">
        <v>3</v>
      </c>
      <c r="CC137" s="2"/>
      <c r="CD137" s="2"/>
      <c r="CE137" s="2">
        <v>1566</v>
      </c>
      <c r="CF137" s="2">
        <v>0</v>
      </c>
      <c r="CG137" s="2">
        <v>0</v>
      </c>
      <c r="CH137" s="2"/>
      <c r="CI137" s="2"/>
      <c r="CJ137" s="2"/>
      <c r="CK137" s="2"/>
      <c r="CL137" s="2"/>
      <c r="CM137" s="2">
        <v>0</v>
      </c>
      <c r="CN137" s="2" t="s">
        <v>624</v>
      </c>
      <c r="CO137" s="2">
        <v>0</v>
      </c>
      <c r="CP137" s="2">
        <f t="shared" si="114"/>
        <v>146.72</v>
      </c>
      <c r="CQ137" s="2">
        <f t="shared" si="115"/>
        <v>12.35</v>
      </c>
      <c r="CR137" s="2">
        <f>(ROUND((ROUND((((ET137*1.2))*AV137*1),2)*BB137),2)+ROUND((ROUND(((AE137-((EU137*1.2)))*AV137*1),2)*BS137),2))</f>
        <v>36.07</v>
      </c>
      <c r="CS137" s="2">
        <f>(ROUND((ROUND((((EU137*1.2))*AV137*1),2)*BS137),2)+ROUND((ROUND(((AE137-((EU137*1.2)))*AV137*1),2)*BS137),2))</f>
        <v>3.97</v>
      </c>
      <c r="CT137" s="2">
        <f t="shared" si="116"/>
        <v>98.3</v>
      </c>
      <c r="CU137" s="2">
        <f t="shared" si="117"/>
        <v>0</v>
      </c>
      <c r="CV137" s="2">
        <f t="shared" si="118"/>
        <v>7.7896799999999988</v>
      </c>
      <c r="CW137" s="2">
        <f t="shared" si="119"/>
        <v>0</v>
      </c>
      <c r="CX137" s="2">
        <f t="shared" si="120"/>
        <v>0</v>
      </c>
      <c r="CY137" s="2">
        <f>(ROUND((((S137+ROUND((ROUND((((EU137*1.2))*AV137*1),2)*BS137),2))*AT137)/100),2)+ROUND(((ROUND((ROUND(((AE137-((EU137*1.2)))*AV137*1),2)*BS137),2)*AT137)/100),2))</f>
        <v>92.04</v>
      </c>
      <c r="CZ137" s="2">
        <f>(ROUND((((S137+ROUND((ROUND((((EU137*1.2))*AV137*1),2)*BS137),2))*AU137)/100),2)+ROUND(((ROUND((ROUND(((AE137-((EU137*1.2)))*AV137*1),2)*BS137),2)*AU137)/100),2))</f>
        <v>47.04</v>
      </c>
      <c r="DA137" s="2"/>
      <c r="DB137" s="2">
        <v>73</v>
      </c>
      <c r="DC137" s="2" t="s">
        <v>3</v>
      </c>
      <c r="DD137" s="2" t="s">
        <v>70</v>
      </c>
      <c r="DE137" s="2" t="s">
        <v>71</v>
      </c>
      <c r="DF137" s="2" t="s">
        <v>71</v>
      </c>
      <c r="DG137" s="2" t="s">
        <v>71</v>
      </c>
      <c r="DH137" s="2" t="s">
        <v>3</v>
      </c>
      <c r="DI137" s="2" t="s">
        <v>71</v>
      </c>
      <c r="DJ137" s="2" t="s">
        <v>71</v>
      </c>
      <c r="DK137" s="2" t="s">
        <v>3</v>
      </c>
      <c r="DL137" s="2" t="s">
        <v>3</v>
      </c>
      <c r="DM137" s="2" t="s">
        <v>3</v>
      </c>
      <c r="DN137" s="2">
        <v>0</v>
      </c>
      <c r="DO137" s="2">
        <v>0</v>
      </c>
      <c r="DP137" s="2">
        <v>1</v>
      </c>
      <c r="DQ137" s="2">
        <v>1</v>
      </c>
      <c r="DR137" s="2"/>
      <c r="DS137" s="2"/>
      <c r="DT137" s="2"/>
      <c r="DU137" s="2">
        <v>1013</v>
      </c>
      <c r="DV137" s="2" t="s">
        <v>27</v>
      </c>
      <c r="DW137" s="2" t="s">
        <v>27</v>
      </c>
      <c r="DX137" s="2">
        <v>1</v>
      </c>
      <c r="DY137" s="2"/>
      <c r="DZ137" s="2" t="s">
        <v>3</v>
      </c>
      <c r="EA137" s="2" t="s">
        <v>3</v>
      </c>
      <c r="EB137" s="2" t="s">
        <v>3</v>
      </c>
      <c r="EC137" s="2" t="s">
        <v>3</v>
      </c>
      <c r="ED137" s="2"/>
      <c r="EE137" s="2">
        <v>57042958</v>
      </c>
      <c r="EF137" s="2">
        <v>40</v>
      </c>
      <c r="EG137" s="2" t="s">
        <v>31</v>
      </c>
      <c r="EH137" s="2">
        <v>0</v>
      </c>
      <c r="EI137" s="2" t="s">
        <v>3</v>
      </c>
      <c r="EJ137" s="2">
        <v>2</v>
      </c>
      <c r="EK137" s="2">
        <v>68</v>
      </c>
      <c r="EL137" s="2" t="s">
        <v>32</v>
      </c>
      <c r="EM137" s="2" t="s">
        <v>33</v>
      </c>
      <c r="EN137" s="2"/>
      <c r="EO137" s="2" t="s">
        <v>75</v>
      </c>
      <c r="EP137" s="2"/>
      <c r="EQ137" s="2">
        <v>0</v>
      </c>
      <c r="ER137" s="2">
        <v>119.3</v>
      </c>
      <c r="ES137" s="2">
        <v>12.35</v>
      </c>
      <c r="ET137" s="2">
        <v>28.71</v>
      </c>
      <c r="EU137" s="2">
        <v>3.16</v>
      </c>
      <c r="EV137" s="2">
        <v>78.239999999999995</v>
      </c>
      <c r="EW137" s="2">
        <v>6.2</v>
      </c>
      <c r="EX137" s="2">
        <v>0</v>
      </c>
      <c r="EY137" s="2">
        <v>0</v>
      </c>
      <c r="EZ137" s="2"/>
      <c r="FA137" s="2"/>
      <c r="FB137" s="2"/>
      <c r="FC137" s="2"/>
      <c r="FD137" s="2"/>
      <c r="FE137" s="2"/>
      <c r="FF137" s="2"/>
      <c r="FG137" s="2"/>
      <c r="FH137" s="2"/>
      <c r="FI137" s="2"/>
      <c r="FJ137" s="2"/>
      <c r="FK137" s="2"/>
      <c r="FL137" s="2"/>
      <c r="FM137" s="2"/>
      <c r="FN137" s="2"/>
      <c r="FO137" s="2"/>
      <c r="FP137" s="2"/>
      <c r="FQ137" s="2">
        <v>0</v>
      </c>
      <c r="FR137" s="2">
        <v>0</v>
      </c>
      <c r="FS137" s="2">
        <v>0</v>
      </c>
      <c r="FT137" s="2"/>
      <c r="FU137" s="2"/>
      <c r="FV137" s="2"/>
      <c r="FW137" s="2"/>
      <c r="FX137" s="2">
        <v>90</v>
      </c>
      <c r="FY137" s="2">
        <v>46</v>
      </c>
      <c r="FZ137" s="2"/>
      <c r="GA137" s="2" t="s">
        <v>3</v>
      </c>
      <c r="GB137" s="2"/>
      <c r="GC137" s="2"/>
      <c r="GD137" s="2">
        <v>1</v>
      </c>
      <c r="GE137" s="2"/>
      <c r="GF137" s="2">
        <v>982292204</v>
      </c>
      <c r="GG137" s="2">
        <v>2</v>
      </c>
      <c r="GH137" s="2">
        <v>1</v>
      </c>
      <c r="GI137" s="2">
        <v>2</v>
      </c>
      <c r="GJ137" s="2">
        <v>0</v>
      </c>
      <c r="GK137" s="2">
        <v>0</v>
      </c>
      <c r="GL137" s="2">
        <f t="shared" si="121"/>
        <v>0</v>
      </c>
      <c r="GM137" s="2">
        <f t="shared" si="122"/>
        <v>285.8</v>
      </c>
      <c r="GN137" s="2">
        <f t="shared" si="123"/>
        <v>0</v>
      </c>
      <c r="GO137" s="2">
        <f t="shared" si="124"/>
        <v>285.8</v>
      </c>
      <c r="GP137" s="2">
        <f t="shared" si="125"/>
        <v>0</v>
      </c>
      <c r="GQ137" s="2"/>
      <c r="GR137" s="2">
        <v>0</v>
      </c>
      <c r="GS137" s="2">
        <v>3</v>
      </c>
      <c r="GT137" s="2">
        <v>0</v>
      </c>
      <c r="GU137" s="2" t="s">
        <v>3</v>
      </c>
      <c r="GV137" s="2">
        <f t="shared" si="126"/>
        <v>0</v>
      </c>
      <c r="GW137" s="2">
        <v>1</v>
      </c>
      <c r="GX137" s="2">
        <f t="shared" si="127"/>
        <v>0</v>
      </c>
      <c r="GY137" s="2"/>
      <c r="GZ137" s="2"/>
      <c r="HA137" s="2">
        <v>0</v>
      </c>
      <c r="HB137" s="2">
        <v>0</v>
      </c>
      <c r="HC137" s="2">
        <f t="shared" si="128"/>
        <v>0</v>
      </c>
      <c r="HD137" s="2"/>
      <c r="HE137" s="2" t="s">
        <v>3</v>
      </c>
      <c r="HF137" s="2" t="s">
        <v>3</v>
      </c>
      <c r="HG137" s="2"/>
      <c r="HH137" s="2"/>
      <c r="HI137" s="2"/>
      <c r="HJ137" s="2"/>
      <c r="HK137" s="2"/>
      <c r="HL137" s="2"/>
      <c r="HM137" s="2" t="s">
        <v>3</v>
      </c>
      <c r="HN137" s="2" t="s">
        <v>3</v>
      </c>
      <c r="HO137" s="2" t="s">
        <v>3</v>
      </c>
      <c r="HP137" s="2" t="s">
        <v>3</v>
      </c>
      <c r="HQ137" s="2" t="s">
        <v>3</v>
      </c>
      <c r="HR137" s="2"/>
      <c r="HS137" s="2">
        <v>0</v>
      </c>
      <c r="HT137" s="2"/>
      <c r="HU137" s="2"/>
      <c r="HV137" s="2"/>
      <c r="HW137" s="2"/>
      <c r="HX137" s="2"/>
      <c r="HY137" s="2"/>
      <c r="HZ137" s="2"/>
      <c r="IA137" s="2"/>
      <c r="IB137" s="2"/>
      <c r="IC137" s="2"/>
      <c r="ID137" s="2"/>
      <c r="IE137" s="2"/>
      <c r="IF137" s="2"/>
      <c r="IG137" s="2"/>
      <c r="IH137" s="2"/>
      <c r="II137" s="2"/>
      <c r="IJ137" s="2"/>
      <c r="IK137" s="2">
        <v>0</v>
      </c>
      <c r="IL137" s="2"/>
      <c r="IM137" s="2"/>
      <c r="IN137" s="2"/>
      <c r="IO137" s="2"/>
      <c r="IP137" s="2"/>
      <c r="IQ137" s="2"/>
      <c r="IR137" s="2"/>
      <c r="IS137" s="2"/>
      <c r="IT137" s="2"/>
      <c r="IU137" s="2"/>
    </row>
    <row r="138" spans="1:255" x14ac:dyDescent="0.25">
      <c r="A138" s="3">
        <v>17</v>
      </c>
      <c r="B138" s="3">
        <v>1</v>
      </c>
      <c r="C138" s="3">
        <f>ROW(SmtRes!A176)</f>
        <v>176</v>
      </c>
      <c r="D138" s="3">
        <f>ROW(EtalonRes!A228)</f>
        <v>228</v>
      </c>
      <c r="E138" s="3" t="s">
        <v>219</v>
      </c>
      <c r="F138" s="3" t="s">
        <v>44</v>
      </c>
      <c r="G138" s="3" t="s">
        <v>220</v>
      </c>
      <c r="H138" s="3" t="s">
        <v>27</v>
      </c>
      <c r="I138" s="3">
        <v>1</v>
      </c>
      <c r="J138" s="3">
        <v>0</v>
      </c>
      <c r="K138" s="3">
        <v>1</v>
      </c>
      <c r="O138" s="3">
        <f t="shared" si="104"/>
        <v>6303.65</v>
      </c>
      <c r="P138" s="3">
        <f t="shared" si="105"/>
        <v>181.55</v>
      </c>
      <c r="Q138" s="3">
        <f>(ROUND((ROUND((((ET138*1.2))*AV138*I138),2)*BB138),2)+ROUND((ROUND(((AE138-((EU138*1.2)))*AV138*I138),2)*BS138),2))</f>
        <v>582.89</v>
      </c>
      <c r="R138" s="3">
        <f>(ROUND((ROUND((((EU138*1.2))*AV138*I138),2)*BS138),2)+ROUND((ROUND(((AE138-((EU138*1.2)))*AV138*I138),2)*BS138),2))</f>
        <v>223.71</v>
      </c>
      <c r="S138" s="3">
        <f t="shared" si="106"/>
        <v>5539.21</v>
      </c>
      <c r="T138" s="3">
        <f t="shared" si="107"/>
        <v>0</v>
      </c>
      <c r="U138" s="3">
        <f t="shared" si="108"/>
        <v>7.7896799999999988</v>
      </c>
      <c r="V138" s="3">
        <f t="shared" si="109"/>
        <v>0</v>
      </c>
      <c r="W138" s="3">
        <f t="shared" si="110"/>
        <v>0</v>
      </c>
      <c r="X138" s="3">
        <f>(ROUND((((S138+ROUND((ROUND((((EU138*1.2))*AV138*I138),2)*BS138),2))*AT138)/100),2)+ROUND(((ROUND((ROUND(((AE138-((EU138*1.2)))*AV138*I138),2)*BS138),2)*AT138)/100),2))</f>
        <v>5186.63</v>
      </c>
      <c r="Y138" s="3">
        <f>(ROUND((((S138+ROUND((ROUND((((EU138*1.2))*AV138*I138),2)*BS138),2))*AU138)/100),2)+ROUND(((ROUND((ROUND(((AE138-((EU138*1.2)))*AV138*I138),2)*BS138),2)*AU138)/100),2))</f>
        <v>2650.94</v>
      </c>
      <c r="AA138" s="3">
        <v>57014140</v>
      </c>
      <c r="AB138" s="3">
        <f t="shared" si="111"/>
        <v>140.69</v>
      </c>
      <c r="AC138" s="3">
        <f>ROUND(((ES138*1)),6)</f>
        <v>12.35</v>
      </c>
      <c r="AD138" s="3">
        <f>ROUND(((((ET138*1.2))-((EU138*1.2)))+AE138),6)</f>
        <v>34.451999999999998</v>
      </c>
      <c r="AE138" s="3">
        <f>ROUND(((EU138*1.2)),6)</f>
        <v>3.7919999999999998</v>
      </c>
      <c r="AF138" s="3">
        <f>ROUND(((EV138*1.2)),6)</f>
        <v>93.888000000000005</v>
      </c>
      <c r="AG138" s="3">
        <f t="shared" si="112"/>
        <v>0</v>
      </c>
      <c r="AH138" s="3">
        <f>((EW138*1.2))</f>
        <v>7.4399999999999995</v>
      </c>
      <c r="AI138" s="3">
        <f>((EX138*1.2))</f>
        <v>0</v>
      </c>
      <c r="AJ138" s="3">
        <f t="shared" si="113"/>
        <v>0</v>
      </c>
      <c r="AK138" s="3">
        <v>119.3</v>
      </c>
      <c r="AL138" s="3">
        <v>12.35</v>
      </c>
      <c r="AM138" s="3">
        <v>28.71</v>
      </c>
      <c r="AN138" s="3">
        <v>3.16</v>
      </c>
      <c r="AO138" s="3">
        <v>78.239999999999995</v>
      </c>
      <c r="AP138" s="3">
        <v>0</v>
      </c>
      <c r="AQ138" s="3">
        <v>6.2</v>
      </c>
      <c r="AR138" s="3">
        <v>0</v>
      </c>
      <c r="AS138" s="3">
        <v>0</v>
      </c>
      <c r="AT138" s="3">
        <v>90</v>
      </c>
      <c r="AU138" s="3">
        <v>46</v>
      </c>
      <c r="AV138" s="3">
        <v>1.0469999999999999</v>
      </c>
      <c r="AW138" s="3">
        <v>1</v>
      </c>
      <c r="AZ138" s="3">
        <v>1</v>
      </c>
      <c r="BA138" s="3">
        <v>56.35</v>
      </c>
      <c r="BB138" s="3">
        <v>16.16</v>
      </c>
      <c r="BC138" s="3">
        <v>14.7</v>
      </c>
      <c r="BD138" s="3" t="s">
        <v>3</v>
      </c>
      <c r="BE138" s="3" t="s">
        <v>3</v>
      </c>
      <c r="BF138" s="3" t="s">
        <v>3</v>
      </c>
      <c r="BG138" s="3" t="s">
        <v>3</v>
      </c>
      <c r="BH138" s="3">
        <v>0</v>
      </c>
      <c r="BI138" s="3">
        <v>2</v>
      </c>
      <c r="BJ138" s="3" t="s">
        <v>46</v>
      </c>
      <c r="BM138" s="3">
        <v>68</v>
      </c>
      <c r="BN138" s="3">
        <v>0</v>
      </c>
      <c r="BO138" s="3" t="s">
        <v>44</v>
      </c>
      <c r="BP138" s="3">
        <v>1</v>
      </c>
      <c r="BQ138" s="3">
        <v>40</v>
      </c>
      <c r="BR138" s="3">
        <v>0</v>
      </c>
      <c r="BS138" s="3">
        <v>56.35</v>
      </c>
      <c r="BT138" s="3">
        <v>1</v>
      </c>
      <c r="BU138" s="3">
        <v>1</v>
      </c>
      <c r="BV138" s="3">
        <v>1</v>
      </c>
      <c r="BW138" s="3">
        <v>1</v>
      </c>
      <c r="BX138" s="3">
        <v>1</v>
      </c>
      <c r="BY138" s="3" t="s">
        <v>3</v>
      </c>
      <c r="BZ138" s="3">
        <v>90</v>
      </c>
      <c r="CA138" s="3">
        <v>46</v>
      </c>
      <c r="CB138" s="3" t="s">
        <v>3</v>
      </c>
      <c r="CE138" s="3">
        <v>1566</v>
      </c>
      <c r="CF138" s="3">
        <v>0</v>
      </c>
      <c r="CG138" s="3">
        <v>0</v>
      </c>
      <c r="CM138" s="3">
        <v>0</v>
      </c>
      <c r="CN138" s="3" t="s">
        <v>624</v>
      </c>
      <c r="CO138" s="3">
        <v>0</v>
      </c>
      <c r="CP138" s="3">
        <f t="shared" si="114"/>
        <v>6303.65</v>
      </c>
      <c r="CQ138" s="3">
        <f t="shared" si="115"/>
        <v>181.55</v>
      </c>
      <c r="CR138" s="3">
        <f>(ROUND((ROUND((((ET138*1.2))*AV138*1),2)*BB138),2)+ROUND((ROUND(((AE138-((EU138*1.2)))*AV138*1),2)*BS138),2))</f>
        <v>582.89</v>
      </c>
      <c r="CS138" s="3">
        <f>(ROUND((ROUND((((EU138*1.2))*AV138*1),2)*BS138),2)+ROUND((ROUND(((AE138-((EU138*1.2)))*AV138*1),2)*BS138),2))</f>
        <v>223.71</v>
      </c>
      <c r="CT138" s="3">
        <f t="shared" si="116"/>
        <v>5539.21</v>
      </c>
      <c r="CU138" s="3">
        <f t="shared" si="117"/>
        <v>0</v>
      </c>
      <c r="CV138" s="3">
        <f t="shared" si="118"/>
        <v>7.7896799999999988</v>
      </c>
      <c r="CW138" s="3">
        <f t="shared" si="119"/>
        <v>0</v>
      </c>
      <c r="CX138" s="3">
        <f t="shared" si="120"/>
        <v>0</v>
      </c>
      <c r="CY138" s="3">
        <f>(ROUND((((S138+ROUND((ROUND((((EU138*1.2))*AV138*1),2)*BS138),2))*AT138)/100),2)+ROUND(((ROUND((ROUND(((AE138-((EU138*1.2)))*AV138*1),2)*BS138),2)*AT138)/100),2))</f>
        <v>5186.63</v>
      </c>
      <c r="CZ138" s="3">
        <f>(ROUND((((S138+ROUND((ROUND((((EU138*1.2))*AV138*1),2)*BS138),2))*AU138)/100),2)+ROUND(((ROUND((ROUND(((AE138-((EU138*1.2)))*AV138*1),2)*BS138),2)*AU138)/100),2))</f>
        <v>2650.94</v>
      </c>
      <c r="DB138" s="3">
        <v>74</v>
      </c>
      <c r="DC138" s="3" t="s">
        <v>3</v>
      </c>
      <c r="DD138" s="3" t="s">
        <v>70</v>
      </c>
      <c r="DE138" s="3" t="s">
        <v>71</v>
      </c>
      <c r="DF138" s="3" t="s">
        <v>71</v>
      </c>
      <c r="DG138" s="3" t="s">
        <v>71</v>
      </c>
      <c r="DH138" s="3" t="s">
        <v>3</v>
      </c>
      <c r="DI138" s="3" t="s">
        <v>71</v>
      </c>
      <c r="DJ138" s="3" t="s">
        <v>71</v>
      </c>
      <c r="DK138" s="3" t="s">
        <v>3</v>
      </c>
      <c r="DL138" s="3" t="s">
        <v>3</v>
      </c>
      <c r="DM138" s="3" t="s">
        <v>3</v>
      </c>
      <c r="DN138" s="3">
        <v>0</v>
      </c>
      <c r="DO138" s="3">
        <v>0</v>
      </c>
      <c r="DP138" s="3">
        <v>1</v>
      </c>
      <c r="DQ138" s="3">
        <v>1</v>
      </c>
      <c r="DU138" s="3">
        <v>1013</v>
      </c>
      <c r="DV138" s="3" t="s">
        <v>27</v>
      </c>
      <c r="DW138" s="3" t="s">
        <v>27</v>
      </c>
      <c r="DX138" s="3">
        <v>1</v>
      </c>
      <c r="DZ138" s="3" t="s">
        <v>3</v>
      </c>
      <c r="EA138" s="3" t="s">
        <v>3</v>
      </c>
      <c r="EB138" s="3" t="s">
        <v>3</v>
      </c>
      <c r="EC138" s="3" t="s">
        <v>3</v>
      </c>
      <c r="EE138" s="3">
        <v>57042958</v>
      </c>
      <c r="EF138" s="3">
        <v>40</v>
      </c>
      <c r="EG138" s="3" t="s">
        <v>31</v>
      </c>
      <c r="EH138" s="3">
        <v>0</v>
      </c>
      <c r="EI138" s="3" t="s">
        <v>3</v>
      </c>
      <c r="EJ138" s="3">
        <v>2</v>
      </c>
      <c r="EK138" s="3">
        <v>68</v>
      </c>
      <c r="EL138" s="3" t="s">
        <v>32</v>
      </c>
      <c r="EM138" s="3" t="s">
        <v>33</v>
      </c>
      <c r="EO138" s="3" t="s">
        <v>75</v>
      </c>
      <c r="EQ138" s="3">
        <v>0</v>
      </c>
      <c r="ER138" s="3">
        <v>119.3</v>
      </c>
      <c r="ES138" s="3">
        <v>12.35</v>
      </c>
      <c r="ET138" s="3">
        <v>28.71</v>
      </c>
      <c r="EU138" s="3">
        <v>3.16</v>
      </c>
      <c r="EV138" s="3">
        <v>78.239999999999995</v>
      </c>
      <c r="EW138" s="3">
        <v>6.2</v>
      </c>
      <c r="EX138" s="3">
        <v>0</v>
      </c>
      <c r="EY138" s="3">
        <v>0</v>
      </c>
      <c r="FQ138" s="3">
        <v>0</v>
      </c>
      <c r="FR138" s="3">
        <v>0</v>
      </c>
      <c r="FS138" s="3">
        <v>0</v>
      </c>
      <c r="FX138" s="3">
        <v>90</v>
      </c>
      <c r="FY138" s="3">
        <v>46</v>
      </c>
      <c r="GA138" s="3" t="s">
        <v>3</v>
      </c>
      <c r="GD138" s="3">
        <v>1</v>
      </c>
      <c r="GF138" s="3">
        <v>982292204</v>
      </c>
      <c r="GG138" s="3">
        <v>2</v>
      </c>
      <c r="GH138" s="3">
        <v>1</v>
      </c>
      <c r="GI138" s="3">
        <v>2</v>
      </c>
      <c r="GJ138" s="3">
        <v>0</v>
      </c>
      <c r="GK138" s="3">
        <v>0</v>
      </c>
      <c r="GL138" s="3">
        <f t="shared" si="121"/>
        <v>0</v>
      </c>
      <c r="GM138" s="3">
        <f t="shared" si="122"/>
        <v>14141.22</v>
      </c>
      <c r="GN138" s="3">
        <f t="shared" si="123"/>
        <v>0</v>
      </c>
      <c r="GO138" s="3">
        <f t="shared" si="124"/>
        <v>14141.22</v>
      </c>
      <c r="GP138" s="3">
        <f t="shared" si="125"/>
        <v>0</v>
      </c>
      <c r="GR138" s="3">
        <v>0</v>
      </c>
      <c r="GS138" s="3">
        <v>3</v>
      </c>
      <c r="GT138" s="3">
        <v>0</v>
      </c>
      <c r="GU138" s="3" t="s">
        <v>3</v>
      </c>
      <c r="GV138" s="3">
        <f t="shared" si="126"/>
        <v>0</v>
      </c>
      <c r="GW138" s="3">
        <v>1</v>
      </c>
      <c r="GX138" s="3">
        <f t="shared" si="127"/>
        <v>0</v>
      </c>
      <c r="HA138" s="3">
        <v>0</v>
      </c>
      <c r="HB138" s="3">
        <v>0</v>
      </c>
      <c r="HC138" s="3">
        <f t="shared" si="128"/>
        <v>0</v>
      </c>
      <c r="HE138" s="3" t="s">
        <v>3</v>
      </c>
      <c r="HF138" s="3" t="s">
        <v>3</v>
      </c>
      <c r="HM138" s="3" t="s">
        <v>3</v>
      </c>
      <c r="HN138" s="3" t="s">
        <v>3</v>
      </c>
      <c r="HO138" s="3" t="s">
        <v>3</v>
      </c>
      <c r="HP138" s="3" t="s">
        <v>3</v>
      </c>
      <c r="HQ138" s="3" t="s">
        <v>3</v>
      </c>
      <c r="HS138" s="3">
        <v>0</v>
      </c>
      <c r="IK138" s="3">
        <v>0</v>
      </c>
    </row>
    <row r="139" spans="1:255" x14ac:dyDescent="0.25">
      <c r="A139" s="2">
        <v>17</v>
      </c>
      <c r="B139" s="2">
        <v>1</v>
      </c>
      <c r="C139" s="2"/>
      <c r="D139" s="2"/>
      <c r="E139" s="2" t="s">
        <v>221</v>
      </c>
      <c r="F139" s="2" t="s">
        <v>222</v>
      </c>
      <c r="G139" s="2" t="s">
        <v>223</v>
      </c>
      <c r="H139" s="2" t="s">
        <v>152</v>
      </c>
      <c r="I139" s="2">
        <v>1</v>
      </c>
      <c r="J139" s="2">
        <v>0</v>
      </c>
      <c r="K139" s="2">
        <v>1</v>
      </c>
      <c r="L139" s="2"/>
      <c r="M139" s="2"/>
      <c r="N139" s="2"/>
      <c r="O139" s="2">
        <f t="shared" si="104"/>
        <v>6955.12</v>
      </c>
      <c r="P139" s="2">
        <f t="shared" si="105"/>
        <v>6955.12</v>
      </c>
      <c r="Q139" s="2">
        <f>(ROUND((ROUND(((ET139)*AV139*I139),2)*BB139),2)+ROUND((ROUND(((AE139-(EU139))*AV139*I139),2)*BS139),2))</f>
        <v>0</v>
      </c>
      <c r="R139" s="2">
        <f>(ROUND((ROUND(((EU139)*AV139*I139),2)*BS139),2)+ROUND((ROUND(((AE139-(EU139))*AV139*I139),2)*BS139),2))</f>
        <v>0</v>
      </c>
      <c r="S139" s="2">
        <f t="shared" si="106"/>
        <v>0</v>
      </c>
      <c r="T139" s="2">
        <f t="shared" si="107"/>
        <v>0</v>
      </c>
      <c r="U139" s="2">
        <f t="shared" si="108"/>
        <v>0</v>
      </c>
      <c r="V139" s="2">
        <f t="shared" si="109"/>
        <v>0</v>
      </c>
      <c r="W139" s="2">
        <f t="shared" si="110"/>
        <v>0</v>
      </c>
      <c r="X139" s="2">
        <f>(ROUND((((S139+ROUND((ROUND(((EU139)*AV139*I139),2)*BS139),2))*AT139)/100),2)+ROUND(((ROUND((ROUND(((AE139-(EU139))*AV139*I139),2)*BS139),2)*AT139)/100),2))</f>
        <v>0</v>
      </c>
      <c r="Y139" s="2">
        <f>(ROUND((((S139+ROUND((ROUND(((EU139)*AV139*I139),2)*BS139),2))*AU139)/100),2)+ROUND(((ROUND((ROUND(((AE139-(EU139))*AV139*I139),2)*BS139),2)*AU139)/100),2))</f>
        <v>0</v>
      </c>
      <c r="Z139" s="2"/>
      <c r="AA139" s="2">
        <v>57014138</v>
      </c>
      <c r="AB139" s="2">
        <f t="shared" si="111"/>
        <v>6955.12</v>
      </c>
      <c r="AC139" s="2">
        <f>ROUND((ES139),6)</f>
        <v>6955.12</v>
      </c>
      <c r="AD139" s="2">
        <f>ROUND((((ET139)-(EU139))+AE139),6)</f>
        <v>0</v>
      </c>
      <c r="AE139" s="2">
        <f>ROUND((EU139),6)</f>
        <v>0</v>
      </c>
      <c r="AF139" s="2">
        <f>ROUND((EV139),6)</f>
        <v>0</v>
      </c>
      <c r="AG139" s="2">
        <f t="shared" si="112"/>
        <v>0</v>
      </c>
      <c r="AH139" s="2">
        <f>(EW139)</f>
        <v>0</v>
      </c>
      <c r="AI139" s="2">
        <f>(EX139)</f>
        <v>0</v>
      </c>
      <c r="AJ139" s="2">
        <f t="shared" si="113"/>
        <v>0</v>
      </c>
      <c r="AK139" s="2">
        <v>6955.12</v>
      </c>
      <c r="AL139" s="2">
        <v>6955.12</v>
      </c>
      <c r="AM139" s="2">
        <v>0</v>
      </c>
      <c r="AN139" s="2">
        <v>0</v>
      </c>
      <c r="AO139" s="2">
        <v>0</v>
      </c>
      <c r="AP139" s="2">
        <v>0</v>
      </c>
      <c r="AQ139" s="2">
        <v>0</v>
      </c>
      <c r="AR139" s="2">
        <v>0</v>
      </c>
      <c r="AS139" s="2">
        <v>0</v>
      </c>
      <c r="AT139" s="2">
        <v>0</v>
      </c>
      <c r="AU139" s="2">
        <v>0</v>
      </c>
      <c r="AV139" s="2">
        <v>1</v>
      </c>
      <c r="AW139" s="2">
        <v>1</v>
      </c>
      <c r="AX139" s="2"/>
      <c r="AY139" s="2"/>
      <c r="AZ139" s="2">
        <v>1</v>
      </c>
      <c r="BA139" s="2">
        <v>1</v>
      </c>
      <c r="BB139" s="2">
        <v>1</v>
      </c>
      <c r="BC139" s="2">
        <v>1</v>
      </c>
      <c r="BD139" s="2" t="s">
        <v>3</v>
      </c>
      <c r="BE139" s="2" t="s">
        <v>3</v>
      </c>
      <c r="BF139" s="2" t="s">
        <v>3</v>
      </c>
      <c r="BG139" s="2" t="s">
        <v>3</v>
      </c>
      <c r="BH139" s="2">
        <v>3</v>
      </c>
      <c r="BI139" s="2">
        <v>3</v>
      </c>
      <c r="BJ139" s="2" t="s">
        <v>222</v>
      </c>
      <c r="BK139" s="2"/>
      <c r="BL139" s="2"/>
      <c r="BM139" s="2">
        <v>400007</v>
      </c>
      <c r="BN139" s="2">
        <v>0</v>
      </c>
      <c r="BO139" s="2" t="s">
        <v>3</v>
      </c>
      <c r="BP139" s="2">
        <v>0</v>
      </c>
      <c r="BQ139" s="2">
        <v>214</v>
      </c>
      <c r="BR139" s="2">
        <v>0</v>
      </c>
      <c r="BS139" s="2">
        <v>1</v>
      </c>
      <c r="BT139" s="2">
        <v>1</v>
      </c>
      <c r="BU139" s="2">
        <v>1</v>
      </c>
      <c r="BV139" s="2">
        <v>1</v>
      </c>
      <c r="BW139" s="2">
        <v>1</v>
      </c>
      <c r="BX139" s="2">
        <v>1</v>
      </c>
      <c r="BY139" s="2" t="s">
        <v>3</v>
      </c>
      <c r="BZ139" s="2">
        <v>0</v>
      </c>
      <c r="CA139" s="2">
        <v>0</v>
      </c>
      <c r="CB139" s="2" t="s">
        <v>3</v>
      </c>
      <c r="CC139" s="2"/>
      <c r="CD139" s="2"/>
      <c r="CE139" s="2">
        <v>1566</v>
      </c>
      <c r="CF139" s="2">
        <v>0</v>
      </c>
      <c r="CG139" s="2">
        <v>0</v>
      </c>
      <c r="CH139" s="2"/>
      <c r="CI139" s="2"/>
      <c r="CJ139" s="2"/>
      <c r="CK139" s="2"/>
      <c r="CL139" s="2"/>
      <c r="CM139" s="2">
        <v>0</v>
      </c>
      <c r="CN139" s="2" t="s">
        <v>3</v>
      </c>
      <c r="CO139" s="2">
        <v>0</v>
      </c>
      <c r="CP139" s="2">
        <f t="shared" si="114"/>
        <v>6955.12</v>
      </c>
      <c r="CQ139" s="2">
        <f t="shared" si="115"/>
        <v>6955.12</v>
      </c>
      <c r="CR139" s="2">
        <f>(ROUND((ROUND(((ET139)*AV139*1),2)*BB139),2)+ROUND((ROUND(((AE139-(EU139))*AV139*1),2)*BS139),2))</f>
        <v>0</v>
      </c>
      <c r="CS139" s="2">
        <f>(ROUND((ROUND(((EU139)*AV139*1),2)*BS139),2)+ROUND((ROUND(((AE139-(EU139))*AV139*1),2)*BS139),2))</f>
        <v>0</v>
      </c>
      <c r="CT139" s="2">
        <f t="shared" si="116"/>
        <v>0</v>
      </c>
      <c r="CU139" s="2">
        <f t="shared" si="117"/>
        <v>0</v>
      </c>
      <c r="CV139" s="2">
        <f t="shared" si="118"/>
        <v>0</v>
      </c>
      <c r="CW139" s="2">
        <f t="shared" si="119"/>
        <v>0</v>
      </c>
      <c r="CX139" s="2">
        <f t="shared" si="120"/>
        <v>0</v>
      </c>
      <c r="CY139" s="2">
        <f>(ROUND((((S139+ROUND((ROUND(((EU139)*AV139*1),2)*BS139),2))*AT139)/100),2)+ROUND(((ROUND((ROUND(((AE139-(EU139))*AV139*1),2)*BS139),2)*AT139)/100),2))</f>
        <v>0</v>
      </c>
      <c r="CZ139" s="2">
        <f>(ROUND((((S139+ROUND((ROUND(((EU139)*AV139*1),2)*BS139),2))*AU139)/100),2)+ROUND(((ROUND((ROUND(((AE139-(EU139))*AV139*1),2)*BS139),2)*AU139)/100),2))</f>
        <v>0</v>
      </c>
      <c r="DA139" s="2"/>
      <c r="DB139" s="2"/>
      <c r="DC139" s="2" t="s">
        <v>3</v>
      </c>
      <c r="DD139" s="2" t="s">
        <v>3</v>
      </c>
      <c r="DE139" s="2" t="s">
        <v>3</v>
      </c>
      <c r="DF139" s="2" t="s">
        <v>3</v>
      </c>
      <c r="DG139" s="2" t="s">
        <v>3</v>
      </c>
      <c r="DH139" s="2" t="s">
        <v>3</v>
      </c>
      <c r="DI139" s="2" t="s">
        <v>3</v>
      </c>
      <c r="DJ139" s="2" t="s">
        <v>3</v>
      </c>
      <c r="DK139" s="2" t="s">
        <v>3</v>
      </c>
      <c r="DL139" s="2" t="s">
        <v>3</v>
      </c>
      <c r="DM139" s="2" t="s">
        <v>3</v>
      </c>
      <c r="DN139" s="2">
        <v>0</v>
      </c>
      <c r="DO139" s="2">
        <v>0</v>
      </c>
      <c r="DP139" s="2">
        <v>1</v>
      </c>
      <c r="DQ139" s="2">
        <v>1</v>
      </c>
      <c r="DR139" s="2"/>
      <c r="DS139" s="2"/>
      <c r="DT139" s="2"/>
      <c r="DU139" s="2">
        <v>1013</v>
      </c>
      <c r="DV139" s="2" t="s">
        <v>152</v>
      </c>
      <c r="DW139" s="2" t="s">
        <v>152</v>
      </c>
      <c r="DX139" s="2">
        <v>1</v>
      </c>
      <c r="DY139" s="2"/>
      <c r="DZ139" s="2" t="s">
        <v>3</v>
      </c>
      <c r="EA139" s="2" t="s">
        <v>3</v>
      </c>
      <c r="EB139" s="2" t="s">
        <v>3</v>
      </c>
      <c r="EC139" s="2" t="s">
        <v>3</v>
      </c>
      <c r="ED139" s="2"/>
      <c r="EE139" s="2">
        <v>57042890</v>
      </c>
      <c r="EF139" s="2">
        <v>214</v>
      </c>
      <c r="EG139" s="2" t="s">
        <v>153</v>
      </c>
      <c r="EH139" s="2">
        <v>0</v>
      </c>
      <c r="EI139" s="2" t="s">
        <v>3</v>
      </c>
      <c r="EJ139" s="2">
        <v>3</v>
      </c>
      <c r="EK139" s="2">
        <v>400007</v>
      </c>
      <c r="EL139" s="2" t="s">
        <v>153</v>
      </c>
      <c r="EM139" s="2" t="s">
        <v>154</v>
      </c>
      <c r="EN139" s="2"/>
      <c r="EO139" s="2" t="s">
        <v>3</v>
      </c>
      <c r="EP139" s="2"/>
      <c r="EQ139" s="2">
        <v>16</v>
      </c>
      <c r="ER139" s="2">
        <v>0</v>
      </c>
      <c r="ES139" s="2">
        <v>6955.12</v>
      </c>
      <c r="ET139" s="2">
        <v>0</v>
      </c>
      <c r="EU139" s="2">
        <v>0</v>
      </c>
      <c r="EV139" s="2">
        <v>0</v>
      </c>
      <c r="EW139" s="2">
        <v>0</v>
      </c>
      <c r="EX139" s="2">
        <v>0</v>
      </c>
      <c r="EY139" s="2">
        <v>0</v>
      </c>
      <c r="EZ139" s="2"/>
      <c r="FA139" s="2"/>
      <c r="FB139" s="2"/>
      <c r="FC139" s="2"/>
      <c r="FD139" s="2"/>
      <c r="FE139" s="2"/>
      <c r="FF139" s="2"/>
      <c r="FG139" s="2"/>
      <c r="FH139" s="2"/>
      <c r="FI139" s="2"/>
      <c r="FJ139" s="2"/>
      <c r="FK139" s="2"/>
      <c r="FL139" s="2"/>
      <c r="FM139" s="2"/>
      <c r="FN139" s="2"/>
      <c r="FO139" s="2"/>
      <c r="FP139" s="2"/>
      <c r="FQ139" s="2">
        <v>0</v>
      </c>
      <c r="FR139" s="2">
        <f>P139</f>
        <v>6955.12</v>
      </c>
      <c r="FS139" s="2">
        <v>0</v>
      </c>
      <c r="FT139" s="2"/>
      <c r="FU139" s="2"/>
      <c r="FV139" s="2"/>
      <c r="FW139" s="2"/>
      <c r="FX139" s="2">
        <v>0</v>
      </c>
      <c r="FY139" s="2">
        <v>0</v>
      </c>
      <c r="FZ139" s="2"/>
      <c r="GA139" s="2" t="s">
        <v>224</v>
      </c>
      <c r="GB139" s="2"/>
      <c r="GC139" s="2"/>
      <c r="GD139" s="2">
        <v>1</v>
      </c>
      <c r="GE139" s="2"/>
      <c r="GF139" s="2">
        <v>-2030634145</v>
      </c>
      <c r="GG139" s="2">
        <v>2</v>
      </c>
      <c r="GH139" s="2">
        <v>4</v>
      </c>
      <c r="GI139" s="2">
        <v>-2</v>
      </c>
      <c r="GJ139" s="2">
        <v>0</v>
      </c>
      <c r="GK139" s="2">
        <v>0</v>
      </c>
      <c r="GL139" s="2">
        <f t="shared" si="121"/>
        <v>0</v>
      </c>
      <c r="GM139" s="2">
        <f t="shared" si="122"/>
        <v>6955.12</v>
      </c>
      <c r="GN139" s="2">
        <f t="shared" si="123"/>
        <v>0</v>
      </c>
      <c r="GO139" s="2">
        <f t="shared" si="124"/>
        <v>0</v>
      </c>
      <c r="GP139" s="2">
        <f t="shared" si="125"/>
        <v>0</v>
      </c>
      <c r="GQ139" s="2"/>
      <c r="GR139" s="2">
        <v>1</v>
      </c>
      <c r="GS139" s="2">
        <v>2</v>
      </c>
      <c r="GT139" s="2">
        <v>0</v>
      </c>
      <c r="GU139" s="2" t="s">
        <v>3</v>
      </c>
      <c r="GV139" s="2">
        <f t="shared" si="126"/>
        <v>0</v>
      </c>
      <c r="GW139" s="2">
        <v>1</v>
      </c>
      <c r="GX139" s="2">
        <f t="shared" si="127"/>
        <v>0</v>
      </c>
      <c r="GY139" s="2"/>
      <c r="GZ139" s="2"/>
      <c r="HA139" s="2">
        <v>0</v>
      </c>
      <c r="HB139" s="2">
        <v>0</v>
      </c>
      <c r="HC139" s="2">
        <f t="shared" si="128"/>
        <v>0</v>
      </c>
      <c r="HD139" s="2"/>
      <c r="HE139" s="2" t="s">
        <v>39</v>
      </c>
      <c r="HF139" s="2" t="s">
        <v>156</v>
      </c>
      <c r="HG139" s="2"/>
      <c r="HH139" s="2"/>
      <c r="HI139" s="2"/>
      <c r="HJ139" s="2"/>
      <c r="HK139" s="2"/>
      <c r="HL139" s="2"/>
      <c r="HM139" s="2" t="s">
        <v>3</v>
      </c>
      <c r="HN139" s="2" t="s">
        <v>3</v>
      </c>
      <c r="HO139" s="2" t="s">
        <v>3</v>
      </c>
      <c r="HP139" s="2" t="s">
        <v>3</v>
      </c>
      <c r="HQ139" s="2" t="s">
        <v>3</v>
      </c>
      <c r="HR139" s="2"/>
      <c r="HS139" s="2">
        <v>0</v>
      </c>
      <c r="HT139" s="2"/>
      <c r="HU139" s="2"/>
      <c r="HV139" s="2"/>
      <c r="HW139" s="2"/>
      <c r="HX139" s="2"/>
      <c r="HY139" s="2"/>
      <c r="HZ139" s="2"/>
      <c r="IA139" s="2"/>
      <c r="IB139" s="2"/>
      <c r="IC139" s="2"/>
      <c r="ID139" s="2"/>
      <c r="IE139" s="2"/>
      <c r="IF139" s="2"/>
      <c r="IG139" s="2"/>
      <c r="IH139" s="2"/>
      <c r="II139" s="2"/>
      <c r="IJ139" s="2"/>
      <c r="IK139" s="2">
        <v>0</v>
      </c>
      <c r="IL139" s="2"/>
      <c r="IM139" s="2"/>
      <c r="IN139" s="2"/>
      <c r="IO139" s="2"/>
      <c r="IP139" s="2"/>
      <c r="IQ139" s="2"/>
      <c r="IR139" s="2"/>
      <c r="IS139" s="2"/>
      <c r="IT139" s="2"/>
      <c r="IU139" s="2"/>
    </row>
    <row r="140" spans="1:255" x14ac:dyDescent="0.25">
      <c r="A140" s="3">
        <v>17</v>
      </c>
      <c r="B140" s="3">
        <v>1</v>
      </c>
      <c r="E140" s="3" t="s">
        <v>221</v>
      </c>
      <c r="F140" s="3" t="s">
        <v>222</v>
      </c>
      <c r="G140" s="3" t="s">
        <v>223</v>
      </c>
      <c r="H140" s="3" t="s">
        <v>152</v>
      </c>
      <c r="I140" s="3">
        <v>1</v>
      </c>
      <c r="J140" s="3">
        <v>0</v>
      </c>
      <c r="K140" s="3">
        <v>1</v>
      </c>
      <c r="O140" s="3">
        <f t="shared" si="104"/>
        <v>52650.26</v>
      </c>
      <c r="P140" s="3">
        <f t="shared" si="105"/>
        <v>52650.26</v>
      </c>
      <c r="Q140" s="3">
        <f>(ROUND((ROUND(((ET140)*AV140*I140),2)*BB140),2)+ROUND((ROUND(((AE140-(EU140))*AV140*I140),2)*BS140),2))</f>
        <v>0</v>
      </c>
      <c r="R140" s="3">
        <f>(ROUND((ROUND(((EU140)*AV140*I140),2)*BS140),2)+ROUND((ROUND(((AE140-(EU140))*AV140*I140),2)*BS140),2))</f>
        <v>0</v>
      </c>
      <c r="S140" s="3">
        <f t="shared" si="106"/>
        <v>0</v>
      </c>
      <c r="T140" s="3">
        <f t="shared" si="107"/>
        <v>0</v>
      </c>
      <c r="U140" s="3">
        <f t="shared" si="108"/>
        <v>0</v>
      </c>
      <c r="V140" s="3">
        <f t="shared" si="109"/>
        <v>0</v>
      </c>
      <c r="W140" s="3">
        <f t="shared" si="110"/>
        <v>0</v>
      </c>
      <c r="X140" s="3">
        <f>(ROUND((((S140+ROUND((ROUND(((EU140)*AV140*I140),2)*BS140),2))*AT140)/100),2)+ROUND(((ROUND((ROUND(((AE140-(EU140))*AV140*I140),2)*BS140),2)*AT140)/100),2))</f>
        <v>0</v>
      </c>
      <c r="Y140" s="3">
        <f>(ROUND((((S140+ROUND((ROUND(((EU140)*AV140*I140),2)*BS140),2))*AU140)/100),2)+ROUND(((ROUND((ROUND(((AE140-(EU140))*AV140*I140),2)*BS140),2)*AU140)/100),2))</f>
        <v>0</v>
      </c>
      <c r="AA140" s="3">
        <v>57014140</v>
      </c>
      <c r="AB140" s="3">
        <f t="shared" si="111"/>
        <v>6955.12</v>
      </c>
      <c r="AC140" s="3">
        <f>ROUND((ES140),6)</f>
        <v>6955.12</v>
      </c>
      <c r="AD140" s="3">
        <f>ROUND((((ET140)-(EU140))+AE140),6)</f>
        <v>0</v>
      </c>
      <c r="AE140" s="3">
        <f>ROUND((EU140),6)</f>
        <v>0</v>
      </c>
      <c r="AF140" s="3">
        <f>ROUND((EV140),6)</f>
        <v>0</v>
      </c>
      <c r="AG140" s="3">
        <f t="shared" si="112"/>
        <v>0</v>
      </c>
      <c r="AH140" s="3">
        <f>(EW140)</f>
        <v>0</v>
      </c>
      <c r="AI140" s="3">
        <f>(EX140)</f>
        <v>0</v>
      </c>
      <c r="AJ140" s="3">
        <f t="shared" si="113"/>
        <v>0</v>
      </c>
      <c r="AK140" s="3">
        <v>6955.12</v>
      </c>
      <c r="AL140" s="3">
        <v>6955.12</v>
      </c>
      <c r="AM140" s="3">
        <v>0</v>
      </c>
      <c r="AN140" s="3">
        <v>0</v>
      </c>
      <c r="AO140" s="3">
        <v>0</v>
      </c>
      <c r="AP140" s="3">
        <v>0</v>
      </c>
      <c r="AQ140" s="3">
        <v>0</v>
      </c>
      <c r="AR140" s="3">
        <v>0</v>
      </c>
      <c r="AS140" s="3">
        <v>0</v>
      </c>
      <c r="AT140" s="3">
        <v>0</v>
      </c>
      <c r="AU140" s="3">
        <v>0</v>
      </c>
      <c r="AV140" s="3">
        <v>1</v>
      </c>
      <c r="AW140" s="3">
        <v>1</v>
      </c>
      <c r="AZ140" s="3">
        <v>1</v>
      </c>
      <c r="BA140" s="3">
        <v>1</v>
      </c>
      <c r="BB140" s="3">
        <v>1</v>
      </c>
      <c r="BC140" s="3">
        <v>7.57</v>
      </c>
      <c r="BD140" s="3" t="s">
        <v>3</v>
      </c>
      <c r="BE140" s="3" t="s">
        <v>3</v>
      </c>
      <c r="BF140" s="3" t="s">
        <v>3</v>
      </c>
      <c r="BG140" s="3" t="s">
        <v>3</v>
      </c>
      <c r="BH140" s="3">
        <v>3</v>
      </c>
      <c r="BI140" s="3">
        <v>3</v>
      </c>
      <c r="BJ140" s="3" t="s">
        <v>222</v>
      </c>
      <c r="BM140" s="3">
        <v>400007</v>
      </c>
      <c r="BN140" s="3">
        <v>0</v>
      </c>
      <c r="BO140" s="3" t="s">
        <v>3</v>
      </c>
      <c r="BP140" s="3">
        <v>0</v>
      </c>
      <c r="BQ140" s="3">
        <v>214</v>
      </c>
      <c r="BR140" s="3">
        <v>0</v>
      </c>
      <c r="BS140" s="3">
        <v>1</v>
      </c>
      <c r="BT140" s="3">
        <v>1</v>
      </c>
      <c r="BU140" s="3">
        <v>1</v>
      </c>
      <c r="BV140" s="3">
        <v>1</v>
      </c>
      <c r="BW140" s="3">
        <v>1</v>
      </c>
      <c r="BX140" s="3">
        <v>1</v>
      </c>
      <c r="BY140" s="3" t="s">
        <v>3</v>
      </c>
      <c r="BZ140" s="3">
        <v>0</v>
      </c>
      <c r="CA140" s="3">
        <v>0</v>
      </c>
      <c r="CB140" s="3" t="s">
        <v>3</v>
      </c>
      <c r="CE140" s="3">
        <v>1566</v>
      </c>
      <c r="CF140" s="3">
        <v>0</v>
      </c>
      <c r="CG140" s="3">
        <v>0</v>
      </c>
      <c r="CM140" s="3">
        <v>0</v>
      </c>
      <c r="CN140" s="3" t="s">
        <v>3</v>
      </c>
      <c r="CO140" s="3">
        <v>0</v>
      </c>
      <c r="CP140" s="3">
        <f t="shared" si="114"/>
        <v>52650.26</v>
      </c>
      <c r="CQ140" s="3">
        <f t="shared" si="115"/>
        <v>52650.26</v>
      </c>
      <c r="CR140" s="3">
        <f>(ROUND((ROUND(((ET140)*AV140*1),2)*BB140),2)+ROUND((ROUND(((AE140-(EU140))*AV140*1),2)*BS140),2))</f>
        <v>0</v>
      </c>
      <c r="CS140" s="3">
        <f>(ROUND((ROUND(((EU140)*AV140*1),2)*BS140),2)+ROUND((ROUND(((AE140-(EU140))*AV140*1),2)*BS140),2))</f>
        <v>0</v>
      </c>
      <c r="CT140" s="3">
        <f t="shared" si="116"/>
        <v>0</v>
      </c>
      <c r="CU140" s="3">
        <f t="shared" si="117"/>
        <v>0</v>
      </c>
      <c r="CV140" s="3">
        <f t="shared" si="118"/>
        <v>0</v>
      </c>
      <c r="CW140" s="3">
        <f t="shared" si="119"/>
        <v>0</v>
      </c>
      <c r="CX140" s="3">
        <f t="shared" si="120"/>
        <v>0</v>
      </c>
      <c r="CY140" s="3">
        <f>(ROUND((((S140+ROUND((ROUND(((EU140)*AV140*1),2)*BS140),2))*AT140)/100),2)+ROUND(((ROUND((ROUND(((AE140-(EU140))*AV140*1),2)*BS140),2)*AT140)/100),2))</f>
        <v>0</v>
      </c>
      <c r="CZ140" s="3">
        <f>(ROUND((((S140+ROUND((ROUND(((EU140)*AV140*1),2)*BS140),2))*AU140)/100),2)+ROUND(((ROUND((ROUND(((AE140-(EU140))*AV140*1),2)*BS140),2)*AU140)/100),2))</f>
        <v>0</v>
      </c>
      <c r="DC140" s="3" t="s">
        <v>3</v>
      </c>
      <c r="DD140" s="3" t="s">
        <v>3</v>
      </c>
      <c r="DE140" s="3" t="s">
        <v>3</v>
      </c>
      <c r="DF140" s="3" t="s">
        <v>3</v>
      </c>
      <c r="DG140" s="3" t="s">
        <v>3</v>
      </c>
      <c r="DH140" s="3" t="s">
        <v>3</v>
      </c>
      <c r="DI140" s="3" t="s">
        <v>3</v>
      </c>
      <c r="DJ140" s="3" t="s">
        <v>3</v>
      </c>
      <c r="DK140" s="3" t="s">
        <v>3</v>
      </c>
      <c r="DL140" s="3" t="s">
        <v>3</v>
      </c>
      <c r="DM140" s="3" t="s">
        <v>3</v>
      </c>
      <c r="DN140" s="3">
        <v>0</v>
      </c>
      <c r="DO140" s="3">
        <v>0</v>
      </c>
      <c r="DP140" s="3">
        <v>1</v>
      </c>
      <c r="DQ140" s="3">
        <v>1</v>
      </c>
      <c r="DU140" s="3">
        <v>1013</v>
      </c>
      <c r="DV140" s="3" t="s">
        <v>152</v>
      </c>
      <c r="DW140" s="3" t="s">
        <v>152</v>
      </c>
      <c r="DX140" s="3">
        <v>1</v>
      </c>
      <c r="DZ140" s="3" t="s">
        <v>3</v>
      </c>
      <c r="EA140" s="3" t="s">
        <v>3</v>
      </c>
      <c r="EB140" s="3" t="s">
        <v>3</v>
      </c>
      <c r="EC140" s="3" t="s">
        <v>3</v>
      </c>
      <c r="EE140" s="3">
        <v>57042890</v>
      </c>
      <c r="EF140" s="3">
        <v>214</v>
      </c>
      <c r="EG140" s="3" t="s">
        <v>153</v>
      </c>
      <c r="EH140" s="3">
        <v>0</v>
      </c>
      <c r="EI140" s="3" t="s">
        <v>3</v>
      </c>
      <c r="EJ140" s="3">
        <v>3</v>
      </c>
      <c r="EK140" s="3">
        <v>400007</v>
      </c>
      <c r="EL140" s="3" t="s">
        <v>153</v>
      </c>
      <c r="EM140" s="3" t="s">
        <v>154</v>
      </c>
      <c r="EO140" s="3" t="s">
        <v>3</v>
      </c>
      <c r="EQ140" s="3">
        <v>16</v>
      </c>
      <c r="ER140" s="3">
        <v>0</v>
      </c>
      <c r="ES140" s="3">
        <v>6955.12</v>
      </c>
      <c r="ET140" s="3">
        <v>0</v>
      </c>
      <c r="EU140" s="3">
        <v>0</v>
      </c>
      <c r="EV140" s="3">
        <v>0</v>
      </c>
      <c r="EW140" s="3">
        <v>0</v>
      </c>
      <c r="EX140" s="3">
        <v>0</v>
      </c>
      <c r="EY140" s="3">
        <v>0</v>
      </c>
      <c r="EZ140" s="3">
        <v>5</v>
      </c>
      <c r="FC140" s="3">
        <v>1</v>
      </c>
      <c r="FD140" s="3">
        <v>18</v>
      </c>
      <c r="FF140" s="3">
        <v>61623</v>
      </c>
      <c r="FQ140" s="3">
        <v>0</v>
      </c>
      <c r="FR140" s="3">
        <f>P140</f>
        <v>52650.26</v>
      </c>
      <c r="FS140" s="3">
        <v>0</v>
      </c>
      <c r="FX140" s="3">
        <v>0</v>
      </c>
      <c r="FY140" s="3">
        <v>0</v>
      </c>
      <c r="GA140" s="3" t="s">
        <v>224</v>
      </c>
      <c r="GD140" s="3">
        <v>1</v>
      </c>
      <c r="GF140" s="3">
        <v>-2030634145</v>
      </c>
      <c r="GG140" s="3">
        <v>2</v>
      </c>
      <c r="GH140" s="3">
        <v>3</v>
      </c>
      <c r="GI140" s="3">
        <v>5</v>
      </c>
      <c r="GJ140" s="3">
        <v>0</v>
      </c>
      <c r="GK140" s="3">
        <v>0</v>
      </c>
      <c r="GL140" s="3">
        <f t="shared" si="121"/>
        <v>0</v>
      </c>
      <c r="GM140" s="3">
        <f t="shared" si="122"/>
        <v>52650.26</v>
      </c>
      <c r="GN140" s="3">
        <f t="shared" si="123"/>
        <v>0</v>
      </c>
      <c r="GO140" s="3">
        <f t="shared" si="124"/>
        <v>0</v>
      </c>
      <c r="GP140" s="3">
        <f t="shared" si="125"/>
        <v>0</v>
      </c>
      <c r="GR140" s="3">
        <v>1</v>
      </c>
      <c r="GS140" s="3">
        <v>1</v>
      </c>
      <c r="GT140" s="3">
        <v>0</v>
      </c>
      <c r="GU140" s="3" t="s">
        <v>3</v>
      </c>
      <c r="GV140" s="3">
        <f t="shared" si="126"/>
        <v>0</v>
      </c>
      <c r="GW140" s="3">
        <v>1</v>
      </c>
      <c r="GX140" s="3">
        <f t="shared" si="127"/>
        <v>0</v>
      </c>
      <c r="HA140" s="3">
        <v>0</v>
      </c>
      <c r="HB140" s="3">
        <v>0</v>
      </c>
      <c r="HC140" s="3">
        <f t="shared" si="128"/>
        <v>0</v>
      </c>
      <c r="HE140" s="3" t="s">
        <v>39</v>
      </c>
      <c r="HF140" s="3" t="s">
        <v>156</v>
      </c>
      <c r="HM140" s="3" t="s">
        <v>3</v>
      </c>
      <c r="HN140" s="3" t="s">
        <v>3</v>
      </c>
      <c r="HO140" s="3" t="s">
        <v>3</v>
      </c>
      <c r="HP140" s="3" t="s">
        <v>3</v>
      </c>
      <c r="HQ140" s="3" t="s">
        <v>3</v>
      </c>
      <c r="HS140" s="3">
        <v>0</v>
      </c>
      <c r="IK140" s="3">
        <v>0</v>
      </c>
    </row>
    <row r="141" spans="1:255" x14ac:dyDescent="0.25">
      <c r="A141" s="2">
        <v>17</v>
      </c>
      <c r="B141" s="2">
        <v>1</v>
      </c>
      <c r="C141" s="2">
        <f>ROW(SmtRes!A182)</f>
        <v>182</v>
      </c>
      <c r="D141" s="2">
        <f>ROW(EtalonRes!A235)</f>
        <v>235</v>
      </c>
      <c r="E141" s="2" t="s">
        <v>225</v>
      </c>
      <c r="F141" s="2" t="s">
        <v>48</v>
      </c>
      <c r="G141" s="2" t="s">
        <v>183</v>
      </c>
      <c r="H141" s="2" t="s">
        <v>27</v>
      </c>
      <c r="I141" s="2">
        <f>ROUND(2+2,9)</f>
        <v>4</v>
      </c>
      <c r="J141" s="2">
        <v>0</v>
      </c>
      <c r="K141" s="2">
        <f>ROUND(2+2,9)</f>
        <v>4</v>
      </c>
      <c r="L141" s="2"/>
      <c r="M141" s="2"/>
      <c r="N141" s="2"/>
      <c r="O141" s="2">
        <f t="shared" si="104"/>
        <v>104.64</v>
      </c>
      <c r="P141" s="2">
        <f t="shared" si="105"/>
        <v>9.36</v>
      </c>
      <c r="Q141" s="2">
        <f>(ROUND((ROUND((((ET141*1.2))*AV141*I141),2)*BB141),2)+ROUND((ROUND(((AE141-((EU141*1.2)))*AV141*I141),2)*BS141),2))</f>
        <v>0.1</v>
      </c>
      <c r="R141" s="2">
        <f>(ROUND((ROUND((((EU141*1.2))*AV141*I141),2)*BS141),2)+ROUND((ROUND(((AE141-((EU141*1.2)))*AV141*I141),2)*BS141),2))</f>
        <v>0</v>
      </c>
      <c r="S141" s="2">
        <f t="shared" si="106"/>
        <v>95.18</v>
      </c>
      <c r="T141" s="2">
        <f t="shared" si="107"/>
        <v>0</v>
      </c>
      <c r="U141" s="2">
        <f t="shared" si="108"/>
        <v>6.834816</v>
      </c>
      <c r="V141" s="2">
        <f t="shared" si="109"/>
        <v>0</v>
      </c>
      <c r="W141" s="2">
        <f t="shared" si="110"/>
        <v>0</v>
      </c>
      <c r="X141" s="2">
        <f>(ROUND((((S141+ROUND((ROUND((((EU141*1.2))*AV141*I141),2)*BS141),2))*AT141)/100),2)+ROUND(((ROUND((ROUND(((AE141-((EU141*1.2)))*AV141*I141),2)*BS141),2)*AT141)/100),2))</f>
        <v>85.66</v>
      </c>
      <c r="Y141" s="2">
        <f>(ROUND((((S141+ROUND((ROUND((((EU141*1.2))*AV141*I141),2)*BS141),2))*AU141)/100),2)+ROUND(((ROUND((ROUND(((AE141-((EU141*1.2)))*AV141*I141),2)*BS141),2)*AU141)/100),2))</f>
        <v>43.78</v>
      </c>
      <c r="Z141" s="2"/>
      <c r="AA141" s="2">
        <v>57014138</v>
      </c>
      <c r="AB141" s="2">
        <f t="shared" si="111"/>
        <v>25.091999999999999</v>
      </c>
      <c r="AC141" s="2">
        <f>ROUND(((ES141*1)),6)</f>
        <v>2.34</v>
      </c>
      <c r="AD141" s="2">
        <f>ROUND(((((ET141*1.2))-((EU141*1.2)))+AE141),6)</f>
        <v>2.4E-2</v>
      </c>
      <c r="AE141" s="2">
        <f>ROUND(((EU141*1.2)),6)</f>
        <v>0</v>
      </c>
      <c r="AF141" s="2">
        <f>ROUND(((EV141*1.2)),6)</f>
        <v>22.728000000000002</v>
      </c>
      <c r="AG141" s="2">
        <f t="shared" si="112"/>
        <v>0</v>
      </c>
      <c r="AH141" s="2">
        <f>((EW141*1.2))</f>
        <v>1.6320000000000001</v>
      </c>
      <c r="AI141" s="2">
        <f>((EX141*1.2))</f>
        <v>0</v>
      </c>
      <c r="AJ141" s="2">
        <f t="shared" si="113"/>
        <v>0</v>
      </c>
      <c r="AK141" s="2">
        <v>21.3</v>
      </c>
      <c r="AL141" s="2">
        <v>2.34</v>
      </c>
      <c r="AM141" s="2">
        <v>0.02</v>
      </c>
      <c r="AN141" s="2">
        <v>0</v>
      </c>
      <c r="AO141" s="2">
        <v>18.940000000000001</v>
      </c>
      <c r="AP141" s="2">
        <v>0</v>
      </c>
      <c r="AQ141" s="2">
        <v>1.36</v>
      </c>
      <c r="AR141" s="2">
        <v>0</v>
      </c>
      <c r="AS141" s="2">
        <v>0</v>
      </c>
      <c r="AT141" s="2">
        <v>90</v>
      </c>
      <c r="AU141" s="2">
        <v>46</v>
      </c>
      <c r="AV141" s="2">
        <v>1.0469999999999999</v>
      </c>
      <c r="AW141" s="2">
        <v>1</v>
      </c>
      <c r="AX141" s="2"/>
      <c r="AY141" s="2"/>
      <c r="AZ141" s="2">
        <v>1</v>
      </c>
      <c r="BA141" s="2">
        <v>1</v>
      </c>
      <c r="BB141" s="2">
        <v>1</v>
      </c>
      <c r="BC141" s="2">
        <v>1</v>
      </c>
      <c r="BD141" s="2" t="s">
        <v>3</v>
      </c>
      <c r="BE141" s="2" t="s">
        <v>3</v>
      </c>
      <c r="BF141" s="2" t="s">
        <v>3</v>
      </c>
      <c r="BG141" s="2" t="s">
        <v>3</v>
      </c>
      <c r="BH141" s="2">
        <v>0</v>
      </c>
      <c r="BI141" s="2">
        <v>2</v>
      </c>
      <c r="BJ141" s="2" t="s">
        <v>50</v>
      </c>
      <c r="BK141" s="2"/>
      <c r="BL141" s="2"/>
      <c r="BM141" s="2">
        <v>68</v>
      </c>
      <c r="BN141" s="2">
        <v>0</v>
      </c>
      <c r="BO141" s="2" t="s">
        <v>48</v>
      </c>
      <c r="BP141" s="2">
        <v>1</v>
      </c>
      <c r="BQ141" s="2">
        <v>40</v>
      </c>
      <c r="BR141" s="2">
        <v>0</v>
      </c>
      <c r="BS141" s="2">
        <v>1</v>
      </c>
      <c r="BT141" s="2">
        <v>1</v>
      </c>
      <c r="BU141" s="2">
        <v>1</v>
      </c>
      <c r="BV141" s="2">
        <v>1</v>
      </c>
      <c r="BW141" s="2">
        <v>1</v>
      </c>
      <c r="BX141" s="2">
        <v>1</v>
      </c>
      <c r="BY141" s="2" t="s">
        <v>3</v>
      </c>
      <c r="BZ141" s="2">
        <v>90</v>
      </c>
      <c r="CA141" s="2">
        <v>46</v>
      </c>
      <c r="CB141" s="2" t="s">
        <v>3</v>
      </c>
      <c r="CC141" s="2"/>
      <c r="CD141" s="2"/>
      <c r="CE141" s="2">
        <v>1566</v>
      </c>
      <c r="CF141" s="2">
        <v>0</v>
      </c>
      <c r="CG141" s="2">
        <v>0</v>
      </c>
      <c r="CH141" s="2"/>
      <c r="CI141" s="2"/>
      <c r="CJ141" s="2"/>
      <c r="CK141" s="2"/>
      <c r="CL141" s="2"/>
      <c r="CM141" s="2">
        <v>0</v>
      </c>
      <c r="CN141" s="2" t="s">
        <v>624</v>
      </c>
      <c r="CO141" s="2">
        <v>0</v>
      </c>
      <c r="CP141" s="2">
        <f t="shared" si="114"/>
        <v>104.64</v>
      </c>
      <c r="CQ141" s="2">
        <f t="shared" si="115"/>
        <v>2.34</v>
      </c>
      <c r="CR141" s="2">
        <f>(ROUND((ROUND((((ET141*1.2))*AV141*1),2)*BB141),2)+ROUND((ROUND(((AE141-((EU141*1.2)))*AV141*1),2)*BS141),2))</f>
        <v>0.03</v>
      </c>
      <c r="CS141" s="2">
        <f>(ROUND((ROUND((((EU141*1.2))*AV141*1),2)*BS141),2)+ROUND((ROUND(((AE141-((EU141*1.2)))*AV141*1),2)*BS141),2))</f>
        <v>0</v>
      </c>
      <c r="CT141" s="2">
        <f t="shared" si="116"/>
        <v>23.8</v>
      </c>
      <c r="CU141" s="2">
        <f t="shared" si="117"/>
        <v>0</v>
      </c>
      <c r="CV141" s="2">
        <f t="shared" si="118"/>
        <v>1.708704</v>
      </c>
      <c r="CW141" s="2">
        <f t="shared" si="119"/>
        <v>0</v>
      </c>
      <c r="CX141" s="2">
        <f t="shared" si="120"/>
        <v>0</v>
      </c>
      <c r="CY141" s="2">
        <f>(ROUND((((S141+ROUND((ROUND((((EU141*1.2))*AV141*1),2)*BS141),2))*AT141)/100),2)+ROUND(((ROUND((ROUND(((AE141-((EU141*1.2)))*AV141*1),2)*BS141),2)*AT141)/100),2))</f>
        <v>85.66</v>
      </c>
      <c r="CZ141" s="2">
        <f>(ROUND((((S141+ROUND((ROUND((((EU141*1.2))*AV141*1),2)*BS141),2))*AU141)/100),2)+ROUND(((ROUND((ROUND(((AE141-((EU141*1.2)))*AV141*1),2)*BS141),2)*AU141)/100),2))</f>
        <v>43.78</v>
      </c>
      <c r="DA141" s="2"/>
      <c r="DB141" s="2">
        <v>75</v>
      </c>
      <c r="DC141" s="2" t="s">
        <v>3</v>
      </c>
      <c r="DD141" s="2" t="s">
        <v>70</v>
      </c>
      <c r="DE141" s="2" t="s">
        <v>71</v>
      </c>
      <c r="DF141" s="2" t="s">
        <v>71</v>
      </c>
      <c r="DG141" s="2" t="s">
        <v>71</v>
      </c>
      <c r="DH141" s="2" t="s">
        <v>3</v>
      </c>
      <c r="DI141" s="2" t="s">
        <v>71</v>
      </c>
      <c r="DJ141" s="2" t="s">
        <v>71</v>
      </c>
      <c r="DK141" s="2" t="s">
        <v>3</v>
      </c>
      <c r="DL141" s="2" t="s">
        <v>3</v>
      </c>
      <c r="DM141" s="2" t="s">
        <v>3</v>
      </c>
      <c r="DN141" s="2">
        <v>0</v>
      </c>
      <c r="DO141" s="2">
        <v>0</v>
      </c>
      <c r="DP141" s="2">
        <v>1</v>
      </c>
      <c r="DQ141" s="2">
        <v>1</v>
      </c>
      <c r="DR141" s="2"/>
      <c r="DS141" s="2"/>
      <c r="DT141" s="2"/>
      <c r="DU141" s="2">
        <v>1013</v>
      </c>
      <c r="DV141" s="2" t="s">
        <v>27</v>
      </c>
      <c r="DW141" s="2" t="s">
        <v>27</v>
      </c>
      <c r="DX141" s="2">
        <v>1</v>
      </c>
      <c r="DY141" s="2"/>
      <c r="DZ141" s="2" t="s">
        <v>3</v>
      </c>
      <c r="EA141" s="2" t="s">
        <v>3</v>
      </c>
      <c r="EB141" s="2" t="s">
        <v>3</v>
      </c>
      <c r="EC141" s="2" t="s">
        <v>3</v>
      </c>
      <c r="ED141" s="2"/>
      <c r="EE141" s="2">
        <v>57042958</v>
      </c>
      <c r="EF141" s="2">
        <v>40</v>
      </c>
      <c r="EG141" s="2" t="s">
        <v>31</v>
      </c>
      <c r="EH141" s="2">
        <v>0</v>
      </c>
      <c r="EI141" s="2" t="s">
        <v>3</v>
      </c>
      <c r="EJ141" s="2">
        <v>2</v>
      </c>
      <c r="EK141" s="2">
        <v>68</v>
      </c>
      <c r="EL141" s="2" t="s">
        <v>32</v>
      </c>
      <c r="EM141" s="2" t="s">
        <v>33</v>
      </c>
      <c r="EN141" s="2"/>
      <c r="EO141" s="2" t="s">
        <v>75</v>
      </c>
      <c r="EP141" s="2"/>
      <c r="EQ141" s="2">
        <v>0</v>
      </c>
      <c r="ER141" s="2">
        <v>21.3</v>
      </c>
      <c r="ES141" s="2">
        <v>2.34</v>
      </c>
      <c r="ET141" s="2">
        <v>0.02</v>
      </c>
      <c r="EU141" s="2">
        <v>0</v>
      </c>
      <c r="EV141" s="2">
        <v>18.940000000000001</v>
      </c>
      <c r="EW141" s="2">
        <v>1.36</v>
      </c>
      <c r="EX141" s="2">
        <v>0</v>
      </c>
      <c r="EY141" s="2">
        <v>0</v>
      </c>
      <c r="EZ141" s="2"/>
      <c r="FA141" s="2"/>
      <c r="FB141" s="2"/>
      <c r="FC141" s="2"/>
      <c r="FD141" s="2"/>
      <c r="FE141" s="2"/>
      <c r="FF141" s="2"/>
      <c r="FG141" s="2"/>
      <c r="FH141" s="2"/>
      <c r="FI141" s="2"/>
      <c r="FJ141" s="2"/>
      <c r="FK141" s="2"/>
      <c r="FL141" s="2"/>
      <c r="FM141" s="2"/>
      <c r="FN141" s="2"/>
      <c r="FO141" s="2"/>
      <c r="FP141" s="2"/>
      <c r="FQ141" s="2">
        <v>0</v>
      </c>
      <c r="FR141" s="2">
        <v>0</v>
      </c>
      <c r="FS141" s="2">
        <v>0</v>
      </c>
      <c r="FT141" s="2"/>
      <c r="FU141" s="2"/>
      <c r="FV141" s="2"/>
      <c r="FW141" s="2"/>
      <c r="FX141" s="2">
        <v>90</v>
      </c>
      <c r="FY141" s="2">
        <v>46</v>
      </c>
      <c r="FZ141" s="2"/>
      <c r="GA141" s="2" t="s">
        <v>3</v>
      </c>
      <c r="GB141" s="2"/>
      <c r="GC141" s="2"/>
      <c r="GD141" s="2">
        <v>1</v>
      </c>
      <c r="GE141" s="2"/>
      <c r="GF141" s="2">
        <v>-635599801</v>
      </c>
      <c r="GG141" s="2">
        <v>2</v>
      </c>
      <c r="GH141" s="2">
        <v>1</v>
      </c>
      <c r="GI141" s="2">
        <v>2</v>
      </c>
      <c r="GJ141" s="2">
        <v>0</v>
      </c>
      <c r="GK141" s="2">
        <v>0</v>
      </c>
      <c r="GL141" s="2">
        <f t="shared" si="121"/>
        <v>0</v>
      </c>
      <c r="GM141" s="2">
        <f t="shared" si="122"/>
        <v>234.08</v>
      </c>
      <c r="GN141" s="2">
        <f t="shared" si="123"/>
        <v>0</v>
      </c>
      <c r="GO141" s="2">
        <f t="shared" si="124"/>
        <v>234.08</v>
      </c>
      <c r="GP141" s="2">
        <f t="shared" si="125"/>
        <v>0</v>
      </c>
      <c r="GQ141" s="2"/>
      <c r="GR141" s="2">
        <v>0</v>
      </c>
      <c r="GS141" s="2">
        <v>3</v>
      </c>
      <c r="GT141" s="2">
        <v>0</v>
      </c>
      <c r="GU141" s="2" t="s">
        <v>3</v>
      </c>
      <c r="GV141" s="2">
        <f t="shared" si="126"/>
        <v>0</v>
      </c>
      <c r="GW141" s="2">
        <v>1</v>
      </c>
      <c r="GX141" s="2">
        <f t="shared" si="127"/>
        <v>0</v>
      </c>
      <c r="GY141" s="2"/>
      <c r="GZ141" s="2"/>
      <c r="HA141" s="2">
        <v>0</v>
      </c>
      <c r="HB141" s="2">
        <v>0</v>
      </c>
      <c r="HC141" s="2">
        <f t="shared" si="128"/>
        <v>0</v>
      </c>
      <c r="HD141" s="2"/>
      <c r="HE141" s="2" t="s">
        <v>3</v>
      </c>
      <c r="HF141" s="2" t="s">
        <v>3</v>
      </c>
      <c r="HG141" s="2"/>
      <c r="HH141" s="2"/>
      <c r="HI141" s="2"/>
      <c r="HJ141" s="2"/>
      <c r="HK141" s="2"/>
      <c r="HL141" s="2"/>
      <c r="HM141" s="2" t="s">
        <v>3</v>
      </c>
      <c r="HN141" s="2" t="s">
        <v>3</v>
      </c>
      <c r="HO141" s="2" t="s">
        <v>3</v>
      </c>
      <c r="HP141" s="2" t="s">
        <v>3</v>
      </c>
      <c r="HQ141" s="2" t="s">
        <v>3</v>
      </c>
      <c r="HR141" s="2"/>
      <c r="HS141" s="2">
        <v>0</v>
      </c>
      <c r="HT141" s="2"/>
      <c r="HU141" s="2"/>
      <c r="HV141" s="2"/>
      <c r="HW141" s="2"/>
      <c r="HX141" s="2"/>
      <c r="HY141" s="2"/>
      <c r="HZ141" s="2"/>
      <c r="IA141" s="2"/>
      <c r="IB141" s="2"/>
      <c r="IC141" s="2"/>
      <c r="ID141" s="2"/>
      <c r="IE141" s="2"/>
      <c r="IF141" s="2"/>
      <c r="IG141" s="2"/>
      <c r="IH141" s="2"/>
      <c r="II141" s="2"/>
      <c r="IJ141" s="2"/>
      <c r="IK141" s="2">
        <v>0</v>
      </c>
      <c r="IL141" s="2"/>
      <c r="IM141" s="2"/>
      <c r="IN141" s="2"/>
      <c r="IO141" s="2"/>
      <c r="IP141" s="2"/>
      <c r="IQ141" s="2"/>
      <c r="IR141" s="2"/>
      <c r="IS141" s="2"/>
      <c r="IT141" s="2"/>
      <c r="IU141" s="2"/>
    </row>
    <row r="142" spans="1:255" x14ac:dyDescent="0.25">
      <c r="A142" s="3">
        <v>17</v>
      </c>
      <c r="B142" s="3">
        <v>1</v>
      </c>
      <c r="C142" s="3">
        <f>ROW(SmtRes!A188)</f>
        <v>188</v>
      </c>
      <c r="D142" s="3">
        <f>ROW(EtalonRes!A242)</f>
        <v>242</v>
      </c>
      <c r="E142" s="3" t="s">
        <v>225</v>
      </c>
      <c r="F142" s="3" t="s">
        <v>48</v>
      </c>
      <c r="G142" s="3" t="s">
        <v>183</v>
      </c>
      <c r="H142" s="3" t="s">
        <v>27</v>
      </c>
      <c r="I142" s="3">
        <f>ROUND(2+2,9)</f>
        <v>4</v>
      </c>
      <c r="J142" s="3">
        <v>0</v>
      </c>
      <c r="K142" s="3">
        <f>ROUND(2+2,9)</f>
        <v>4</v>
      </c>
      <c r="O142" s="3">
        <f t="shared" si="104"/>
        <v>5460.34</v>
      </c>
      <c r="P142" s="3">
        <f t="shared" si="105"/>
        <v>95.85</v>
      </c>
      <c r="Q142" s="3">
        <f>(ROUND((ROUND((((ET142*1.2))*AV142*I142),2)*BB142),2)+ROUND((ROUND(((AE142-((EU142*1.2)))*AV142*I142),2)*BS142),2))</f>
        <v>1.1000000000000001</v>
      </c>
      <c r="R142" s="3">
        <f>(ROUND((ROUND((((EU142*1.2))*AV142*I142),2)*BS142),2)+ROUND((ROUND(((AE142-((EU142*1.2)))*AV142*I142),2)*BS142),2))</f>
        <v>0</v>
      </c>
      <c r="S142" s="3">
        <f t="shared" si="106"/>
        <v>5363.39</v>
      </c>
      <c r="T142" s="3">
        <f t="shared" si="107"/>
        <v>0</v>
      </c>
      <c r="U142" s="3">
        <f t="shared" si="108"/>
        <v>6.834816</v>
      </c>
      <c r="V142" s="3">
        <f t="shared" si="109"/>
        <v>0</v>
      </c>
      <c r="W142" s="3">
        <f t="shared" si="110"/>
        <v>0</v>
      </c>
      <c r="X142" s="3">
        <f>(ROUND((((S142+ROUND((ROUND((((EU142*1.2))*AV142*I142),2)*BS142),2))*AT142)/100),2)+ROUND(((ROUND((ROUND(((AE142-((EU142*1.2)))*AV142*I142),2)*BS142),2)*AT142)/100),2))</f>
        <v>4827.05</v>
      </c>
      <c r="Y142" s="3">
        <f>(ROUND((((S142+ROUND((ROUND((((EU142*1.2))*AV142*I142),2)*BS142),2))*AU142)/100),2)+ROUND(((ROUND((ROUND(((AE142-((EU142*1.2)))*AV142*I142),2)*BS142),2)*AU142)/100),2))</f>
        <v>2467.16</v>
      </c>
      <c r="AA142" s="3">
        <v>57014140</v>
      </c>
      <c r="AB142" s="3">
        <f t="shared" si="111"/>
        <v>25.091999999999999</v>
      </c>
      <c r="AC142" s="3">
        <f>ROUND(((ES142*1)),6)</f>
        <v>2.34</v>
      </c>
      <c r="AD142" s="3">
        <f>ROUND(((((ET142*1.2))-((EU142*1.2)))+AE142),6)</f>
        <v>2.4E-2</v>
      </c>
      <c r="AE142" s="3">
        <f>ROUND(((EU142*1.2)),6)</f>
        <v>0</v>
      </c>
      <c r="AF142" s="3">
        <f>ROUND(((EV142*1.2)),6)</f>
        <v>22.728000000000002</v>
      </c>
      <c r="AG142" s="3">
        <f t="shared" si="112"/>
        <v>0</v>
      </c>
      <c r="AH142" s="3">
        <f>((EW142*1.2))</f>
        <v>1.6320000000000001</v>
      </c>
      <c r="AI142" s="3">
        <f>((EX142*1.2))</f>
        <v>0</v>
      </c>
      <c r="AJ142" s="3">
        <f t="shared" si="113"/>
        <v>0</v>
      </c>
      <c r="AK142" s="3">
        <v>21.3</v>
      </c>
      <c r="AL142" s="3">
        <v>2.34</v>
      </c>
      <c r="AM142" s="3">
        <v>0.02</v>
      </c>
      <c r="AN142" s="3">
        <v>0</v>
      </c>
      <c r="AO142" s="3">
        <v>18.940000000000001</v>
      </c>
      <c r="AP142" s="3">
        <v>0</v>
      </c>
      <c r="AQ142" s="3">
        <v>1.36</v>
      </c>
      <c r="AR142" s="3">
        <v>0</v>
      </c>
      <c r="AS142" s="3">
        <v>0</v>
      </c>
      <c r="AT142" s="3">
        <v>90</v>
      </c>
      <c r="AU142" s="3">
        <v>46</v>
      </c>
      <c r="AV142" s="3">
        <v>1.0469999999999999</v>
      </c>
      <c r="AW142" s="3">
        <v>1</v>
      </c>
      <c r="AZ142" s="3">
        <v>1</v>
      </c>
      <c r="BA142" s="3">
        <v>56.35</v>
      </c>
      <c r="BB142" s="3">
        <v>11</v>
      </c>
      <c r="BC142" s="3">
        <v>10.24</v>
      </c>
      <c r="BD142" s="3" t="s">
        <v>3</v>
      </c>
      <c r="BE142" s="3" t="s">
        <v>3</v>
      </c>
      <c r="BF142" s="3" t="s">
        <v>3</v>
      </c>
      <c r="BG142" s="3" t="s">
        <v>3</v>
      </c>
      <c r="BH142" s="3">
        <v>0</v>
      </c>
      <c r="BI142" s="3">
        <v>2</v>
      </c>
      <c r="BJ142" s="3" t="s">
        <v>50</v>
      </c>
      <c r="BM142" s="3">
        <v>68</v>
      </c>
      <c r="BN142" s="3">
        <v>0</v>
      </c>
      <c r="BO142" s="3" t="s">
        <v>48</v>
      </c>
      <c r="BP142" s="3">
        <v>1</v>
      </c>
      <c r="BQ142" s="3">
        <v>40</v>
      </c>
      <c r="BR142" s="3">
        <v>0</v>
      </c>
      <c r="BS142" s="3">
        <v>56.35</v>
      </c>
      <c r="BT142" s="3">
        <v>1</v>
      </c>
      <c r="BU142" s="3">
        <v>1</v>
      </c>
      <c r="BV142" s="3">
        <v>1</v>
      </c>
      <c r="BW142" s="3">
        <v>1</v>
      </c>
      <c r="BX142" s="3">
        <v>1</v>
      </c>
      <c r="BY142" s="3" t="s">
        <v>3</v>
      </c>
      <c r="BZ142" s="3">
        <v>90</v>
      </c>
      <c r="CA142" s="3">
        <v>46</v>
      </c>
      <c r="CB142" s="3" t="s">
        <v>3</v>
      </c>
      <c r="CE142" s="3">
        <v>1566</v>
      </c>
      <c r="CF142" s="3">
        <v>0</v>
      </c>
      <c r="CG142" s="3">
        <v>0</v>
      </c>
      <c r="CM142" s="3">
        <v>0</v>
      </c>
      <c r="CN142" s="3" t="s">
        <v>624</v>
      </c>
      <c r="CO142" s="3">
        <v>0</v>
      </c>
      <c r="CP142" s="3">
        <f t="shared" si="114"/>
        <v>5460.34</v>
      </c>
      <c r="CQ142" s="3">
        <f t="shared" si="115"/>
        <v>23.96</v>
      </c>
      <c r="CR142" s="3">
        <f>(ROUND((ROUND((((ET142*1.2))*AV142*1),2)*BB142),2)+ROUND((ROUND(((AE142-((EU142*1.2)))*AV142*1),2)*BS142),2))</f>
        <v>0.33</v>
      </c>
      <c r="CS142" s="3">
        <f>(ROUND((ROUND((((EU142*1.2))*AV142*1),2)*BS142),2)+ROUND((ROUND(((AE142-((EU142*1.2)))*AV142*1),2)*BS142),2))</f>
        <v>0</v>
      </c>
      <c r="CT142" s="3">
        <f t="shared" si="116"/>
        <v>1341.13</v>
      </c>
      <c r="CU142" s="3">
        <f t="shared" si="117"/>
        <v>0</v>
      </c>
      <c r="CV142" s="3">
        <f t="shared" si="118"/>
        <v>1.708704</v>
      </c>
      <c r="CW142" s="3">
        <f t="shared" si="119"/>
        <v>0</v>
      </c>
      <c r="CX142" s="3">
        <f t="shared" si="120"/>
        <v>0</v>
      </c>
      <c r="CY142" s="3">
        <f>(ROUND((((S142+ROUND((ROUND((((EU142*1.2))*AV142*1),2)*BS142),2))*AT142)/100),2)+ROUND(((ROUND((ROUND(((AE142-((EU142*1.2)))*AV142*1),2)*BS142),2)*AT142)/100),2))</f>
        <v>4827.05</v>
      </c>
      <c r="CZ142" s="3">
        <f>(ROUND((((S142+ROUND((ROUND((((EU142*1.2))*AV142*1),2)*BS142),2))*AU142)/100),2)+ROUND(((ROUND((ROUND(((AE142-((EU142*1.2)))*AV142*1),2)*BS142),2)*AU142)/100),2))</f>
        <v>2467.16</v>
      </c>
      <c r="DB142" s="3">
        <v>76</v>
      </c>
      <c r="DC142" s="3" t="s">
        <v>3</v>
      </c>
      <c r="DD142" s="3" t="s">
        <v>70</v>
      </c>
      <c r="DE142" s="3" t="s">
        <v>71</v>
      </c>
      <c r="DF142" s="3" t="s">
        <v>71</v>
      </c>
      <c r="DG142" s="3" t="s">
        <v>71</v>
      </c>
      <c r="DH142" s="3" t="s">
        <v>3</v>
      </c>
      <c r="DI142" s="3" t="s">
        <v>71</v>
      </c>
      <c r="DJ142" s="3" t="s">
        <v>71</v>
      </c>
      <c r="DK142" s="3" t="s">
        <v>3</v>
      </c>
      <c r="DL142" s="3" t="s">
        <v>3</v>
      </c>
      <c r="DM142" s="3" t="s">
        <v>3</v>
      </c>
      <c r="DN142" s="3">
        <v>0</v>
      </c>
      <c r="DO142" s="3">
        <v>0</v>
      </c>
      <c r="DP142" s="3">
        <v>1</v>
      </c>
      <c r="DQ142" s="3">
        <v>1</v>
      </c>
      <c r="DU142" s="3">
        <v>1013</v>
      </c>
      <c r="DV142" s="3" t="s">
        <v>27</v>
      </c>
      <c r="DW142" s="3" t="s">
        <v>27</v>
      </c>
      <c r="DX142" s="3">
        <v>1</v>
      </c>
      <c r="DZ142" s="3" t="s">
        <v>3</v>
      </c>
      <c r="EA142" s="3" t="s">
        <v>3</v>
      </c>
      <c r="EB142" s="3" t="s">
        <v>3</v>
      </c>
      <c r="EC142" s="3" t="s">
        <v>3</v>
      </c>
      <c r="EE142" s="3">
        <v>57042958</v>
      </c>
      <c r="EF142" s="3">
        <v>40</v>
      </c>
      <c r="EG142" s="3" t="s">
        <v>31</v>
      </c>
      <c r="EH142" s="3">
        <v>0</v>
      </c>
      <c r="EI142" s="3" t="s">
        <v>3</v>
      </c>
      <c r="EJ142" s="3">
        <v>2</v>
      </c>
      <c r="EK142" s="3">
        <v>68</v>
      </c>
      <c r="EL142" s="3" t="s">
        <v>32</v>
      </c>
      <c r="EM142" s="3" t="s">
        <v>33</v>
      </c>
      <c r="EO142" s="3" t="s">
        <v>75</v>
      </c>
      <c r="EQ142" s="3">
        <v>0</v>
      </c>
      <c r="ER142" s="3">
        <v>21.3</v>
      </c>
      <c r="ES142" s="3">
        <v>2.34</v>
      </c>
      <c r="ET142" s="3">
        <v>0.02</v>
      </c>
      <c r="EU142" s="3">
        <v>0</v>
      </c>
      <c r="EV142" s="3">
        <v>18.940000000000001</v>
      </c>
      <c r="EW142" s="3">
        <v>1.36</v>
      </c>
      <c r="EX142" s="3">
        <v>0</v>
      </c>
      <c r="EY142" s="3">
        <v>0</v>
      </c>
      <c r="FQ142" s="3">
        <v>0</v>
      </c>
      <c r="FR142" s="3">
        <v>0</v>
      </c>
      <c r="FS142" s="3">
        <v>0</v>
      </c>
      <c r="FX142" s="3">
        <v>90</v>
      </c>
      <c r="FY142" s="3">
        <v>46</v>
      </c>
      <c r="GA142" s="3" t="s">
        <v>3</v>
      </c>
      <c r="GD142" s="3">
        <v>1</v>
      </c>
      <c r="GF142" s="3">
        <v>-635599801</v>
      </c>
      <c r="GG142" s="3">
        <v>2</v>
      </c>
      <c r="GH142" s="3">
        <v>1</v>
      </c>
      <c r="GI142" s="3">
        <v>2</v>
      </c>
      <c r="GJ142" s="3">
        <v>0</v>
      </c>
      <c r="GK142" s="3">
        <v>0</v>
      </c>
      <c r="GL142" s="3">
        <f t="shared" si="121"/>
        <v>0</v>
      </c>
      <c r="GM142" s="3">
        <f t="shared" si="122"/>
        <v>12754.55</v>
      </c>
      <c r="GN142" s="3">
        <f t="shared" si="123"/>
        <v>0</v>
      </c>
      <c r="GO142" s="3">
        <f t="shared" si="124"/>
        <v>12754.55</v>
      </c>
      <c r="GP142" s="3">
        <f t="shared" si="125"/>
        <v>0</v>
      </c>
      <c r="GR142" s="3">
        <v>0</v>
      </c>
      <c r="GS142" s="3">
        <v>3</v>
      </c>
      <c r="GT142" s="3">
        <v>0</v>
      </c>
      <c r="GU142" s="3" t="s">
        <v>3</v>
      </c>
      <c r="GV142" s="3">
        <f t="shared" si="126"/>
        <v>0</v>
      </c>
      <c r="GW142" s="3">
        <v>1</v>
      </c>
      <c r="GX142" s="3">
        <f t="shared" si="127"/>
        <v>0</v>
      </c>
      <c r="HA142" s="3">
        <v>0</v>
      </c>
      <c r="HB142" s="3">
        <v>0</v>
      </c>
      <c r="HC142" s="3">
        <f t="shared" si="128"/>
        <v>0</v>
      </c>
      <c r="HE142" s="3" t="s">
        <v>3</v>
      </c>
      <c r="HF142" s="3" t="s">
        <v>3</v>
      </c>
      <c r="HM142" s="3" t="s">
        <v>3</v>
      </c>
      <c r="HN142" s="3" t="s">
        <v>3</v>
      </c>
      <c r="HO142" s="3" t="s">
        <v>3</v>
      </c>
      <c r="HP142" s="3" t="s">
        <v>3</v>
      </c>
      <c r="HQ142" s="3" t="s">
        <v>3</v>
      </c>
      <c r="HS142" s="3">
        <v>0</v>
      </c>
      <c r="IK142" s="3">
        <v>0</v>
      </c>
    </row>
    <row r="143" spans="1:255" x14ac:dyDescent="0.25">
      <c r="A143" s="2">
        <v>17</v>
      </c>
      <c r="B143" s="2">
        <v>1</v>
      </c>
      <c r="C143" s="2"/>
      <c r="D143" s="2"/>
      <c r="E143" s="2" t="s">
        <v>226</v>
      </c>
      <c r="F143" s="2" t="s">
        <v>227</v>
      </c>
      <c r="G143" s="2" t="s">
        <v>228</v>
      </c>
      <c r="H143" s="2" t="s">
        <v>152</v>
      </c>
      <c r="I143" s="2">
        <v>2</v>
      </c>
      <c r="J143" s="2">
        <v>0</v>
      </c>
      <c r="K143" s="2">
        <v>2</v>
      </c>
      <c r="L143" s="2"/>
      <c r="M143" s="2"/>
      <c r="N143" s="2"/>
      <c r="O143" s="2">
        <f t="shared" si="104"/>
        <v>1723.24</v>
      </c>
      <c r="P143" s="2">
        <f t="shared" si="105"/>
        <v>1723.24</v>
      </c>
      <c r="Q143" s="2">
        <f t="shared" ref="Q143:Q150" si="135">(ROUND((ROUND(((ET143)*AV143*I143),2)*BB143),2)+ROUND((ROUND(((AE143-(EU143))*AV143*I143),2)*BS143),2))</f>
        <v>0</v>
      </c>
      <c r="R143" s="2">
        <f t="shared" ref="R143:R150" si="136">(ROUND((ROUND(((EU143)*AV143*I143),2)*BS143),2)+ROUND((ROUND(((AE143-(EU143))*AV143*I143),2)*BS143),2))</f>
        <v>0</v>
      </c>
      <c r="S143" s="2">
        <f t="shared" si="106"/>
        <v>0</v>
      </c>
      <c r="T143" s="2">
        <f t="shared" si="107"/>
        <v>0</v>
      </c>
      <c r="U143" s="2">
        <f t="shared" si="108"/>
        <v>0</v>
      </c>
      <c r="V143" s="2">
        <f t="shared" si="109"/>
        <v>0</v>
      </c>
      <c r="W143" s="2">
        <f t="shared" si="110"/>
        <v>0</v>
      </c>
      <c r="X143" s="2">
        <f t="shared" ref="X143:X150" si="137">(ROUND((((S143+ROUND((ROUND(((EU143)*AV143*I143),2)*BS143),2))*AT143)/100),2)+ROUND(((ROUND((ROUND(((AE143-(EU143))*AV143*I143),2)*BS143),2)*AT143)/100),2))</f>
        <v>0</v>
      </c>
      <c r="Y143" s="2">
        <f t="shared" ref="Y143:Y150" si="138">(ROUND((((S143+ROUND((ROUND(((EU143)*AV143*I143),2)*BS143),2))*AU143)/100),2)+ROUND(((ROUND((ROUND(((AE143-(EU143))*AV143*I143),2)*BS143),2)*AU143)/100),2))</f>
        <v>0</v>
      </c>
      <c r="Z143" s="2"/>
      <c r="AA143" s="2">
        <v>57014138</v>
      </c>
      <c r="AB143" s="2">
        <f t="shared" si="111"/>
        <v>861.62</v>
      </c>
      <c r="AC143" s="2">
        <f t="shared" ref="AC143:AC150" si="139">ROUND((ES143),6)</f>
        <v>861.62</v>
      </c>
      <c r="AD143" s="2">
        <f t="shared" ref="AD143:AD150" si="140">ROUND((((ET143)-(EU143))+AE143),6)</f>
        <v>0</v>
      </c>
      <c r="AE143" s="2">
        <f t="shared" ref="AE143:AF150" si="141">ROUND((EU143),6)</f>
        <v>0</v>
      </c>
      <c r="AF143" s="2">
        <f t="shared" si="141"/>
        <v>0</v>
      </c>
      <c r="AG143" s="2">
        <f t="shared" si="112"/>
        <v>0</v>
      </c>
      <c r="AH143" s="2">
        <f t="shared" ref="AH143:AI150" si="142">(EW143)</f>
        <v>0</v>
      </c>
      <c r="AI143" s="2">
        <f t="shared" si="142"/>
        <v>0</v>
      </c>
      <c r="AJ143" s="2">
        <f t="shared" si="113"/>
        <v>0</v>
      </c>
      <c r="AK143" s="2">
        <v>861.62</v>
      </c>
      <c r="AL143" s="2">
        <v>861.62</v>
      </c>
      <c r="AM143" s="2">
        <v>0</v>
      </c>
      <c r="AN143" s="2">
        <v>0</v>
      </c>
      <c r="AO143" s="2">
        <v>0</v>
      </c>
      <c r="AP143" s="2">
        <v>0</v>
      </c>
      <c r="AQ143" s="2">
        <v>0</v>
      </c>
      <c r="AR143" s="2">
        <v>0</v>
      </c>
      <c r="AS143" s="2">
        <v>0</v>
      </c>
      <c r="AT143" s="2">
        <v>0</v>
      </c>
      <c r="AU143" s="2">
        <v>0</v>
      </c>
      <c r="AV143" s="2">
        <v>1</v>
      </c>
      <c r="AW143" s="2">
        <v>1</v>
      </c>
      <c r="AX143" s="2"/>
      <c r="AY143" s="2"/>
      <c r="AZ143" s="2">
        <v>1</v>
      </c>
      <c r="BA143" s="2">
        <v>1</v>
      </c>
      <c r="BB143" s="2">
        <v>1</v>
      </c>
      <c r="BC143" s="2">
        <v>1</v>
      </c>
      <c r="BD143" s="2" t="s">
        <v>3</v>
      </c>
      <c r="BE143" s="2" t="s">
        <v>3</v>
      </c>
      <c r="BF143" s="2" t="s">
        <v>3</v>
      </c>
      <c r="BG143" s="2" t="s">
        <v>3</v>
      </c>
      <c r="BH143" s="2">
        <v>3</v>
      </c>
      <c r="BI143" s="2">
        <v>3</v>
      </c>
      <c r="BJ143" s="2" t="s">
        <v>227</v>
      </c>
      <c r="BK143" s="2"/>
      <c r="BL143" s="2"/>
      <c r="BM143" s="2">
        <v>400007</v>
      </c>
      <c r="BN143" s="2">
        <v>0</v>
      </c>
      <c r="BO143" s="2" t="s">
        <v>3</v>
      </c>
      <c r="BP143" s="2">
        <v>0</v>
      </c>
      <c r="BQ143" s="2">
        <v>214</v>
      </c>
      <c r="BR143" s="2">
        <v>0</v>
      </c>
      <c r="BS143" s="2">
        <v>1</v>
      </c>
      <c r="BT143" s="2">
        <v>1</v>
      </c>
      <c r="BU143" s="2">
        <v>1</v>
      </c>
      <c r="BV143" s="2">
        <v>1</v>
      </c>
      <c r="BW143" s="2">
        <v>1</v>
      </c>
      <c r="BX143" s="2">
        <v>1</v>
      </c>
      <c r="BY143" s="2" t="s">
        <v>3</v>
      </c>
      <c r="BZ143" s="2">
        <v>0</v>
      </c>
      <c r="CA143" s="2">
        <v>0</v>
      </c>
      <c r="CB143" s="2" t="s">
        <v>3</v>
      </c>
      <c r="CC143" s="2"/>
      <c r="CD143" s="2"/>
      <c r="CE143" s="2">
        <v>1566</v>
      </c>
      <c r="CF143" s="2">
        <v>0</v>
      </c>
      <c r="CG143" s="2">
        <v>0</v>
      </c>
      <c r="CH143" s="2"/>
      <c r="CI143" s="2"/>
      <c r="CJ143" s="2"/>
      <c r="CK143" s="2"/>
      <c r="CL143" s="2"/>
      <c r="CM143" s="2">
        <v>0</v>
      </c>
      <c r="CN143" s="2" t="s">
        <v>3</v>
      </c>
      <c r="CO143" s="2">
        <v>0</v>
      </c>
      <c r="CP143" s="2">
        <f t="shared" si="114"/>
        <v>1723.24</v>
      </c>
      <c r="CQ143" s="2">
        <f t="shared" si="115"/>
        <v>861.62</v>
      </c>
      <c r="CR143" s="2">
        <f t="shared" ref="CR143:CR150" si="143">(ROUND((ROUND(((ET143)*AV143*1),2)*BB143),2)+ROUND((ROUND(((AE143-(EU143))*AV143*1),2)*BS143),2))</f>
        <v>0</v>
      </c>
      <c r="CS143" s="2">
        <f t="shared" ref="CS143:CS150" si="144">(ROUND((ROUND(((EU143)*AV143*1),2)*BS143),2)+ROUND((ROUND(((AE143-(EU143))*AV143*1),2)*BS143),2))</f>
        <v>0</v>
      </c>
      <c r="CT143" s="2">
        <f t="shared" si="116"/>
        <v>0</v>
      </c>
      <c r="CU143" s="2">
        <f t="shared" si="117"/>
        <v>0</v>
      </c>
      <c r="CV143" s="2">
        <f t="shared" si="118"/>
        <v>0</v>
      </c>
      <c r="CW143" s="2">
        <f t="shared" si="119"/>
        <v>0</v>
      </c>
      <c r="CX143" s="2">
        <f t="shared" si="120"/>
        <v>0</v>
      </c>
      <c r="CY143" s="2">
        <f t="shared" ref="CY143:CY150" si="145">(ROUND((((S143+ROUND((ROUND(((EU143)*AV143*1),2)*BS143),2))*AT143)/100),2)+ROUND(((ROUND((ROUND(((AE143-(EU143))*AV143*1),2)*BS143),2)*AT143)/100),2))</f>
        <v>0</v>
      </c>
      <c r="CZ143" s="2">
        <f t="shared" ref="CZ143:CZ150" si="146">(ROUND((((S143+ROUND((ROUND(((EU143)*AV143*1),2)*BS143),2))*AU143)/100),2)+ROUND(((ROUND((ROUND(((AE143-(EU143))*AV143*1),2)*BS143),2)*AU143)/100),2))</f>
        <v>0</v>
      </c>
      <c r="DA143" s="2"/>
      <c r="DB143" s="2"/>
      <c r="DC143" s="2" t="s">
        <v>3</v>
      </c>
      <c r="DD143" s="2" t="s">
        <v>3</v>
      </c>
      <c r="DE143" s="2" t="s">
        <v>3</v>
      </c>
      <c r="DF143" s="2" t="s">
        <v>3</v>
      </c>
      <c r="DG143" s="2" t="s">
        <v>3</v>
      </c>
      <c r="DH143" s="2" t="s">
        <v>3</v>
      </c>
      <c r="DI143" s="2" t="s">
        <v>3</v>
      </c>
      <c r="DJ143" s="2" t="s">
        <v>3</v>
      </c>
      <c r="DK143" s="2" t="s">
        <v>3</v>
      </c>
      <c r="DL143" s="2" t="s">
        <v>3</v>
      </c>
      <c r="DM143" s="2" t="s">
        <v>3</v>
      </c>
      <c r="DN143" s="2">
        <v>0</v>
      </c>
      <c r="DO143" s="2">
        <v>0</v>
      </c>
      <c r="DP143" s="2">
        <v>1</v>
      </c>
      <c r="DQ143" s="2">
        <v>1</v>
      </c>
      <c r="DR143" s="2"/>
      <c r="DS143" s="2"/>
      <c r="DT143" s="2"/>
      <c r="DU143" s="2">
        <v>1013</v>
      </c>
      <c r="DV143" s="2" t="s">
        <v>152</v>
      </c>
      <c r="DW143" s="2" t="s">
        <v>152</v>
      </c>
      <c r="DX143" s="2">
        <v>1</v>
      </c>
      <c r="DY143" s="2"/>
      <c r="DZ143" s="2" t="s">
        <v>3</v>
      </c>
      <c r="EA143" s="2" t="s">
        <v>3</v>
      </c>
      <c r="EB143" s="2" t="s">
        <v>3</v>
      </c>
      <c r="EC143" s="2" t="s">
        <v>3</v>
      </c>
      <c r="ED143" s="2"/>
      <c r="EE143" s="2">
        <v>57042890</v>
      </c>
      <c r="EF143" s="2">
        <v>214</v>
      </c>
      <c r="EG143" s="2" t="s">
        <v>153</v>
      </c>
      <c r="EH143" s="2">
        <v>0</v>
      </c>
      <c r="EI143" s="2" t="s">
        <v>3</v>
      </c>
      <c r="EJ143" s="2">
        <v>3</v>
      </c>
      <c r="EK143" s="2">
        <v>400007</v>
      </c>
      <c r="EL143" s="2" t="s">
        <v>153</v>
      </c>
      <c r="EM143" s="2" t="s">
        <v>154</v>
      </c>
      <c r="EN143" s="2"/>
      <c r="EO143" s="2" t="s">
        <v>3</v>
      </c>
      <c r="EP143" s="2"/>
      <c r="EQ143" s="2">
        <v>16</v>
      </c>
      <c r="ER143" s="2">
        <v>0</v>
      </c>
      <c r="ES143" s="2">
        <v>861.62</v>
      </c>
      <c r="ET143" s="2">
        <v>0</v>
      </c>
      <c r="EU143" s="2">
        <v>0</v>
      </c>
      <c r="EV143" s="2">
        <v>0</v>
      </c>
      <c r="EW143" s="2">
        <v>0</v>
      </c>
      <c r="EX143" s="2">
        <v>0</v>
      </c>
      <c r="EY143" s="2">
        <v>0</v>
      </c>
      <c r="EZ143" s="2"/>
      <c r="FA143" s="2"/>
      <c r="FB143" s="2"/>
      <c r="FC143" s="2"/>
      <c r="FD143" s="2"/>
      <c r="FE143" s="2"/>
      <c r="FF143" s="2"/>
      <c r="FG143" s="2"/>
      <c r="FH143" s="2"/>
      <c r="FI143" s="2"/>
      <c r="FJ143" s="2"/>
      <c r="FK143" s="2"/>
      <c r="FL143" s="2"/>
      <c r="FM143" s="2"/>
      <c r="FN143" s="2"/>
      <c r="FO143" s="2"/>
      <c r="FP143" s="2"/>
      <c r="FQ143" s="2">
        <v>0</v>
      </c>
      <c r="FR143" s="2">
        <f t="shared" ref="FR143:FR150" si="147">P143</f>
        <v>1723.24</v>
      </c>
      <c r="FS143" s="2">
        <v>0</v>
      </c>
      <c r="FT143" s="2"/>
      <c r="FU143" s="2"/>
      <c r="FV143" s="2"/>
      <c r="FW143" s="2"/>
      <c r="FX143" s="2">
        <v>0</v>
      </c>
      <c r="FY143" s="2">
        <v>0</v>
      </c>
      <c r="FZ143" s="2"/>
      <c r="GA143" s="2" t="s">
        <v>229</v>
      </c>
      <c r="GB143" s="2"/>
      <c r="GC143" s="2"/>
      <c r="GD143" s="2">
        <v>1</v>
      </c>
      <c r="GE143" s="2"/>
      <c r="GF143" s="2">
        <v>547439320</v>
      </c>
      <c r="GG143" s="2">
        <v>2</v>
      </c>
      <c r="GH143" s="2">
        <v>4</v>
      </c>
      <c r="GI143" s="2">
        <v>-2</v>
      </c>
      <c r="GJ143" s="2">
        <v>0</v>
      </c>
      <c r="GK143" s="2">
        <v>0</v>
      </c>
      <c r="GL143" s="2">
        <f t="shared" si="121"/>
        <v>0</v>
      </c>
      <c r="GM143" s="2">
        <f t="shared" si="122"/>
        <v>1723.24</v>
      </c>
      <c r="GN143" s="2">
        <f t="shared" si="123"/>
        <v>0</v>
      </c>
      <c r="GO143" s="2">
        <f t="shared" si="124"/>
        <v>0</v>
      </c>
      <c r="GP143" s="2">
        <f t="shared" si="125"/>
        <v>0</v>
      </c>
      <c r="GQ143" s="2"/>
      <c r="GR143" s="2">
        <v>1</v>
      </c>
      <c r="GS143" s="2">
        <v>2</v>
      </c>
      <c r="GT143" s="2">
        <v>0</v>
      </c>
      <c r="GU143" s="2" t="s">
        <v>3</v>
      </c>
      <c r="GV143" s="2">
        <f t="shared" si="126"/>
        <v>0</v>
      </c>
      <c r="GW143" s="2">
        <v>1</v>
      </c>
      <c r="GX143" s="2">
        <f t="shared" si="127"/>
        <v>0</v>
      </c>
      <c r="GY143" s="2"/>
      <c r="GZ143" s="2"/>
      <c r="HA143" s="2">
        <v>0</v>
      </c>
      <c r="HB143" s="2">
        <v>0</v>
      </c>
      <c r="HC143" s="2">
        <f t="shared" si="128"/>
        <v>0</v>
      </c>
      <c r="HD143" s="2"/>
      <c r="HE143" s="2" t="s">
        <v>39</v>
      </c>
      <c r="HF143" s="2" t="s">
        <v>156</v>
      </c>
      <c r="HG143" s="2"/>
      <c r="HH143" s="2"/>
      <c r="HI143" s="2"/>
      <c r="HJ143" s="2"/>
      <c r="HK143" s="2"/>
      <c r="HL143" s="2"/>
      <c r="HM143" s="2" t="s">
        <v>3</v>
      </c>
      <c r="HN143" s="2" t="s">
        <v>3</v>
      </c>
      <c r="HO143" s="2" t="s">
        <v>3</v>
      </c>
      <c r="HP143" s="2" t="s">
        <v>3</v>
      </c>
      <c r="HQ143" s="2" t="s">
        <v>3</v>
      </c>
      <c r="HR143" s="2"/>
      <c r="HS143" s="2">
        <v>0</v>
      </c>
      <c r="HT143" s="2"/>
      <c r="HU143" s="2"/>
      <c r="HV143" s="2"/>
      <c r="HW143" s="2"/>
      <c r="HX143" s="2"/>
      <c r="HY143" s="2"/>
      <c r="HZ143" s="2"/>
      <c r="IA143" s="2"/>
      <c r="IB143" s="2"/>
      <c r="IC143" s="2"/>
      <c r="ID143" s="2"/>
      <c r="IE143" s="2"/>
      <c r="IF143" s="2"/>
      <c r="IG143" s="2"/>
      <c r="IH143" s="2"/>
      <c r="II143" s="2"/>
      <c r="IJ143" s="2"/>
      <c r="IK143" s="2">
        <v>0</v>
      </c>
      <c r="IL143" s="2"/>
      <c r="IM143" s="2"/>
      <c r="IN143" s="2"/>
      <c r="IO143" s="2"/>
      <c r="IP143" s="2"/>
      <c r="IQ143" s="2"/>
      <c r="IR143" s="2"/>
      <c r="IS143" s="2"/>
      <c r="IT143" s="2"/>
      <c r="IU143" s="2"/>
    </row>
    <row r="144" spans="1:255" x14ac:dyDescent="0.25">
      <c r="A144" s="3">
        <v>17</v>
      </c>
      <c r="B144" s="3">
        <v>1</v>
      </c>
      <c r="E144" s="3" t="s">
        <v>226</v>
      </c>
      <c r="F144" s="3" t="s">
        <v>227</v>
      </c>
      <c r="G144" s="3" t="s">
        <v>228</v>
      </c>
      <c r="H144" s="3" t="s">
        <v>152</v>
      </c>
      <c r="I144" s="3">
        <v>2</v>
      </c>
      <c r="J144" s="3">
        <v>0</v>
      </c>
      <c r="K144" s="3">
        <v>2</v>
      </c>
      <c r="O144" s="3">
        <f t="shared" si="104"/>
        <v>13044.93</v>
      </c>
      <c r="P144" s="3">
        <f t="shared" si="105"/>
        <v>13044.93</v>
      </c>
      <c r="Q144" s="3">
        <f t="shared" si="135"/>
        <v>0</v>
      </c>
      <c r="R144" s="3">
        <f t="shared" si="136"/>
        <v>0</v>
      </c>
      <c r="S144" s="3">
        <f t="shared" si="106"/>
        <v>0</v>
      </c>
      <c r="T144" s="3">
        <f t="shared" si="107"/>
        <v>0</v>
      </c>
      <c r="U144" s="3">
        <f t="shared" si="108"/>
        <v>0</v>
      </c>
      <c r="V144" s="3">
        <f t="shared" si="109"/>
        <v>0</v>
      </c>
      <c r="W144" s="3">
        <f t="shared" si="110"/>
        <v>0</v>
      </c>
      <c r="X144" s="3">
        <f t="shared" si="137"/>
        <v>0</v>
      </c>
      <c r="Y144" s="3">
        <f t="shared" si="138"/>
        <v>0</v>
      </c>
      <c r="AA144" s="3">
        <v>57014140</v>
      </c>
      <c r="AB144" s="3">
        <f t="shared" si="111"/>
        <v>861.62</v>
      </c>
      <c r="AC144" s="3">
        <f t="shared" si="139"/>
        <v>861.62</v>
      </c>
      <c r="AD144" s="3">
        <f t="shared" si="140"/>
        <v>0</v>
      </c>
      <c r="AE144" s="3">
        <f t="shared" si="141"/>
        <v>0</v>
      </c>
      <c r="AF144" s="3">
        <f t="shared" si="141"/>
        <v>0</v>
      </c>
      <c r="AG144" s="3">
        <f t="shared" si="112"/>
        <v>0</v>
      </c>
      <c r="AH144" s="3">
        <f t="shared" si="142"/>
        <v>0</v>
      </c>
      <c r="AI144" s="3">
        <f t="shared" si="142"/>
        <v>0</v>
      </c>
      <c r="AJ144" s="3">
        <f t="shared" si="113"/>
        <v>0</v>
      </c>
      <c r="AK144" s="3">
        <v>861.62</v>
      </c>
      <c r="AL144" s="3">
        <v>861.62</v>
      </c>
      <c r="AM144" s="3">
        <v>0</v>
      </c>
      <c r="AN144" s="3">
        <v>0</v>
      </c>
      <c r="AO144" s="3">
        <v>0</v>
      </c>
      <c r="AP144" s="3">
        <v>0</v>
      </c>
      <c r="AQ144" s="3">
        <v>0</v>
      </c>
      <c r="AR144" s="3">
        <v>0</v>
      </c>
      <c r="AS144" s="3">
        <v>0</v>
      </c>
      <c r="AT144" s="3">
        <v>0</v>
      </c>
      <c r="AU144" s="3">
        <v>0</v>
      </c>
      <c r="AV144" s="3">
        <v>1</v>
      </c>
      <c r="AW144" s="3">
        <v>1</v>
      </c>
      <c r="AZ144" s="3">
        <v>1</v>
      </c>
      <c r="BA144" s="3">
        <v>1</v>
      </c>
      <c r="BB144" s="3">
        <v>1</v>
      </c>
      <c r="BC144" s="3">
        <v>7.57</v>
      </c>
      <c r="BD144" s="3" t="s">
        <v>3</v>
      </c>
      <c r="BE144" s="3" t="s">
        <v>3</v>
      </c>
      <c r="BF144" s="3" t="s">
        <v>3</v>
      </c>
      <c r="BG144" s="3" t="s">
        <v>3</v>
      </c>
      <c r="BH144" s="3">
        <v>3</v>
      </c>
      <c r="BI144" s="3">
        <v>3</v>
      </c>
      <c r="BJ144" s="3" t="s">
        <v>227</v>
      </c>
      <c r="BM144" s="3">
        <v>400007</v>
      </c>
      <c r="BN144" s="3">
        <v>0</v>
      </c>
      <c r="BO144" s="3" t="s">
        <v>3</v>
      </c>
      <c r="BP144" s="3">
        <v>0</v>
      </c>
      <c r="BQ144" s="3">
        <v>214</v>
      </c>
      <c r="BR144" s="3">
        <v>0</v>
      </c>
      <c r="BS144" s="3">
        <v>1</v>
      </c>
      <c r="BT144" s="3">
        <v>1</v>
      </c>
      <c r="BU144" s="3">
        <v>1</v>
      </c>
      <c r="BV144" s="3">
        <v>1</v>
      </c>
      <c r="BW144" s="3">
        <v>1</v>
      </c>
      <c r="BX144" s="3">
        <v>1</v>
      </c>
      <c r="BY144" s="3" t="s">
        <v>3</v>
      </c>
      <c r="BZ144" s="3">
        <v>0</v>
      </c>
      <c r="CA144" s="3">
        <v>0</v>
      </c>
      <c r="CB144" s="3" t="s">
        <v>3</v>
      </c>
      <c r="CE144" s="3">
        <v>1566</v>
      </c>
      <c r="CF144" s="3">
        <v>0</v>
      </c>
      <c r="CG144" s="3">
        <v>0</v>
      </c>
      <c r="CM144" s="3">
        <v>0</v>
      </c>
      <c r="CN144" s="3" t="s">
        <v>3</v>
      </c>
      <c r="CO144" s="3">
        <v>0</v>
      </c>
      <c r="CP144" s="3">
        <f t="shared" si="114"/>
        <v>13044.93</v>
      </c>
      <c r="CQ144" s="3">
        <f t="shared" si="115"/>
        <v>6522.46</v>
      </c>
      <c r="CR144" s="3">
        <f t="shared" si="143"/>
        <v>0</v>
      </c>
      <c r="CS144" s="3">
        <f t="shared" si="144"/>
        <v>0</v>
      </c>
      <c r="CT144" s="3">
        <f t="shared" si="116"/>
        <v>0</v>
      </c>
      <c r="CU144" s="3">
        <f t="shared" si="117"/>
        <v>0</v>
      </c>
      <c r="CV144" s="3">
        <f t="shared" si="118"/>
        <v>0</v>
      </c>
      <c r="CW144" s="3">
        <f t="shared" si="119"/>
        <v>0</v>
      </c>
      <c r="CX144" s="3">
        <f t="shared" si="120"/>
        <v>0</v>
      </c>
      <c r="CY144" s="3">
        <f t="shared" si="145"/>
        <v>0</v>
      </c>
      <c r="CZ144" s="3">
        <f t="shared" si="146"/>
        <v>0</v>
      </c>
      <c r="DC144" s="3" t="s">
        <v>3</v>
      </c>
      <c r="DD144" s="3" t="s">
        <v>3</v>
      </c>
      <c r="DE144" s="3" t="s">
        <v>3</v>
      </c>
      <c r="DF144" s="3" t="s">
        <v>3</v>
      </c>
      <c r="DG144" s="3" t="s">
        <v>3</v>
      </c>
      <c r="DH144" s="3" t="s">
        <v>3</v>
      </c>
      <c r="DI144" s="3" t="s">
        <v>3</v>
      </c>
      <c r="DJ144" s="3" t="s">
        <v>3</v>
      </c>
      <c r="DK144" s="3" t="s">
        <v>3</v>
      </c>
      <c r="DL144" s="3" t="s">
        <v>3</v>
      </c>
      <c r="DM144" s="3" t="s">
        <v>3</v>
      </c>
      <c r="DN144" s="3">
        <v>0</v>
      </c>
      <c r="DO144" s="3">
        <v>0</v>
      </c>
      <c r="DP144" s="3">
        <v>1</v>
      </c>
      <c r="DQ144" s="3">
        <v>1</v>
      </c>
      <c r="DU144" s="3">
        <v>1013</v>
      </c>
      <c r="DV144" s="3" t="s">
        <v>152</v>
      </c>
      <c r="DW144" s="3" t="s">
        <v>152</v>
      </c>
      <c r="DX144" s="3">
        <v>1</v>
      </c>
      <c r="DZ144" s="3" t="s">
        <v>3</v>
      </c>
      <c r="EA144" s="3" t="s">
        <v>3</v>
      </c>
      <c r="EB144" s="3" t="s">
        <v>3</v>
      </c>
      <c r="EC144" s="3" t="s">
        <v>3</v>
      </c>
      <c r="EE144" s="3">
        <v>57042890</v>
      </c>
      <c r="EF144" s="3">
        <v>214</v>
      </c>
      <c r="EG144" s="3" t="s">
        <v>153</v>
      </c>
      <c r="EH144" s="3">
        <v>0</v>
      </c>
      <c r="EI144" s="3" t="s">
        <v>3</v>
      </c>
      <c r="EJ144" s="3">
        <v>3</v>
      </c>
      <c r="EK144" s="3">
        <v>400007</v>
      </c>
      <c r="EL144" s="3" t="s">
        <v>153</v>
      </c>
      <c r="EM144" s="3" t="s">
        <v>154</v>
      </c>
      <c r="EO144" s="3" t="s">
        <v>3</v>
      </c>
      <c r="EQ144" s="3">
        <v>16</v>
      </c>
      <c r="ER144" s="3">
        <v>0</v>
      </c>
      <c r="ES144" s="3">
        <v>861.62</v>
      </c>
      <c r="ET144" s="3">
        <v>0</v>
      </c>
      <c r="EU144" s="3">
        <v>0</v>
      </c>
      <c r="EV144" s="3">
        <v>0</v>
      </c>
      <c r="EW144" s="3">
        <v>0</v>
      </c>
      <c r="EX144" s="3">
        <v>0</v>
      </c>
      <c r="EY144" s="3">
        <v>0</v>
      </c>
      <c r="EZ144" s="3">
        <v>5</v>
      </c>
      <c r="FC144" s="3">
        <v>1</v>
      </c>
      <c r="FD144" s="3">
        <v>18</v>
      </c>
      <c r="FF144" s="3">
        <v>7634</v>
      </c>
      <c r="FQ144" s="3">
        <v>0</v>
      </c>
      <c r="FR144" s="3">
        <f t="shared" si="147"/>
        <v>13044.93</v>
      </c>
      <c r="FS144" s="3">
        <v>0</v>
      </c>
      <c r="FX144" s="3">
        <v>0</v>
      </c>
      <c r="FY144" s="3">
        <v>0</v>
      </c>
      <c r="GA144" s="3" t="s">
        <v>229</v>
      </c>
      <c r="GD144" s="3">
        <v>1</v>
      </c>
      <c r="GF144" s="3">
        <v>547439320</v>
      </c>
      <c r="GG144" s="3">
        <v>2</v>
      </c>
      <c r="GH144" s="3">
        <v>3</v>
      </c>
      <c r="GI144" s="3">
        <v>5</v>
      </c>
      <c r="GJ144" s="3">
        <v>0</v>
      </c>
      <c r="GK144" s="3">
        <v>0</v>
      </c>
      <c r="GL144" s="3">
        <f t="shared" si="121"/>
        <v>0</v>
      </c>
      <c r="GM144" s="3">
        <f t="shared" si="122"/>
        <v>13044.93</v>
      </c>
      <c r="GN144" s="3">
        <f t="shared" si="123"/>
        <v>0</v>
      </c>
      <c r="GO144" s="3">
        <f t="shared" si="124"/>
        <v>0</v>
      </c>
      <c r="GP144" s="3">
        <f t="shared" si="125"/>
        <v>0</v>
      </c>
      <c r="GR144" s="3">
        <v>1</v>
      </c>
      <c r="GS144" s="3">
        <v>1</v>
      </c>
      <c r="GT144" s="3">
        <v>0</v>
      </c>
      <c r="GU144" s="3" t="s">
        <v>3</v>
      </c>
      <c r="GV144" s="3">
        <f t="shared" si="126"/>
        <v>0</v>
      </c>
      <c r="GW144" s="3">
        <v>1</v>
      </c>
      <c r="GX144" s="3">
        <f t="shared" si="127"/>
        <v>0</v>
      </c>
      <c r="HA144" s="3">
        <v>0</v>
      </c>
      <c r="HB144" s="3">
        <v>0</v>
      </c>
      <c r="HC144" s="3">
        <f t="shared" si="128"/>
        <v>0</v>
      </c>
      <c r="HE144" s="3" t="s">
        <v>39</v>
      </c>
      <c r="HF144" s="3" t="s">
        <v>156</v>
      </c>
      <c r="HM144" s="3" t="s">
        <v>3</v>
      </c>
      <c r="HN144" s="3" t="s">
        <v>3</v>
      </c>
      <c r="HO144" s="3" t="s">
        <v>3</v>
      </c>
      <c r="HP144" s="3" t="s">
        <v>3</v>
      </c>
      <c r="HQ144" s="3" t="s">
        <v>3</v>
      </c>
      <c r="HS144" s="3">
        <v>0</v>
      </c>
      <c r="IK144" s="3">
        <v>0</v>
      </c>
    </row>
    <row r="145" spans="1:255" x14ac:dyDescent="0.25">
      <c r="A145" s="2">
        <v>17</v>
      </c>
      <c r="B145" s="2">
        <v>1</v>
      </c>
      <c r="C145" s="2"/>
      <c r="D145" s="2"/>
      <c r="E145" s="2" t="s">
        <v>230</v>
      </c>
      <c r="F145" s="2" t="s">
        <v>231</v>
      </c>
      <c r="G145" s="2" t="s">
        <v>232</v>
      </c>
      <c r="H145" s="2" t="s">
        <v>152</v>
      </c>
      <c r="I145" s="2">
        <v>2</v>
      </c>
      <c r="J145" s="2">
        <v>0</v>
      </c>
      <c r="K145" s="2">
        <v>2</v>
      </c>
      <c r="L145" s="2"/>
      <c r="M145" s="2"/>
      <c r="N145" s="2"/>
      <c r="O145" s="2">
        <f t="shared" si="104"/>
        <v>1695.68</v>
      </c>
      <c r="P145" s="2">
        <f t="shared" si="105"/>
        <v>1695.68</v>
      </c>
      <c r="Q145" s="2">
        <f t="shared" si="135"/>
        <v>0</v>
      </c>
      <c r="R145" s="2">
        <f t="shared" si="136"/>
        <v>0</v>
      </c>
      <c r="S145" s="2">
        <f t="shared" si="106"/>
        <v>0</v>
      </c>
      <c r="T145" s="2">
        <f t="shared" si="107"/>
        <v>0</v>
      </c>
      <c r="U145" s="2">
        <f t="shared" si="108"/>
        <v>0</v>
      </c>
      <c r="V145" s="2">
        <f t="shared" si="109"/>
        <v>0</v>
      </c>
      <c r="W145" s="2">
        <f t="shared" si="110"/>
        <v>0</v>
      </c>
      <c r="X145" s="2">
        <f t="shared" si="137"/>
        <v>0</v>
      </c>
      <c r="Y145" s="2">
        <f t="shared" si="138"/>
        <v>0</v>
      </c>
      <c r="Z145" s="2"/>
      <c r="AA145" s="2">
        <v>57014138</v>
      </c>
      <c r="AB145" s="2">
        <f t="shared" si="111"/>
        <v>847.84</v>
      </c>
      <c r="AC145" s="2">
        <f t="shared" si="139"/>
        <v>847.84</v>
      </c>
      <c r="AD145" s="2">
        <f t="shared" si="140"/>
        <v>0</v>
      </c>
      <c r="AE145" s="2">
        <f t="shared" si="141"/>
        <v>0</v>
      </c>
      <c r="AF145" s="2">
        <f t="shared" si="141"/>
        <v>0</v>
      </c>
      <c r="AG145" s="2">
        <f t="shared" si="112"/>
        <v>0</v>
      </c>
      <c r="AH145" s="2">
        <f t="shared" si="142"/>
        <v>0</v>
      </c>
      <c r="AI145" s="2">
        <f t="shared" si="142"/>
        <v>0</v>
      </c>
      <c r="AJ145" s="2">
        <f t="shared" si="113"/>
        <v>0</v>
      </c>
      <c r="AK145" s="2">
        <v>847.83999999999992</v>
      </c>
      <c r="AL145" s="2">
        <v>847.83999999999992</v>
      </c>
      <c r="AM145" s="2">
        <v>0</v>
      </c>
      <c r="AN145" s="2">
        <v>0</v>
      </c>
      <c r="AO145" s="2">
        <v>0</v>
      </c>
      <c r="AP145" s="2">
        <v>0</v>
      </c>
      <c r="AQ145" s="2">
        <v>0</v>
      </c>
      <c r="AR145" s="2">
        <v>0</v>
      </c>
      <c r="AS145" s="2">
        <v>0</v>
      </c>
      <c r="AT145" s="2">
        <v>0</v>
      </c>
      <c r="AU145" s="2">
        <v>0</v>
      </c>
      <c r="AV145" s="2">
        <v>1</v>
      </c>
      <c r="AW145" s="2">
        <v>1</v>
      </c>
      <c r="AX145" s="2"/>
      <c r="AY145" s="2"/>
      <c r="AZ145" s="2">
        <v>1</v>
      </c>
      <c r="BA145" s="2">
        <v>1</v>
      </c>
      <c r="BB145" s="2">
        <v>1</v>
      </c>
      <c r="BC145" s="2">
        <v>1</v>
      </c>
      <c r="BD145" s="2" t="s">
        <v>3</v>
      </c>
      <c r="BE145" s="2" t="s">
        <v>3</v>
      </c>
      <c r="BF145" s="2" t="s">
        <v>3</v>
      </c>
      <c r="BG145" s="2" t="s">
        <v>3</v>
      </c>
      <c r="BH145" s="2">
        <v>3</v>
      </c>
      <c r="BI145" s="2">
        <v>3</v>
      </c>
      <c r="BJ145" s="2" t="s">
        <v>231</v>
      </c>
      <c r="BK145" s="2"/>
      <c r="BL145" s="2"/>
      <c r="BM145" s="2">
        <v>400007</v>
      </c>
      <c r="BN145" s="2">
        <v>0</v>
      </c>
      <c r="BO145" s="2" t="s">
        <v>3</v>
      </c>
      <c r="BP145" s="2">
        <v>0</v>
      </c>
      <c r="BQ145" s="2">
        <v>214</v>
      </c>
      <c r="BR145" s="2">
        <v>0</v>
      </c>
      <c r="BS145" s="2">
        <v>1</v>
      </c>
      <c r="BT145" s="2">
        <v>1</v>
      </c>
      <c r="BU145" s="2">
        <v>1</v>
      </c>
      <c r="BV145" s="2">
        <v>1</v>
      </c>
      <c r="BW145" s="2">
        <v>1</v>
      </c>
      <c r="BX145" s="2">
        <v>1</v>
      </c>
      <c r="BY145" s="2" t="s">
        <v>3</v>
      </c>
      <c r="BZ145" s="2">
        <v>0</v>
      </c>
      <c r="CA145" s="2">
        <v>0</v>
      </c>
      <c r="CB145" s="2" t="s">
        <v>3</v>
      </c>
      <c r="CC145" s="2"/>
      <c r="CD145" s="2"/>
      <c r="CE145" s="2">
        <v>1566</v>
      </c>
      <c r="CF145" s="2">
        <v>0</v>
      </c>
      <c r="CG145" s="2">
        <v>0</v>
      </c>
      <c r="CH145" s="2"/>
      <c r="CI145" s="2"/>
      <c r="CJ145" s="2"/>
      <c r="CK145" s="2"/>
      <c r="CL145" s="2"/>
      <c r="CM145" s="2">
        <v>0</v>
      </c>
      <c r="CN145" s="2" t="s">
        <v>3</v>
      </c>
      <c r="CO145" s="2">
        <v>0</v>
      </c>
      <c r="CP145" s="2">
        <f t="shared" si="114"/>
        <v>1695.68</v>
      </c>
      <c r="CQ145" s="2">
        <f t="shared" si="115"/>
        <v>847.84</v>
      </c>
      <c r="CR145" s="2">
        <f t="shared" si="143"/>
        <v>0</v>
      </c>
      <c r="CS145" s="2">
        <f t="shared" si="144"/>
        <v>0</v>
      </c>
      <c r="CT145" s="2">
        <f t="shared" si="116"/>
        <v>0</v>
      </c>
      <c r="CU145" s="2">
        <f t="shared" si="117"/>
        <v>0</v>
      </c>
      <c r="CV145" s="2">
        <f t="shared" si="118"/>
        <v>0</v>
      </c>
      <c r="CW145" s="2">
        <f t="shared" si="119"/>
        <v>0</v>
      </c>
      <c r="CX145" s="2">
        <f t="shared" si="120"/>
        <v>0</v>
      </c>
      <c r="CY145" s="2">
        <f t="shared" si="145"/>
        <v>0</v>
      </c>
      <c r="CZ145" s="2">
        <f t="shared" si="146"/>
        <v>0</v>
      </c>
      <c r="DA145" s="2"/>
      <c r="DB145" s="2"/>
      <c r="DC145" s="2" t="s">
        <v>3</v>
      </c>
      <c r="DD145" s="2" t="s">
        <v>3</v>
      </c>
      <c r="DE145" s="2" t="s">
        <v>3</v>
      </c>
      <c r="DF145" s="2" t="s">
        <v>3</v>
      </c>
      <c r="DG145" s="2" t="s">
        <v>3</v>
      </c>
      <c r="DH145" s="2" t="s">
        <v>3</v>
      </c>
      <c r="DI145" s="2" t="s">
        <v>3</v>
      </c>
      <c r="DJ145" s="2" t="s">
        <v>3</v>
      </c>
      <c r="DK145" s="2" t="s">
        <v>3</v>
      </c>
      <c r="DL145" s="2" t="s">
        <v>3</v>
      </c>
      <c r="DM145" s="2" t="s">
        <v>3</v>
      </c>
      <c r="DN145" s="2">
        <v>0</v>
      </c>
      <c r="DO145" s="2">
        <v>0</v>
      </c>
      <c r="DP145" s="2">
        <v>1</v>
      </c>
      <c r="DQ145" s="2">
        <v>1</v>
      </c>
      <c r="DR145" s="2"/>
      <c r="DS145" s="2"/>
      <c r="DT145" s="2"/>
      <c r="DU145" s="2">
        <v>1013</v>
      </c>
      <c r="DV145" s="2" t="s">
        <v>152</v>
      </c>
      <c r="DW145" s="2" t="s">
        <v>152</v>
      </c>
      <c r="DX145" s="2">
        <v>1</v>
      </c>
      <c r="DY145" s="2"/>
      <c r="DZ145" s="2" t="s">
        <v>3</v>
      </c>
      <c r="EA145" s="2" t="s">
        <v>3</v>
      </c>
      <c r="EB145" s="2" t="s">
        <v>3</v>
      </c>
      <c r="EC145" s="2" t="s">
        <v>3</v>
      </c>
      <c r="ED145" s="2"/>
      <c r="EE145" s="2">
        <v>57042890</v>
      </c>
      <c r="EF145" s="2">
        <v>214</v>
      </c>
      <c r="EG145" s="2" t="s">
        <v>153</v>
      </c>
      <c r="EH145" s="2">
        <v>0</v>
      </c>
      <c r="EI145" s="2" t="s">
        <v>3</v>
      </c>
      <c r="EJ145" s="2">
        <v>3</v>
      </c>
      <c r="EK145" s="2">
        <v>400007</v>
      </c>
      <c r="EL145" s="2" t="s">
        <v>153</v>
      </c>
      <c r="EM145" s="2" t="s">
        <v>154</v>
      </c>
      <c r="EN145" s="2"/>
      <c r="EO145" s="2" t="s">
        <v>3</v>
      </c>
      <c r="EP145" s="2"/>
      <c r="EQ145" s="2">
        <v>16</v>
      </c>
      <c r="ER145" s="2">
        <v>0</v>
      </c>
      <c r="ES145" s="2">
        <v>847.83999999999992</v>
      </c>
      <c r="ET145" s="2">
        <v>0</v>
      </c>
      <c r="EU145" s="2">
        <v>0</v>
      </c>
      <c r="EV145" s="2">
        <v>0</v>
      </c>
      <c r="EW145" s="2">
        <v>0</v>
      </c>
      <c r="EX145" s="2">
        <v>0</v>
      </c>
      <c r="EY145" s="2">
        <v>0</v>
      </c>
      <c r="EZ145" s="2"/>
      <c r="FA145" s="2"/>
      <c r="FB145" s="2"/>
      <c r="FC145" s="2"/>
      <c r="FD145" s="2"/>
      <c r="FE145" s="2"/>
      <c r="FF145" s="2"/>
      <c r="FG145" s="2"/>
      <c r="FH145" s="2"/>
      <c r="FI145" s="2"/>
      <c r="FJ145" s="2"/>
      <c r="FK145" s="2"/>
      <c r="FL145" s="2"/>
      <c r="FM145" s="2"/>
      <c r="FN145" s="2"/>
      <c r="FO145" s="2"/>
      <c r="FP145" s="2"/>
      <c r="FQ145" s="2">
        <v>0</v>
      </c>
      <c r="FR145" s="2">
        <f t="shared" si="147"/>
        <v>1695.68</v>
      </c>
      <c r="FS145" s="2">
        <v>0</v>
      </c>
      <c r="FT145" s="2"/>
      <c r="FU145" s="2"/>
      <c r="FV145" s="2"/>
      <c r="FW145" s="2"/>
      <c r="FX145" s="2">
        <v>0</v>
      </c>
      <c r="FY145" s="2">
        <v>0</v>
      </c>
      <c r="FZ145" s="2"/>
      <c r="GA145" s="2" t="s">
        <v>233</v>
      </c>
      <c r="GB145" s="2"/>
      <c r="GC145" s="2"/>
      <c r="GD145" s="2">
        <v>1</v>
      </c>
      <c r="GE145" s="2"/>
      <c r="GF145" s="2">
        <v>1474766015</v>
      </c>
      <c r="GG145" s="2">
        <v>2</v>
      </c>
      <c r="GH145" s="2">
        <v>4</v>
      </c>
      <c r="GI145" s="2">
        <v>-2</v>
      </c>
      <c r="GJ145" s="2">
        <v>0</v>
      </c>
      <c r="GK145" s="2">
        <v>0</v>
      </c>
      <c r="GL145" s="2">
        <f t="shared" si="121"/>
        <v>0</v>
      </c>
      <c r="GM145" s="2">
        <f t="shared" si="122"/>
        <v>1695.68</v>
      </c>
      <c r="GN145" s="2">
        <f t="shared" si="123"/>
        <v>0</v>
      </c>
      <c r="GO145" s="2">
        <f t="shared" si="124"/>
        <v>0</v>
      </c>
      <c r="GP145" s="2">
        <f t="shared" si="125"/>
        <v>0</v>
      </c>
      <c r="GQ145" s="2"/>
      <c r="GR145" s="2">
        <v>1</v>
      </c>
      <c r="GS145" s="2">
        <v>2</v>
      </c>
      <c r="GT145" s="2">
        <v>0</v>
      </c>
      <c r="GU145" s="2" t="s">
        <v>3</v>
      </c>
      <c r="GV145" s="2">
        <f t="shared" si="126"/>
        <v>0</v>
      </c>
      <c r="GW145" s="2">
        <v>1</v>
      </c>
      <c r="GX145" s="2">
        <f t="shared" si="127"/>
        <v>0</v>
      </c>
      <c r="GY145" s="2"/>
      <c r="GZ145" s="2"/>
      <c r="HA145" s="2">
        <v>0</v>
      </c>
      <c r="HB145" s="2">
        <v>0</v>
      </c>
      <c r="HC145" s="2">
        <f t="shared" si="128"/>
        <v>0</v>
      </c>
      <c r="HD145" s="2"/>
      <c r="HE145" s="2" t="s">
        <v>39</v>
      </c>
      <c r="HF145" s="2" t="s">
        <v>156</v>
      </c>
      <c r="HG145" s="2"/>
      <c r="HH145" s="2"/>
      <c r="HI145" s="2"/>
      <c r="HJ145" s="2"/>
      <c r="HK145" s="2"/>
      <c r="HL145" s="2"/>
      <c r="HM145" s="2" t="s">
        <v>3</v>
      </c>
      <c r="HN145" s="2" t="s">
        <v>3</v>
      </c>
      <c r="HO145" s="2" t="s">
        <v>3</v>
      </c>
      <c r="HP145" s="2" t="s">
        <v>3</v>
      </c>
      <c r="HQ145" s="2" t="s">
        <v>3</v>
      </c>
      <c r="HR145" s="2"/>
      <c r="HS145" s="2">
        <v>0</v>
      </c>
      <c r="HT145" s="2"/>
      <c r="HU145" s="2"/>
      <c r="HV145" s="2"/>
      <c r="HW145" s="2"/>
      <c r="HX145" s="2"/>
      <c r="HY145" s="2"/>
      <c r="HZ145" s="2"/>
      <c r="IA145" s="2"/>
      <c r="IB145" s="2"/>
      <c r="IC145" s="2"/>
      <c r="ID145" s="2"/>
      <c r="IE145" s="2"/>
      <c r="IF145" s="2"/>
      <c r="IG145" s="2"/>
      <c r="IH145" s="2"/>
      <c r="II145" s="2"/>
      <c r="IJ145" s="2"/>
      <c r="IK145" s="2">
        <v>0</v>
      </c>
      <c r="IL145" s="2"/>
      <c r="IM145" s="2"/>
      <c r="IN145" s="2"/>
      <c r="IO145" s="2"/>
      <c r="IP145" s="2"/>
      <c r="IQ145" s="2"/>
      <c r="IR145" s="2"/>
      <c r="IS145" s="2"/>
      <c r="IT145" s="2"/>
      <c r="IU145" s="2"/>
    </row>
    <row r="146" spans="1:255" x14ac:dyDescent="0.25">
      <c r="A146" s="3">
        <v>17</v>
      </c>
      <c r="B146" s="3">
        <v>1</v>
      </c>
      <c r="E146" s="3" t="s">
        <v>230</v>
      </c>
      <c r="F146" s="3" t="s">
        <v>231</v>
      </c>
      <c r="G146" s="3" t="s">
        <v>232</v>
      </c>
      <c r="H146" s="3" t="s">
        <v>152</v>
      </c>
      <c r="I146" s="3">
        <v>2</v>
      </c>
      <c r="J146" s="3">
        <v>0</v>
      </c>
      <c r="K146" s="3">
        <v>2</v>
      </c>
      <c r="O146" s="3">
        <f t="shared" si="104"/>
        <v>12836.3</v>
      </c>
      <c r="P146" s="3">
        <f t="shared" si="105"/>
        <v>12836.3</v>
      </c>
      <c r="Q146" s="3">
        <f t="shared" si="135"/>
        <v>0</v>
      </c>
      <c r="R146" s="3">
        <f t="shared" si="136"/>
        <v>0</v>
      </c>
      <c r="S146" s="3">
        <f t="shared" si="106"/>
        <v>0</v>
      </c>
      <c r="T146" s="3">
        <f t="shared" si="107"/>
        <v>0</v>
      </c>
      <c r="U146" s="3">
        <f t="shared" si="108"/>
        <v>0</v>
      </c>
      <c r="V146" s="3">
        <f t="shared" si="109"/>
        <v>0</v>
      </c>
      <c r="W146" s="3">
        <f t="shared" si="110"/>
        <v>0</v>
      </c>
      <c r="X146" s="3">
        <f t="shared" si="137"/>
        <v>0</v>
      </c>
      <c r="Y146" s="3">
        <f t="shared" si="138"/>
        <v>0</v>
      </c>
      <c r="AA146" s="3">
        <v>57014140</v>
      </c>
      <c r="AB146" s="3">
        <f t="shared" si="111"/>
        <v>847.84</v>
      </c>
      <c r="AC146" s="3">
        <f t="shared" si="139"/>
        <v>847.84</v>
      </c>
      <c r="AD146" s="3">
        <f t="shared" si="140"/>
        <v>0</v>
      </c>
      <c r="AE146" s="3">
        <f t="shared" si="141"/>
        <v>0</v>
      </c>
      <c r="AF146" s="3">
        <f t="shared" si="141"/>
        <v>0</v>
      </c>
      <c r="AG146" s="3">
        <f t="shared" si="112"/>
        <v>0</v>
      </c>
      <c r="AH146" s="3">
        <f t="shared" si="142"/>
        <v>0</v>
      </c>
      <c r="AI146" s="3">
        <f t="shared" si="142"/>
        <v>0</v>
      </c>
      <c r="AJ146" s="3">
        <f t="shared" si="113"/>
        <v>0</v>
      </c>
      <c r="AK146" s="3">
        <v>847.83999999999992</v>
      </c>
      <c r="AL146" s="3">
        <v>847.83999999999992</v>
      </c>
      <c r="AM146" s="3">
        <v>0</v>
      </c>
      <c r="AN146" s="3">
        <v>0</v>
      </c>
      <c r="AO146" s="3">
        <v>0</v>
      </c>
      <c r="AP146" s="3">
        <v>0</v>
      </c>
      <c r="AQ146" s="3">
        <v>0</v>
      </c>
      <c r="AR146" s="3">
        <v>0</v>
      </c>
      <c r="AS146" s="3">
        <v>0</v>
      </c>
      <c r="AT146" s="3">
        <v>0</v>
      </c>
      <c r="AU146" s="3">
        <v>0</v>
      </c>
      <c r="AV146" s="3">
        <v>1</v>
      </c>
      <c r="AW146" s="3">
        <v>1</v>
      </c>
      <c r="AZ146" s="3">
        <v>1</v>
      </c>
      <c r="BA146" s="3">
        <v>1</v>
      </c>
      <c r="BB146" s="3">
        <v>1</v>
      </c>
      <c r="BC146" s="3">
        <v>7.57</v>
      </c>
      <c r="BD146" s="3" t="s">
        <v>3</v>
      </c>
      <c r="BE146" s="3" t="s">
        <v>3</v>
      </c>
      <c r="BF146" s="3" t="s">
        <v>3</v>
      </c>
      <c r="BG146" s="3" t="s">
        <v>3</v>
      </c>
      <c r="BH146" s="3">
        <v>3</v>
      </c>
      <c r="BI146" s="3">
        <v>3</v>
      </c>
      <c r="BJ146" s="3" t="s">
        <v>231</v>
      </c>
      <c r="BM146" s="3">
        <v>400007</v>
      </c>
      <c r="BN146" s="3">
        <v>0</v>
      </c>
      <c r="BO146" s="3" t="s">
        <v>3</v>
      </c>
      <c r="BP146" s="3">
        <v>0</v>
      </c>
      <c r="BQ146" s="3">
        <v>214</v>
      </c>
      <c r="BR146" s="3">
        <v>0</v>
      </c>
      <c r="BS146" s="3">
        <v>1</v>
      </c>
      <c r="BT146" s="3">
        <v>1</v>
      </c>
      <c r="BU146" s="3">
        <v>1</v>
      </c>
      <c r="BV146" s="3">
        <v>1</v>
      </c>
      <c r="BW146" s="3">
        <v>1</v>
      </c>
      <c r="BX146" s="3">
        <v>1</v>
      </c>
      <c r="BY146" s="3" t="s">
        <v>3</v>
      </c>
      <c r="BZ146" s="3">
        <v>0</v>
      </c>
      <c r="CA146" s="3">
        <v>0</v>
      </c>
      <c r="CB146" s="3" t="s">
        <v>3</v>
      </c>
      <c r="CE146" s="3">
        <v>1566</v>
      </c>
      <c r="CF146" s="3">
        <v>0</v>
      </c>
      <c r="CG146" s="3">
        <v>0</v>
      </c>
      <c r="CM146" s="3">
        <v>0</v>
      </c>
      <c r="CN146" s="3" t="s">
        <v>3</v>
      </c>
      <c r="CO146" s="3">
        <v>0</v>
      </c>
      <c r="CP146" s="3">
        <f t="shared" si="114"/>
        <v>12836.3</v>
      </c>
      <c r="CQ146" s="3">
        <f t="shared" si="115"/>
        <v>6418.15</v>
      </c>
      <c r="CR146" s="3">
        <f t="shared" si="143"/>
        <v>0</v>
      </c>
      <c r="CS146" s="3">
        <f t="shared" si="144"/>
        <v>0</v>
      </c>
      <c r="CT146" s="3">
        <f t="shared" si="116"/>
        <v>0</v>
      </c>
      <c r="CU146" s="3">
        <f t="shared" si="117"/>
        <v>0</v>
      </c>
      <c r="CV146" s="3">
        <f t="shared" si="118"/>
        <v>0</v>
      </c>
      <c r="CW146" s="3">
        <f t="shared" si="119"/>
        <v>0</v>
      </c>
      <c r="CX146" s="3">
        <f t="shared" si="120"/>
        <v>0</v>
      </c>
      <c r="CY146" s="3">
        <f t="shared" si="145"/>
        <v>0</v>
      </c>
      <c r="CZ146" s="3">
        <f t="shared" si="146"/>
        <v>0</v>
      </c>
      <c r="DC146" s="3" t="s">
        <v>3</v>
      </c>
      <c r="DD146" s="3" t="s">
        <v>3</v>
      </c>
      <c r="DE146" s="3" t="s">
        <v>3</v>
      </c>
      <c r="DF146" s="3" t="s">
        <v>3</v>
      </c>
      <c r="DG146" s="3" t="s">
        <v>3</v>
      </c>
      <c r="DH146" s="3" t="s">
        <v>3</v>
      </c>
      <c r="DI146" s="3" t="s">
        <v>3</v>
      </c>
      <c r="DJ146" s="3" t="s">
        <v>3</v>
      </c>
      <c r="DK146" s="3" t="s">
        <v>3</v>
      </c>
      <c r="DL146" s="3" t="s">
        <v>3</v>
      </c>
      <c r="DM146" s="3" t="s">
        <v>3</v>
      </c>
      <c r="DN146" s="3">
        <v>0</v>
      </c>
      <c r="DO146" s="3">
        <v>0</v>
      </c>
      <c r="DP146" s="3">
        <v>1</v>
      </c>
      <c r="DQ146" s="3">
        <v>1</v>
      </c>
      <c r="DU146" s="3">
        <v>1013</v>
      </c>
      <c r="DV146" s="3" t="s">
        <v>152</v>
      </c>
      <c r="DW146" s="3" t="s">
        <v>152</v>
      </c>
      <c r="DX146" s="3">
        <v>1</v>
      </c>
      <c r="DZ146" s="3" t="s">
        <v>3</v>
      </c>
      <c r="EA146" s="3" t="s">
        <v>3</v>
      </c>
      <c r="EB146" s="3" t="s">
        <v>3</v>
      </c>
      <c r="EC146" s="3" t="s">
        <v>3</v>
      </c>
      <c r="EE146" s="3">
        <v>57042890</v>
      </c>
      <c r="EF146" s="3">
        <v>214</v>
      </c>
      <c r="EG146" s="3" t="s">
        <v>153</v>
      </c>
      <c r="EH146" s="3">
        <v>0</v>
      </c>
      <c r="EI146" s="3" t="s">
        <v>3</v>
      </c>
      <c r="EJ146" s="3">
        <v>3</v>
      </c>
      <c r="EK146" s="3">
        <v>400007</v>
      </c>
      <c r="EL146" s="3" t="s">
        <v>153</v>
      </c>
      <c r="EM146" s="3" t="s">
        <v>154</v>
      </c>
      <c r="EO146" s="3" t="s">
        <v>3</v>
      </c>
      <c r="EQ146" s="3">
        <v>16</v>
      </c>
      <c r="ER146" s="3">
        <v>0</v>
      </c>
      <c r="ES146" s="3">
        <v>847.83999999999992</v>
      </c>
      <c r="ET146" s="3">
        <v>0</v>
      </c>
      <c r="EU146" s="3">
        <v>0</v>
      </c>
      <c r="EV146" s="3">
        <v>0</v>
      </c>
      <c r="EW146" s="3">
        <v>0</v>
      </c>
      <c r="EX146" s="3">
        <v>0</v>
      </c>
      <c r="EY146" s="3">
        <v>0</v>
      </c>
      <c r="EZ146" s="3">
        <v>5</v>
      </c>
      <c r="FC146" s="3">
        <v>1</v>
      </c>
      <c r="FD146" s="3">
        <v>18</v>
      </c>
      <c r="FF146" s="3">
        <v>7512</v>
      </c>
      <c r="FQ146" s="3">
        <v>0</v>
      </c>
      <c r="FR146" s="3">
        <f t="shared" si="147"/>
        <v>12836.3</v>
      </c>
      <c r="FS146" s="3">
        <v>0</v>
      </c>
      <c r="FX146" s="3">
        <v>0</v>
      </c>
      <c r="FY146" s="3">
        <v>0</v>
      </c>
      <c r="GA146" s="3" t="s">
        <v>233</v>
      </c>
      <c r="GD146" s="3">
        <v>1</v>
      </c>
      <c r="GF146" s="3">
        <v>1474766015</v>
      </c>
      <c r="GG146" s="3">
        <v>2</v>
      </c>
      <c r="GH146" s="3">
        <v>3</v>
      </c>
      <c r="GI146" s="3">
        <v>5</v>
      </c>
      <c r="GJ146" s="3">
        <v>0</v>
      </c>
      <c r="GK146" s="3">
        <v>0</v>
      </c>
      <c r="GL146" s="3">
        <f t="shared" si="121"/>
        <v>0</v>
      </c>
      <c r="GM146" s="3">
        <f t="shared" si="122"/>
        <v>12836.3</v>
      </c>
      <c r="GN146" s="3">
        <f t="shared" si="123"/>
        <v>0</v>
      </c>
      <c r="GO146" s="3">
        <f t="shared" si="124"/>
        <v>0</v>
      </c>
      <c r="GP146" s="3">
        <f t="shared" si="125"/>
        <v>0</v>
      </c>
      <c r="GR146" s="3">
        <v>1</v>
      </c>
      <c r="GS146" s="3">
        <v>1</v>
      </c>
      <c r="GT146" s="3">
        <v>0</v>
      </c>
      <c r="GU146" s="3" t="s">
        <v>3</v>
      </c>
      <c r="GV146" s="3">
        <f t="shared" si="126"/>
        <v>0</v>
      </c>
      <c r="GW146" s="3">
        <v>1</v>
      </c>
      <c r="GX146" s="3">
        <f t="shared" si="127"/>
        <v>0</v>
      </c>
      <c r="HA146" s="3">
        <v>0</v>
      </c>
      <c r="HB146" s="3">
        <v>0</v>
      </c>
      <c r="HC146" s="3">
        <f t="shared" si="128"/>
        <v>0</v>
      </c>
      <c r="HE146" s="3" t="s">
        <v>39</v>
      </c>
      <c r="HF146" s="3" t="s">
        <v>156</v>
      </c>
      <c r="HM146" s="3" t="s">
        <v>3</v>
      </c>
      <c r="HN146" s="3" t="s">
        <v>3</v>
      </c>
      <c r="HO146" s="3" t="s">
        <v>3</v>
      </c>
      <c r="HP146" s="3" t="s">
        <v>3</v>
      </c>
      <c r="HQ146" s="3" t="s">
        <v>3</v>
      </c>
      <c r="HS146" s="3">
        <v>0</v>
      </c>
      <c r="IK146" s="3">
        <v>0</v>
      </c>
    </row>
    <row r="147" spans="1:255" x14ac:dyDescent="0.25">
      <c r="A147" s="2">
        <v>17</v>
      </c>
      <c r="B147" s="2">
        <v>1</v>
      </c>
      <c r="C147" s="2"/>
      <c r="D147" s="2"/>
      <c r="E147" s="2" t="s">
        <v>234</v>
      </c>
      <c r="F147" s="2" t="s">
        <v>235</v>
      </c>
      <c r="G147" s="2" t="s">
        <v>236</v>
      </c>
      <c r="H147" s="2" t="s">
        <v>152</v>
      </c>
      <c r="I147" s="2">
        <v>4</v>
      </c>
      <c r="J147" s="2">
        <v>0</v>
      </c>
      <c r="K147" s="2">
        <v>4</v>
      </c>
      <c r="L147" s="2"/>
      <c r="M147" s="2"/>
      <c r="N147" s="2"/>
      <c r="O147" s="2">
        <f t="shared" si="104"/>
        <v>769.88</v>
      </c>
      <c r="P147" s="2">
        <f t="shared" si="105"/>
        <v>769.88</v>
      </c>
      <c r="Q147" s="2">
        <f t="shared" si="135"/>
        <v>0</v>
      </c>
      <c r="R147" s="2">
        <f t="shared" si="136"/>
        <v>0</v>
      </c>
      <c r="S147" s="2">
        <f t="shared" si="106"/>
        <v>0</v>
      </c>
      <c r="T147" s="2">
        <f t="shared" si="107"/>
        <v>0</v>
      </c>
      <c r="U147" s="2">
        <f t="shared" si="108"/>
        <v>0</v>
      </c>
      <c r="V147" s="2">
        <f t="shared" si="109"/>
        <v>0</v>
      </c>
      <c r="W147" s="2">
        <f t="shared" si="110"/>
        <v>0</v>
      </c>
      <c r="X147" s="2">
        <f t="shared" si="137"/>
        <v>0</v>
      </c>
      <c r="Y147" s="2">
        <f t="shared" si="138"/>
        <v>0</v>
      </c>
      <c r="Z147" s="2"/>
      <c r="AA147" s="2">
        <v>57014138</v>
      </c>
      <c r="AB147" s="2">
        <f t="shared" si="111"/>
        <v>192.47</v>
      </c>
      <c r="AC147" s="2">
        <f t="shared" si="139"/>
        <v>192.47</v>
      </c>
      <c r="AD147" s="2">
        <f t="shared" si="140"/>
        <v>0</v>
      </c>
      <c r="AE147" s="2">
        <f t="shared" si="141"/>
        <v>0</v>
      </c>
      <c r="AF147" s="2">
        <f t="shared" si="141"/>
        <v>0</v>
      </c>
      <c r="AG147" s="2">
        <f t="shared" si="112"/>
        <v>0</v>
      </c>
      <c r="AH147" s="2">
        <f t="shared" si="142"/>
        <v>0</v>
      </c>
      <c r="AI147" s="2">
        <f t="shared" si="142"/>
        <v>0</v>
      </c>
      <c r="AJ147" s="2">
        <f t="shared" si="113"/>
        <v>0</v>
      </c>
      <c r="AK147" s="2">
        <v>192.47</v>
      </c>
      <c r="AL147" s="2">
        <v>192.47</v>
      </c>
      <c r="AM147" s="2">
        <v>0</v>
      </c>
      <c r="AN147" s="2">
        <v>0</v>
      </c>
      <c r="AO147" s="2">
        <v>0</v>
      </c>
      <c r="AP147" s="2">
        <v>0</v>
      </c>
      <c r="AQ147" s="2">
        <v>0</v>
      </c>
      <c r="AR147" s="2">
        <v>0</v>
      </c>
      <c r="AS147" s="2">
        <v>0</v>
      </c>
      <c r="AT147" s="2">
        <v>0</v>
      </c>
      <c r="AU147" s="2">
        <v>0</v>
      </c>
      <c r="AV147" s="2">
        <v>1</v>
      </c>
      <c r="AW147" s="2">
        <v>1</v>
      </c>
      <c r="AX147" s="2"/>
      <c r="AY147" s="2"/>
      <c r="AZ147" s="2">
        <v>1</v>
      </c>
      <c r="BA147" s="2">
        <v>1</v>
      </c>
      <c r="BB147" s="2">
        <v>1</v>
      </c>
      <c r="BC147" s="2">
        <v>1</v>
      </c>
      <c r="BD147" s="2" t="s">
        <v>3</v>
      </c>
      <c r="BE147" s="2" t="s">
        <v>3</v>
      </c>
      <c r="BF147" s="2" t="s">
        <v>3</v>
      </c>
      <c r="BG147" s="2" t="s">
        <v>3</v>
      </c>
      <c r="BH147" s="2">
        <v>3</v>
      </c>
      <c r="BI147" s="2">
        <v>3</v>
      </c>
      <c r="BJ147" s="2" t="s">
        <v>235</v>
      </c>
      <c r="BK147" s="2"/>
      <c r="BL147" s="2"/>
      <c r="BM147" s="2">
        <v>400007</v>
      </c>
      <c r="BN147" s="2">
        <v>0</v>
      </c>
      <c r="BO147" s="2" t="s">
        <v>3</v>
      </c>
      <c r="BP147" s="2">
        <v>0</v>
      </c>
      <c r="BQ147" s="2">
        <v>214</v>
      </c>
      <c r="BR147" s="2">
        <v>0</v>
      </c>
      <c r="BS147" s="2">
        <v>1</v>
      </c>
      <c r="BT147" s="2">
        <v>1</v>
      </c>
      <c r="BU147" s="2">
        <v>1</v>
      </c>
      <c r="BV147" s="2">
        <v>1</v>
      </c>
      <c r="BW147" s="2">
        <v>1</v>
      </c>
      <c r="BX147" s="2">
        <v>1</v>
      </c>
      <c r="BY147" s="2" t="s">
        <v>3</v>
      </c>
      <c r="BZ147" s="2">
        <v>0</v>
      </c>
      <c r="CA147" s="2">
        <v>0</v>
      </c>
      <c r="CB147" s="2" t="s">
        <v>3</v>
      </c>
      <c r="CC147" s="2"/>
      <c r="CD147" s="2"/>
      <c r="CE147" s="2">
        <v>1566</v>
      </c>
      <c r="CF147" s="2">
        <v>0</v>
      </c>
      <c r="CG147" s="2">
        <v>0</v>
      </c>
      <c r="CH147" s="2"/>
      <c r="CI147" s="2"/>
      <c r="CJ147" s="2"/>
      <c r="CK147" s="2"/>
      <c r="CL147" s="2"/>
      <c r="CM147" s="2">
        <v>0</v>
      </c>
      <c r="CN147" s="2" t="s">
        <v>3</v>
      </c>
      <c r="CO147" s="2">
        <v>0</v>
      </c>
      <c r="CP147" s="2">
        <f t="shared" si="114"/>
        <v>769.88</v>
      </c>
      <c r="CQ147" s="2">
        <f t="shared" si="115"/>
        <v>192.47</v>
      </c>
      <c r="CR147" s="2">
        <f t="shared" si="143"/>
        <v>0</v>
      </c>
      <c r="CS147" s="2">
        <f t="shared" si="144"/>
        <v>0</v>
      </c>
      <c r="CT147" s="2">
        <f t="shared" si="116"/>
        <v>0</v>
      </c>
      <c r="CU147" s="2">
        <f t="shared" si="117"/>
        <v>0</v>
      </c>
      <c r="CV147" s="2">
        <f t="shared" si="118"/>
        <v>0</v>
      </c>
      <c r="CW147" s="2">
        <f t="shared" si="119"/>
        <v>0</v>
      </c>
      <c r="CX147" s="2">
        <f t="shared" si="120"/>
        <v>0</v>
      </c>
      <c r="CY147" s="2">
        <f t="shared" si="145"/>
        <v>0</v>
      </c>
      <c r="CZ147" s="2">
        <f t="shared" si="146"/>
        <v>0</v>
      </c>
      <c r="DA147" s="2"/>
      <c r="DB147" s="2"/>
      <c r="DC147" s="2" t="s">
        <v>3</v>
      </c>
      <c r="DD147" s="2" t="s">
        <v>3</v>
      </c>
      <c r="DE147" s="2" t="s">
        <v>3</v>
      </c>
      <c r="DF147" s="2" t="s">
        <v>3</v>
      </c>
      <c r="DG147" s="2" t="s">
        <v>3</v>
      </c>
      <c r="DH147" s="2" t="s">
        <v>3</v>
      </c>
      <c r="DI147" s="2" t="s">
        <v>3</v>
      </c>
      <c r="DJ147" s="2" t="s">
        <v>3</v>
      </c>
      <c r="DK147" s="2" t="s">
        <v>3</v>
      </c>
      <c r="DL147" s="2" t="s">
        <v>3</v>
      </c>
      <c r="DM147" s="2" t="s">
        <v>3</v>
      </c>
      <c r="DN147" s="2">
        <v>0</v>
      </c>
      <c r="DO147" s="2">
        <v>0</v>
      </c>
      <c r="DP147" s="2">
        <v>1</v>
      </c>
      <c r="DQ147" s="2">
        <v>1</v>
      </c>
      <c r="DR147" s="2"/>
      <c r="DS147" s="2"/>
      <c r="DT147" s="2"/>
      <c r="DU147" s="2">
        <v>1013</v>
      </c>
      <c r="DV147" s="2" t="s">
        <v>152</v>
      </c>
      <c r="DW147" s="2" t="s">
        <v>152</v>
      </c>
      <c r="DX147" s="2">
        <v>1</v>
      </c>
      <c r="DY147" s="2"/>
      <c r="DZ147" s="2" t="s">
        <v>3</v>
      </c>
      <c r="EA147" s="2" t="s">
        <v>3</v>
      </c>
      <c r="EB147" s="2" t="s">
        <v>3</v>
      </c>
      <c r="EC147" s="2" t="s">
        <v>3</v>
      </c>
      <c r="ED147" s="2"/>
      <c r="EE147" s="2">
        <v>57042890</v>
      </c>
      <c r="EF147" s="2">
        <v>214</v>
      </c>
      <c r="EG147" s="2" t="s">
        <v>153</v>
      </c>
      <c r="EH147" s="2">
        <v>0</v>
      </c>
      <c r="EI147" s="2" t="s">
        <v>3</v>
      </c>
      <c r="EJ147" s="2">
        <v>3</v>
      </c>
      <c r="EK147" s="2">
        <v>400007</v>
      </c>
      <c r="EL147" s="2" t="s">
        <v>153</v>
      </c>
      <c r="EM147" s="2" t="s">
        <v>154</v>
      </c>
      <c r="EN147" s="2"/>
      <c r="EO147" s="2" t="s">
        <v>3</v>
      </c>
      <c r="EP147" s="2"/>
      <c r="EQ147" s="2">
        <v>16</v>
      </c>
      <c r="ER147" s="2">
        <v>0</v>
      </c>
      <c r="ES147" s="2">
        <v>192.47</v>
      </c>
      <c r="ET147" s="2">
        <v>0</v>
      </c>
      <c r="EU147" s="2">
        <v>0</v>
      </c>
      <c r="EV147" s="2">
        <v>0</v>
      </c>
      <c r="EW147" s="2">
        <v>0</v>
      </c>
      <c r="EX147" s="2">
        <v>0</v>
      </c>
      <c r="EY147" s="2">
        <v>0</v>
      </c>
      <c r="EZ147" s="2"/>
      <c r="FA147" s="2"/>
      <c r="FB147" s="2"/>
      <c r="FC147" s="2"/>
      <c r="FD147" s="2"/>
      <c r="FE147" s="2"/>
      <c r="FF147" s="2"/>
      <c r="FG147" s="2"/>
      <c r="FH147" s="2"/>
      <c r="FI147" s="2"/>
      <c r="FJ147" s="2"/>
      <c r="FK147" s="2"/>
      <c r="FL147" s="2"/>
      <c r="FM147" s="2"/>
      <c r="FN147" s="2"/>
      <c r="FO147" s="2"/>
      <c r="FP147" s="2"/>
      <c r="FQ147" s="2">
        <v>0</v>
      </c>
      <c r="FR147" s="2">
        <f t="shared" si="147"/>
        <v>769.88</v>
      </c>
      <c r="FS147" s="2">
        <v>0</v>
      </c>
      <c r="FT147" s="2"/>
      <c r="FU147" s="2"/>
      <c r="FV147" s="2"/>
      <c r="FW147" s="2"/>
      <c r="FX147" s="2">
        <v>0</v>
      </c>
      <c r="FY147" s="2">
        <v>0</v>
      </c>
      <c r="FZ147" s="2"/>
      <c r="GA147" s="2" t="s">
        <v>237</v>
      </c>
      <c r="GB147" s="2"/>
      <c r="GC147" s="2"/>
      <c r="GD147" s="2">
        <v>1</v>
      </c>
      <c r="GE147" s="2"/>
      <c r="GF147" s="2">
        <v>1618372041</v>
      </c>
      <c r="GG147" s="2">
        <v>2</v>
      </c>
      <c r="GH147" s="2">
        <v>4</v>
      </c>
      <c r="GI147" s="2">
        <v>-2</v>
      </c>
      <c r="GJ147" s="2">
        <v>0</v>
      </c>
      <c r="GK147" s="2">
        <v>0</v>
      </c>
      <c r="GL147" s="2">
        <f t="shared" si="121"/>
        <v>0</v>
      </c>
      <c r="GM147" s="2">
        <f t="shared" si="122"/>
        <v>769.88</v>
      </c>
      <c r="GN147" s="2">
        <f t="shared" si="123"/>
        <v>0</v>
      </c>
      <c r="GO147" s="2">
        <f t="shared" si="124"/>
        <v>0</v>
      </c>
      <c r="GP147" s="2">
        <f t="shared" si="125"/>
        <v>0</v>
      </c>
      <c r="GQ147" s="2"/>
      <c r="GR147" s="2">
        <v>1</v>
      </c>
      <c r="GS147" s="2">
        <v>2</v>
      </c>
      <c r="GT147" s="2">
        <v>0</v>
      </c>
      <c r="GU147" s="2" t="s">
        <v>3</v>
      </c>
      <c r="GV147" s="2">
        <f t="shared" si="126"/>
        <v>0</v>
      </c>
      <c r="GW147" s="2">
        <v>1</v>
      </c>
      <c r="GX147" s="2">
        <f t="shared" si="127"/>
        <v>0</v>
      </c>
      <c r="GY147" s="2"/>
      <c r="GZ147" s="2"/>
      <c r="HA147" s="2">
        <v>0</v>
      </c>
      <c r="HB147" s="2">
        <v>0</v>
      </c>
      <c r="HC147" s="2">
        <f t="shared" si="128"/>
        <v>0</v>
      </c>
      <c r="HD147" s="2"/>
      <c r="HE147" s="2" t="s">
        <v>39</v>
      </c>
      <c r="HF147" s="2" t="s">
        <v>156</v>
      </c>
      <c r="HG147" s="2"/>
      <c r="HH147" s="2"/>
      <c r="HI147" s="2"/>
      <c r="HJ147" s="2"/>
      <c r="HK147" s="2"/>
      <c r="HL147" s="2"/>
      <c r="HM147" s="2" t="s">
        <v>3</v>
      </c>
      <c r="HN147" s="2" t="s">
        <v>3</v>
      </c>
      <c r="HO147" s="2" t="s">
        <v>3</v>
      </c>
      <c r="HP147" s="2" t="s">
        <v>3</v>
      </c>
      <c r="HQ147" s="2" t="s">
        <v>3</v>
      </c>
      <c r="HR147" s="2"/>
      <c r="HS147" s="2">
        <v>0</v>
      </c>
      <c r="HT147" s="2"/>
      <c r="HU147" s="2"/>
      <c r="HV147" s="2"/>
      <c r="HW147" s="2"/>
      <c r="HX147" s="2"/>
      <c r="HY147" s="2"/>
      <c r="HZ147" s="2"/>
      <c r="IA147" s="2"/>
      <c r="IB147" s="2"/>
      <c r="IC147" s="2"/>
      <c r="ID147" s="2"/>
      <c r="IE147" s="2"/>
      <c r="IF147" s="2"/>
      <c r="IG147" s="2"/>
      <c r="IH147" s="2"/>
      <c r="II147" s="2"/>
      <c r="IJ147" s="2"/>
      <c r="IK147" s="2">
        <v>0</v>
      </c>
      <c r="IL147" s="2"/>
      <c r="IM147" s="2"/>
      <c r="IN147" s="2"/>
      <c r="IO147" s="2"/>
      <c r="IP147" s="2"/>
      <c r="IQ147" s="2"/>
      <c r="IR147" s="2"/>
      <c r="IS147" s="2"/>
      <c r="IT147" s="2"/>
      <c r="IU147" s="2"/>
    </row>
    <row r="148" spans="1:255" x14ac:dyDescent="0.25">
      <c r="A148" s="3">
        <v>17</v>
      </c>
      <c r="B148" s="3">
        <v>1</v>
      </c>
      <c r="E148" s="3" t="s">
        <v>234</v>
      </c>
      <c r="F148" s="3" t="s">
        <v>235</v>
      </c>
      <c r="G148" s="3" t="s">
        <v>236</v>
      </c>
      <c r="H148" s="3" t="s">
        <v>152</v>
      </c>
      <c r="I148" s="3">
        <v>4</v>
      </c>
      <c r="J148" s="3">
        <v>0</v>
      </c>
      <c r="K148" s="3">
        <v>4</v>
      </c>
      <c r="O148" s="3">
        <f t="shared" si="104"/>
        <v>5827.99</v>
      </c>
      <c r="P148" s="3">
        <f t="shared" si="105"/>
        <v>5827.99</v>
      </c>
      <c r="Q148" s="3">
        <f t="shared" si="135"/>
        <v>0</v>
      </c>
      <c r="R148" s="3">
        <f t="shared" si="136"/>
        <v>0</v>
      </c>
      <c r="S148" s="3">
        <f t="shared" si="106"/>
        <v>0</v>
      </c>
      <c r="T148" s="3">
        <f t="shared" si="107"/>
        <v>0</v>
      </c>
      <c r="U148" s="3">
        <f t="shared" si="108"/>
        <v>0</v>
      </c>
      <c r="V148" s="3">
        <f t="shared" si="109"/>
        <v>0</v>
      </c>
      <c r="W148" s="3">
        <f t="shared" si="110"/>
        <v>0</v>
      </c>
      <c r="X148" s="3">
        <f t="shared" si="137"/>
        <v>0</v>
      </c>
      <c r="Y148" s="3">
        <f t="shared" si="138"/>
        <v>0</v>
      </c>
      <c r="AA148" s="3">
        <v>57014140</v>
      </c>
      <c r="AB148" s="3">
        <f t="shared" si="111"/>
        <v>192.47</v>
      </c>
      <c r="AC148" s="3">
        <f t="shared" si="139"/>
        <v>192.47</v>
      </c>
      <c r="AD148" s="3">
        <f t="shared" si="140"/>
        <v>0</v>
      </c>
      <c r="AE148" s="3">
        <f t="shared" si="141"/>
        <v>0</v>
      </c>
      <c r="AF148" s="3">
        <f t="shared" si="141"/>
        <v>0</v>
      </c>
      <c r="AG148" s="3">
        <f t="shared" si="112"/>
        <v>0</v>
      </c>
      <c r="AH148" s="3">
        <f t="shared" si="142"/>
        <v>0</v>
      </c>
      <c r="AI148" s="3">
        <f t="shared" si="142"/>
        <v>0</v>
      </c>
      <c r="AJ148" s="3">
        <f t="shared" si="113"/>
        <v>0</v>
      </c>
      <c r="AK148" s="3">
        <v>192.47</v>
      </c>
      <c r="AL148" s="3">
        <v>192.47</v>
      </c>
      <c r="AM148" s="3">
        <v>0</v>
      </c>
      <c r="AN148" s="3">
        <v>0</v>
      </c>
      <c r="AO148" s="3">
        <v>0</v>
      </c>
      <c r="AP148" s="3">
        <v>0</v>
      </c>
      <c r="AQ148" s="3">
        <v>0</v>
      </c>
      <c r="AR148" s="3">
        <v>0</v>
      </c>
      <c r="AS148" s="3">
        <v>0</v>
      </c>
      <c r="AT148" s="3">
        <v>0</v>
      </c>
      <c r="AU148" s="3">
        <v>0</v>
      </c>
      <c r="AV148" s="3">
        <v>1</v>
      </c>
      <c r="AW148" s="3">
        <v>1</v>
      </c>
      <c r="AZ148" s="3">
        <v>1</v>
      </c>
      <c r="BA148" s="3">
        <v>1</v>
      </c>
      <c r="BB148" s="3">
        <v>1</v>
      </c>
      <c r="BC148" s="3">
        <v>7.57</v>
      </c>
      <c r="BD148" s="3" t="s">
        <v>3</v>
      </c>
      <c r="BE148" s="3" t="s">
        <v>3</v>
      </c>
      <c r="BF148" s="3" t="s">
        <v>3</v>
      </c>
      <c r="BG148" s="3" t="s">
        <v>3</v>
      </c>
      <c r="BH148" s="3">
        <v>3</v>
      </c>
      <c r="BI148" s="3">
        <v>3</v>
      </c>
      <c r="BJ148" s="3" t="s">
        <v>235</v>
      </c>
      <c r="BM148" s="3">
        <v>400007</v>
      </c>
      <c r="BN148" s="3">
        <v>0</v>
      </c>
      <c r="BO148" s="3" t="s">
        <v>3</v>
      </c>
      <c r="BP148" s="3">
        <v>0</v>
      </c>
      <c r="BQ148" s="3">
        <v>214</v>
      </c>
      <c r="BR148" s="3">
        <v>0</v>
      </c>
      <c r="BS148" s="3">
        <v>1</v>
      </c>
      <c r="BT148" s="3">
        <v>1</v>
      </c>
      <c r="BU148" s="3">
        <v>1</v>
      </c>
      <c r="BV148" s="3">
        <v>1</v>
      </c>
      <c r="BW148" s="3">
        <v>1</v>
      </c>
      <c r="BX148" s="3">
        <v>1</v>
      </c>
      <c r="BY148" s="3" t="s">
        <v>3</v>
      </c>
      <c r="BZ148" s="3">
        <v>0</v>
      </c>
      <c r="CA148" s="3">
        <v>0</v>
      </c>
      <c r="CB148" s="3" t="s">
        <v>3</v>
      </c>
      <c r="CE148" s="3">
        <v>1566</v>
      </c>
      <c r="CF148" s="3">
        <v>0</v>
      </c>
      <c r="CG148" s="3">
        <v>0</v>
      </c>
      <c r="CM148" s="3">
        <v>0</v>
      </c>
      <c r="CN148" s="3" t="s">
        <v>3</v>
      </c>
      <c r="CO148" s="3">
        <v>0</v>
      </c>
      <c r="CP148" s="3">
        <f t="shared" si="114"/>
        <v>5827.99</v>
      </c>
      <c r="CQ148" s="3">
        <f t="shared" si="115"/>
        <v>1457</v>
      </c>
      <c r="CR148" s="3">
        <f t="shared" si="143"/>
        <v>0</v>
      </c>
      <c r="CS148" s="3">
        <f t="shared" si="144"/>
        <v>0</v>
      </c>
      <c r="CT148" s="3">
        <f t="shared" si="116"/>
        <v>0</v>
      </c>
      <c r="CU148" s="3">
        <f t="shared" si="117"/>
        <v>0</v>
      </c>
      <c r="CV148" s="3">
        <f t="shared" si="118"/>
        <v>0</v>
      </c>
      <c r="CW148" s="3">
        <f t="shared" si="119"/>
        <v>0</v>
      </c>
      <c r="CX148" s="3">
        <f t="shared" si="120"/>
        <v>0</v>
      </c>
      <c r="CY148" s="3">
        <f t="shared" si="145"/>
        <v>0</v>
      </c>
      <c r="CZ148" s="3">
        <f t="shared" si="146"/>
        <v>0</v>
      </c>
      <c r="DC148" s="3" t="s">
        <v>3</v>
      </c>
      <c r="DD148" s="3" t="s">
        <v>3</v>
      </c>
      <c r="DE148" s="3" t="s">
        <v>3</v>
      </c>
      <c r="DF148" s="3" t="s">
        <v>3</v>
      </c>
      <c r="DG148" s="3" t="s">
        <v>3</v>
      </c>
      <c r="DH148" s="3" t="s">
        <v>3</v>
      </c>
      <c r="DI148" s="3" t="s">
        <v>3</v>
      </c>
      <c r="DJ148" s="3" t="s">
        <v>3</v>
      </c>
      <c r="DK148" s="3" t="s">
        <v>3</v>
      </c>
      <c r="DL148" s="3" t="s">
        <v>3</v>
      </c>
      <c r="DM148" s="3" t="s">
        <v>3</v>
      </c>
      <c r="DN148" s="3">
        <v>0</v>
      </c>
      <c r="DO148" s="3">
        <v>0</v>
      </c>
      <c r="DP148" s="3">
        <v>1</v>
      </c>
      <c r="DQ148" s="3">
        <v>1</v>
      </c>
      <c r="DU148" s="3">
        <v>1013</v>
      </c>
      <c r="DV148" s="3" t="s">
        <v>152</v>
      </c>
      <c r="DW148" s="3" t="s">
        <v>152</v>
      </c>
      <c r="DX148" s="3">
        <v>1</v>
      </c>
      <c r="DZ148" s="3" t="s">
        <v>3</v>
      </c>
      <c r="EA148" s="3" t="s">
        <v>3</v>
      </c>
      <c r="EB148" s="3" t="s">
        <v>3</v>
      </c>
      <c r="EC148" s="3" t="s">
        <v>3</v>
      </c>
      <c r="EE148" s="3">
        <v>57042890</v>
      </c>
      <c r="EF148" s="3">
        <v>214</v>
      </c>
      <c r="EG148" s="3" t="s">
        <v>153</v>
      </c>
      <c r="EH148" s="3">
        <v>0</v>
      </c>
      <c r="EI148" s="3" t="s">
        <v>3</v>
      </c>
      <c r="EJ148" s="3">
        <v>3</v>
      </c>
      <c r="EK148" s="3">
        <v>400007</v>
      </c>
      <c r="EL148" s="3" t="s">
        <v>153</v>
      </c>
      <c r="EM148" s="3" t="s">
        <v>154</v>
      </c>
      <c r="EO148" s="3" t="s">
        <v>3</v>
      </c>
      <c r="EQ148" s="3">
        <v>16</v>
      </c>
      <c r="ER148" s="3">
        <v>0</v>
      </c>
      <c r="ES148" s="3">
        <v>192.47</v>
      </c>
      <c r="ET148" s="3">
        <v>0</v>
      </c>
      <c r="EU148" s="3">
        <v>0</v>
      </c>
      <c r="EV148" s="3">
        <v>0</v>
      </c>
      <c r="EW148" s="3">
        <v>0</v>
      </c>
      <c r="EX148" s="3">
        <v>0</v>
      </c>
      <c r="EY148" s="3">
        <v>0</v>
      </c>
      <c r="EZ148" s="3">
        <v>5</v>
      </c>
      <c r="FC148" s="3">
        <v>1</v>
      </c>
      <c r="FD148" s="3">
        <v>18</v>
      </c>
      <c r="FF148" s="3">
        <v>1705.33</v>
      </c>
      <c r="FQ148" s="3">
        <v>0</v>
      </c>
      <c r="FR148" s="3">
        <f t="shared" si="147"/>
        <v>5827.99</v>
      </c>
      <c r="FS148" s="3">
        <v>0</v>
      </c>
      <c r="FX148" s="3">
        <v>0</v>
      </c>
      <c r="FY148" s="3">
        <v>0</v>
      </c>
      <c r="GA148" s="3" t="s">
        <v>237</v>
      </c>
      <c r="GD148" s="3">
        <v>1</v>
      </c>
      <c r="GF148" s="3">
        <v>1618372041</v>
      </c>
      <c r="GG148" s="3">
        <v>2</v>
      </c>
      <c r="GH148" s="3">
        <v>3</v>
      </c>
      <c r="GI148" s="3">
        <v>5</v>
      </c>
      <c r="GJ148" s="3">
        <v>0</v>
      </c>
      <c r="GK148" s="3">
        <v>0</v>
      </c>
      <c r="GL148" s="3">
        <f t="shared" si="121"/>
        <v>0</v>
      </c>
      <c r="GM148" s="3">
        <f t="shared" si="122"/>
        <v>5827.99</v>
      </c>
      <c r="GN148" s="3">
        <f t="shared" si="123"/>
        <v>0</v>
      </c>
      <c r="GO148" s="3">
        <f t="shared" si="124"/>
        <v>0</v>
      </c>
      <c r="GP148" s="3">
        <f t="shared" si="125"/>
        <v>0</v>
      </c>
      <c r="GR148" s="3">
        <v>1</v>
      </c>
      <c r="GS148" s="3">
        <v>1</v>
      </c>
      <c r="GT148" s="3">
        <v>0</v>
      </c>
      <c r="GU148" s="3" t="s">
        <v>3</v>
      </c>
      <c r="GV148" s="3">
        <f t="shared" si="126"/>
        <v>0</v>
      </c>
      <c r="GW148" s="3">
        <v>1</v>
      </c>
      <c r="GX148" s="3">
        <f t="shared" si="127"/>
        <v>0</v>
      </c>
      <c r="HA148" s="3">
        <v>0</v>
      </c>
      <c r="HB148" s="3">
        <v>0</v>
      </c>
      <c r="HC148" s="3">
        <f t="shared" si="128"/>
        <v>0</v>
      </c>
      <c r="HE148" s="3" t="s">
        <v>39</v>
      </c>
      <c r="HF148" s="3" t="s">
        <v>156</v>
      </c>
      <c r="HM148" s="3" t="s">
        <v>3</v>
      </c>
      <c r="HN148" s="3" t="s">
        <v>3</v>
      </c>
      <c r="HO148" s="3" t="s">
        <v>3</v>
      </c>
      <c r="HP148" s="3" t="s">
        <v>3</v>
      </c>
      <c r="HQ148" s="3" t="s">
        <v>3</v>
      </c>
      <c r="HS148" s="3">
        <v>0</v>
      </c>
      <c r="IK148" s="3">
        <v>0</v>
      </c>
    </row>
    <row r="149" spans="1:255" x14ac:dyDescent="0.25">
      <c r="A149" s="2">
        <v>17</v>
      </c>
      <c r="B149" s="2">
        <v>1</v>
      </c>
      <c r="C149" s="2"/>
      <c r="D149" s="2"/>
      <c r="E149" s="2" t="s">
        <v>238</v>
      </c>
      <c r="F149" s="2" t="s">
        <v>239</v>
      </c>
      <c r="G149" s="2" t="s">
        <v>240</v>
      </c>
      <c r="H149" s="2" t="s">
        <v>152</v>
      </c>
      <c r="I149" s="2">
        <v>4</v>
      </c>
      <c r="J149" s="2">
        <v>0</v>
      </c>
      <c r="K149" s="2">
        <v>4</v>
      </c>
      <c r="L149" s="2"/>
      <c r="M149" s="2"/>
      <c r="N149" s="2"/>
      <c r="O149" s="2">
        <f t="shared" si="104"/>
        <v>1250.56</v>
      </c>
      <c r="P149" s="2">
        <f t="shared" si="105"/>
        <v>1250.56</v>
      </c>
      <c r="Q149" s="2">
        <f t="shared" si="135"/>
        <v>0</v>
      </c>
      <c r="R149" s="2">
        <f t="shared" si="136"/>
        <v>0</v>
      </c>
      <c r="S149" s="2">
        <f t="shared" si="106"/>
        <v>0</v>
      </c>
      <c r="T149" s="2">
        <f t="shared" si="107"/>
        <v>0</v>
      </c>
      <c r="U149" s="2">
        <f t="shared" si="108"/>
        <v>0</v>
      </c>
      <c r="V149" s="2">
        <f t="shared" si="109"/>
        <v>0</v>
      </c>
      <c r="W149" s="2">
        <f t="shared" si="110"/>
        <v>0</v>
      </c>
      <c r="X149" s="2">
        <f t="shared" si="137"/>
        <v>0</v>
      </c>
      <c r="Y149" s="2">
        <f t="shared" si="138"/>
        <v>0</v>
      </c>
      <c r="Z149" s="2"/>
      <c r="AA149" s="2">
        <v>57014138</v>
      </c>
      <c r="AB149" s="2">
        <f t="shared" si="111"/>
        <v>312.64</v>
      </c>
      <c r="AC149" s="2">
        <f t="shared" si="139"/>
        <v>312.64</v>
      </c>
      <c r="AD149" s="2">
        <f t="shared" si="140"/>
        <v>0</v>
      </c>
      <c r="AE149" s="2">
        <f t="shared" si="141"/>
        <v>0</v>
      </c>
      <c r="AF149" s="2">
        <f t="shared" si="141"/>
        <v>0</v>
      </c>
      <c r="AG149" s="2">
        <f t="shared" si="112"/>
        <v>0</v>
      </c>
      <c r="AH149" s="2">
        <f t="shared" si="142"/>
        <v>0</v>
      </c>
      <c r="AI149" s="2">
        <f t="shared" si="142"/>
        <v>0</v>
      </c>
      <c r="AJ149" s="2">
        <f t="shared" si="113"/>
        <v>0</v>
      </c>
      <c r="AK149" s="2">
        <v>312.64</v>
      </c>
      <c r="AL149" s="2">
        <v>312.64</v>
      </c>
      <c r="AM149" s="2">
        <v>0</v>
      </c>
      <c r="AN149" s="2">
        <v>0</v>
      </c>
      <c r="AO149" s="2">
        <v>0</v>
      </c>
      <c r="AP149" s="2">
        <v>0</v>
      </c>
      <c r="AQ149" s="2">
        <v>0</v>
      </c>
      <c r="AR149" s="2">
        <v>0</v>
      </c>
      <c r="AS149" s="2">
        <v>0</v>
      </c>
      <c r="AT149" s="2">
        <v>0</v>
      </c>
      <c r="AU149" s="2">
        <v>0</v>
      </c>
      <c r="AV149" s="2">
        <v>1</v>
      </c>
      <c r="AW149" s="2">
        <v>1</v>
      </c>
      <c r="AX149" s="2"/>
      <c r="AY149" s="2"/>
      <c r="AZ149" s="2">
        <v>1</v>
      </c>
      <c r="BA149" s="2">
        <v>1</v>
      </c>
      <c r="BB149" s="2">
        <v>1</v>
      </c>
      <c r="BC149" s="2">
        <v>1</v>
      </c>
      <c r="BD149" s="2" t="s">
        <v>3</v>
      </c>
      <c r="BE149" s="2" t="s">
        <v>3</v>
      </c>
      <c r="BF149" s="2" t="s">
        <v>3</v>
      </c>
      <c r="BG149" s="2" t="s">
        <v>3</v>
      </c>
      <c r="BH149" s="2">
        <v>3</v>
      </c>
      <c r="BI149" s="2">
        <v>3</v>
      </c>
      <c r="BJ149" s="2" t="s">
        <v>239</v>
      </c>
      <c r="BK149" s="2"/>
      <c r="BL149" s="2"/>
      <c r="BM149" s="2">
        <v>400007</v>
      </c>
      <c r="BN149" s="2">
        <v>0</v>
      </c>
      <c r="BO149" s="2" t="s">
        <v>3</v>
      </c>
      <c r="BP149" s="2">
        <v>0</v>
      </c>
      <c r="BQ149" s="2">
        <v>214</v>
      </c>
      <c r="BR149" s="2">
        <v>0</v>
      </c>
      <c r="BS149" s="2">
        <v>1</v>
      </c>
      <c r="BT149" s="2">
        <v>1</v>
      </c>
      <c r="BU149" s="2">
        <v>1</v>
      </c>
      <c r="BV149" s="2">
        <v>1</v>
      </c>
      <c r="BW149" s="2">
        <v>1</v>
      </c>
      <c r="BX149" s="2">
        <v>1</v>
      </c>
      <c r="BY149" s="2" t="s">
        <v>3</v>
      </c>
      <c r="BZ149" s="2">
        <v>0</v>
      </c>
      <c r="CA149" s="2">
        <v>0</v>
      </c>
      <c r="CB149" s="2" t="s">
        <v>3</v>
      </c>
      <c r="CC149" s="2"/>
      <c r="CD149" s="2"/>
      <c r="CE149" s="2">
        <v>1566</v>
      </c>
      <c r="CF149" s="2">
        <v>0</v>
      </c>
      <c r="CG149" s="2">
        <v>0</v>
      </c>
      <c r="CH149" s="2"/>
      <c r="CI149" s="2"/>
      <c r="CJ149" s="2"/>
      <c r="CK149" s="2"/>
      <c r="CL149" s="2"/>
      <c r="CM149" s="2">
        <v>0</v>
      </c>
      <c r="CN149" s="2" t="s">
        <v>3</v>
      </c>
      <c r="CO149" s="2">
        <v>0</v>
      </c>
      <c r="CP149" s="2">
        <f t="shared" si="114"/>
        <v>1250.56</v>
      </c>
      <c r="CQ149" s="2">
        <f t="shared" si="115"/>
        <v>312.64</v>
      </c>
      <c r="CR149" s="2">
        <f t="shared" si="143"/>
        <v>0</v>
      </c>
      <c r="CS149" s="2">
        <f t="shared" si="144"/>
        <v>0</v>
      </c>
      <c r="CT149" s="2">
        <f t="shared" si="116"/>
        <v>0</v>
      </c>
      <c r="CU149" s="2">
        <f t="shared" si="117"/>
        <v>0</v>
      </c>
      <c r="CV149" s="2">
        <f t="shared" si="118"/>
        <v>0</v>
      </c>
      <c r="CW149" s="2">
        <f t="shared" si="119"/>
        <v>0</v>
      </c>
      <c r="CX149" s="2">
        <f t="shared" si="120"/>
        <v>0</v>
      </c>
      <c r="CY149" s="2">
        <f t="shared" si="145"/>
        <v>0</v>
      </c>
      <c r="CZ149" s="2">
        <f t="shared" si="146"/>
        <v>0</v>
      </c>
      <c r="DA149" s="2"/>
      <c r="DB149" s="2"/>
      <c r="DC149" s="2" t="s">
        <v>3</v>
      </c>
      <c r="DD149" s="2" t="s">
        <v>3</v>
      </c>
      <c r="DE149" s="2" t="s">
        <v>3</v>
      </c>
      <c r="DF149" s="2" t="s">
        <v>3</v>
      </c>
      <c r="DG149" s="2" t="s">
        <v>3</v>
      </c>
      <c r="DH149" s="2" t="s">
        <v>3</v>
      </c>
      <c r="DI149" s="2" t="s">
        <v>3</v>
      </c>
      <c r="DJ149" s="2" t="s">
        <v>3</v>
      </c>
      <c r="DK149" s="2" t="s">
        <v>3</v>
      </c>
      <c r="DL149" s="2" t="s">
        <v>3</v>
      </c>
      <c r="DM149" s="2" t="s">
        <v>3</v>
      </c>
      <c r="DN149" s="2">
        <v>0</v>
      </c>
      <c r="DO149" s="2">
        <v>0</v>
      </c>
      <c r="DP149" s="2">
        <v>1</v>
      </c>
      <c r="DQ149" s="2">
        <v>1</v>
      </c>
      <c r="DR149" s="2"/>
      <c r="DS149" s="2"/>
      <c r="DT149" s="2"/>
      <c r="DU149" s="2">
        <v>1013</v>
      </c>
      <c r="DV149" s="2" t="s">
        <v>152</v>
      </c>
      <c r="DW149" s="2" t="s">
        <v>152</v>
      </c>
      <c r="DX149" s="2">
        <v>1</v>
      </c>
      <c r="DY149" s="2"/>
      <c r="DZ149" s="2" t="s">
        <v>3</v>
      </c>
      <c r="EA149" s="2" t="s">
        <v>3</v>
      </c>
      <c r="EB149" s="2" t="s">
        <v>3</v>
      </c>
      <c r="EC149" s="2" t="s">
        <v>3</v>
      </c>
      <c r="ED149" s="2"/>
      <c r="EE149" s="2">
        <v>57042890</v>
      </c>
      <c r="EF149" s="2">
        <v>214</v>
      </c>
      <c r="EG149" s="2" t="s">
        <v>153</v>
      </c>
      <c r="EH149" s="2">
        <v>0</v>
      </c>
      <c r="EI149" s="2" t="s">
        <v>3</v>
      </c>
      <c r="EJ149" s="2">
        <v>3</v>
      </c>
      <c r="EK149" s="2">
        <v>400007</v>
      </c>
      <c r="EL149" s="2" t="s">
        <v>153</v>
      </c>
      <c r="EM149" s="2" t="s">
        <v>154</v>
      </c>
      <c r="EN149" s="2"/>
      <c r="EO149" s="2" t="s">
        <v>3</v>
      </c>
      <c r="EP149" s="2"/>
      <c r="EQ149" s="2">
        <v>16</v>
      </c>
      <c r="ER149" s="2">
        <v>0</v>
      </c>
      <c r="ES149" s="2">
        <v>312.64</v>
      </c>
      <c r="ET149" s="2">
        <v>0</v>
      </c>
      <c r="EU149" s="2">
        <v>0</v>
      </c>
      <c r="EV149" s="2">
        <v>0</v>
      </c>
      <c r="EW149" s="2">
        <v>0</v>
      </c>
      <c r="EX149" s="2">
        <v>0</v>
      </c>
      <c r="EY149" s="2">
        <v>0</v>
      </c>
      <c r="EZ149" s="2"/>
      <c r="FA149" s="2"/>
      <c r="FB149" s="2"/>
      <c r="FC149" s="2"/>
      <c r="FD149" s="2"/>
      <c r="FE149" s="2"/>
      <c r="FF149" s="2"/>
      <c r="FG149" s="2"/>
      <c r="FH149" s="2"/>
      <c r="FI149" s="2"/>
      <c r="FJ149" s="2"/>
      <c r="FK149" s="2"/>
      <c r="FL149" s="2"/>
      <c r="FM149" s="2"/>
      <c r="FN149" s="2"/>
      <c r="FO149" s="2"/>
      <c r="FP149" s="2"/>
      <c r="FQ149" s="2">
        <v>0</v>
      </c>
      <c r="FR149" s="2">
        <f t="shared" si="147"/>
        <v>1250.56</v>
      </c>
      <c r="FS149" s="2">
        <v>0</v>
      </c>
      <c r="FT149" s="2"/>
      <c r="FU149" s="2"/>
      <c r="FV149" s="2"/>
      <c r="FW149" s="2"/>
      <c r="FX149" s="2">
        <v>0</v>
      </c>
      <c r="FY149" s="2">
        <v>0</v>
      </c>
      <c r="FZ149" s="2"/>
      <c r="GA149" s="2" t="s">
        <v>241</v>
      </c>
      <c r="GB149" s="2"/>
      <c r="GC149" s="2"/>
      <c r="GD149" s="2">
        <v>1</v>
      </c>
      <c r="GE149" s="2"/>
      <c r="GF149" s="2">
        <v>798316946</v>
      </c>
      <c r="GG149" s="2">
        <v>2</v>
      </c>
      <c r="GH149" s="2">
        <v>4</v>
      </c>
      <c r="GI149" s="2">
        <v>-2</v>
      </c>
      <c r="GJ149" s="2">
        <v>0</v>
      </c>
      <c r="GK149" s="2">
        <v>0</v>
      </c>
      <c r="GL149" s="2">
        <f t="shared" si="121"/>
        <v>0</v>
      </c>
      <c r="GM149" s="2">
        <f t="shared" si="122"/>
        <v>1250.56</v>
      </c>
      <c r="GN149" s="2">
        <f t="shared" si="123"/>
        <v>0</v>
      </c>
      <c r="GO149" s="2">
        <f t="shared" si="124"/>
        <v>0</v>
      </c>
      <c r="GP149" s="2">
        <f t="shared" si="125"/>
        <v>0</v>
      </c>
      <c r="GQ149" s="2"/>
      <c r="GR149" s="2">
        <v>1</v>
      </c>
      <c r="GS149" s="2">
        <v>2</v>
      </c>
      <c r="GT149" s="2">
        <v>0</v>
      </c>
      <c r="GU149" s="2" t="s">
        <v>3</v>
      </c>
      <c r="GV149" s="2">
        <f t="shared" si="126"/>
        <v>0</v>
      </c>
      <c r="GW149" s="2">
        <v>1</v>
      </c>
      <c r="GX149" s="2">
        <f t="shared" si="127"/>
        <v>0</v>
      </c>
      <c r="GY149" s="2"/>
      <c r="GZ149" s="2"/>
      <c r="HA149" s="2">
        <v>0</v>
      </c>
      <c r="HB149" s="2">
        <v>0</v>
      </c>
      <c r="HC149" s="2">
        <f t="shared" si="128"/>
        <v>0</v>
      </c>
      <c r="HD149" s="2"/>
      <c r="HE149" s="2" t="s">
        <v>39</v>
      </c>
      <c r="HF149" s="2" t="s">
        <v>156</v>
      </c>
      <c r="HG149" s="2"/>
      <c r="HH149" s="2"/>
      <c r="HI149" s="2"/>
      <c r="HJ149" s="2"/>
      <c r="HK149" s="2"/>
      <c r="HL149" s="2"/>
      <c r="HM149" s="2" t="s">
        <v>3</v>
      </c>
      <c r="HN149" s="2" t="s">
        <v>3</v>
      </c>
      <c r="HO149" s="2" t="s">
        <v>3</v>
      </c>
      <c r="HP149" s="2" t="s">
        <v>3</v>
      </c>
      <c r="HQ149" s="2" t="s">
        <v>3</v>
      </c>
      <c r="HR149" s="2"/>
      <c r="HS149" s="2">
        <v>0</v>
      </c>
      <c r="HT149" s="2"/>
      <c r="HU149" s="2"/>
      <c r="HV149" s="2"/>
      <c r="HW149" s="2"/>
      <c r="HX149" s="2"/>
      <c r="HY149" s="2"/>
      <c r="HZ149" s="2"/>
      <c r="IA149" s="2"/>
      <c r="IB149" s="2"/>
      <c r="IC149" s="2"/>
      <c r="ID149" s="2"/>
      <c r="IE149" s="2"/>
      <c r="IF149" s="2"/>
      <c r="IG149" s="2"/>
      <c r="IH149" s="2"/>
      <c r="II149" s="2"/>
      <c r="IJ149" s="2"/>
      <c r="IK149" s="2">
        <v>0</v>
      </c>
      <c r="IL149" s="2"/>
      <c r="IM149" s="2"/>
      <c r="IN149" s="2"/>
      <c r="IO149" s="2"/>
      <c r="IP149" s="2"/>
      <c r="IQ149" s="2"/>
      <c r="IR149" s="2"/>
      <c r="IS149" s="2"/>
      <c r="IT149" s="2"/>
      <c r="IU149" s="2"/>
    </row>
    <row r="150" spans="1:255" x14ac:dyDescent="0.25">
      <c r="A150" s="3">
        <v>17</v>
      </c>
      <c r="B150" s="3">
        <v>1</v>
      </c>
      <c r="E150" s="3" t="s">
        <v>238</v>
      </c>
      <c r="F150" s="3" t="s">
        <v>239</v>
      </c>
      <c r="G150" s="3" t="s">
        <v>240</v>
      </c>
      <c r="H150" s="3" t="s">
        <v>152</v>
      </c>
      <c r="I150" s="3">
        <v>4</v>
      </c>
      <c r="J150" s="3">
        <v>0</v>
      </c>
      <c r="K150" s="3">
        <v>4</v>
      </c>
      <c r="O150" s="3">
        <f t="shared" si="104"/>
        <v>9466.74</v>
      </c>
      <c r="P150" s="3">
        <f t="shared" si="105"/>
        <v>9466.74</v>
      </c>
      <c r="Q150" s="3">
        <f t="shared" si="135"/>
        <v>0</v>
      </c>
      <c r="R150" s="3">
        <f t="shared" si="136"/>
        <v>0</v>
      </c>
      <c r="S150" s="3">
        <f t="shared" si="106"/>
        <v>0</v>
      </c>
      <c r="T150" s="3">
        <f t="shared" si="107"/>
        <v>0</v>
      </c>
      <c r="U150" s="3">
        <f t="shared" si="108"/>
        <v>0</v>
      </c>
      <c r="V150" s="3">
        <f t="shared" si="109"/>
        <v>0</v>
      </c>
      <c r="W150" s="3">
        <f t="shared" si="110"/>
        <v>0</v>
      </c>
      <c r="X150" s="3">
        <f t="shared" si="137"/>
        <v>0</v>
      </c>
      <c r="Y150" s="3">
        <f t="shared" si="138"/>
        <v>0</v>
      </c>
      <c r="AA150" s="3">
        <v>57014140</v>
      </c>
      <c r="AB150" s="3">
        <f t="shared" si="111"/>
        <v>312.64</v>
      </c>
      <c r="AC150" s="3">
        <f t="shared" si="139"/>
        <v>312.64</v>
      </c>
      <c r="AD150" s="3">
        <f t="shared" si="140"/>
        <v>0</v>
      </c>
      <c r="AE150" s="3">
        <f t="shared" si="141"/>
        <v>0</v>
      </c>
      <c r="AF150" s="3">
        <f t="shared" si="141"/>
        <v>0</v>
      </c>
      <c r="AG150" s="3">
        <f t="shared" si="112"/>
        <v>0</v>
      </c>
      <c r="AH150" s="3">
        <f t="shared" si="142"/>
        <v>0</v>
      </c>
      <c r="AI150" s="3">
        <f t="shared" si="142"/>
        <v>0</v>
      </c>
      <c r="AJ150" s="3">
        <f t="shared" si="113"/>
        <v>0</v>
      </c>
      <c r="AK150" s="3">
        <v>312.64</v>
      </c>
      <c r="AL150" s="3">
        <v>312.64</v>
      </c>
      <c r="AM150" s="3">
        <v>0</v>
      </c>
      <c r="AN150" s="3">
        <v>0</v>
      </c>
      <c r="AO150" s="3">
        <v>0</v>
      </c>
      <c r="AP150" s="3">
        <v>0</v>
      </c>
      <c r="AQ150" s="3">
        <v>0</v>
      </c>
      <c r="AR150" s="3">
        <v>0</v>
      </c>
      <c r="AS150" s="3">
        <v>0</v>
      </c>
      <c r="AT150" s="3">
        <v>0</v>
      </c>
      <c r="AU150" s="3">
        <v>0</v>
      </c>
      <c r="AV150" s="3">
        <v>1</v>
      </c>
      <c r="AW150" s="3">
        <v>1</v>
      </c>
      <c r="AZ150" s="3">
        <v>1</v>
      </c>
      <c r="BA150" s="3">
        <v>1</v>
      </c>
      <c r="BB150" s="3">
        <v>1</v>
      </c>
      <c r="BC150" s="3">
        <v>7.57</v>
      </c>
      <c r="BD150" s="3" t="s">
        <v>3</v>
      </c>
      <c r="BE150" s="3" t="s">
        <v>3</v>
      </c>
      <c r="BF150" s="3" t="s">
        <v>3</v>
      </c>
      <c r="BG150" s="3" t="s">
        <v>3</v>
      </c>
      <c r="BH150" s="3">
        <v>3</v>
      </c>
      <c r="BI150" s="3">
        <v>3</v>
      </c>
      <c r="BJ150" s="3" t="s">
        <v>239</v>
      </c>
      <c r="BM150" s="3">
        <v>400007</v>
      </c>
      <c r="BN150" s="3">
        <v>0</v>
      </c>
      <c r="BO150" s="3" t="s">
        <v>3</v>
      </c>
      <c r="BP150" s="3">
        <v>0</v>
      </c>
      <c r="BQ150" s="3">
        <v>214</v>
      </c>
      <c r="BR150" s="3">
        <v>0</v>
      </c>
      <c r="BS150" s="3">
        <v>1</v>
      </c>
      <c r="BT150" s="3">
        <v>1</v>
      </c>
      <c r="BU150" s="3">
        <v>1</v>
      </c>
      <c r="BV150" s="3">
        <v>1</v>
      </c>
      <c r="BW150" s="3">
        <v>1</v>
      </c>
      <c r="BX150" s="3">
        <v>1</v>
      </c>
      <c r="BY150" s="3" t="s">
        <v>3</v>
      </c>
      <c r="BZ150" s="3">
        <v>0</v>
      </c>
      <c r="CA150" s="3">
        <v>0</v>
      </c>
      <c r="CB150" s="3" t="s">
        <v>3</v>
      </c>
      <c r="CE150" s="3">
        <v>1566</v>
      </c>
      <c r="CF150" s="3">
        <v>0</v>
      </c>
      <c r="CG150" s="3">
        <v>0</v>
      </c>
      <c r="CM150" s="3">
        <v>0</v>
      </c>
      <c r="CN150" s="3" t="s">
        <v>3</v>
      </c>
      <c r="CO150" s="3">
        <v>0</v>
      </c>
      <c r="CP150" s="3">
        <f t="shared" si="114"/>
        <v>9466.74</v>
      </c>
      <c r="CQ150" s="3">
        <f t="shared" si="115"/>
        <v>2366.6799999999998</v>
      </c>
      <c r="CR150" s="3">
        <f t="shared" si="143"/>
        <v>0</v>
      </c>
      <c r="CS150" s="3">
        <f t="shared" si="144"/>
        <v>0</v>
      </c>
      <c r="CT150" s="3">
        <f t="shared" si="116"/>
        <v>0</v>
      </c>
      <c r="CU150" s="3">
        <f t="shared" si="117"/>
        <v>0</v>
      </c>
      <c r="CV150" s="3">
        <f t="shared" si="118"/>
        <v>0</v>
      </c>
      <c r="CW150" s="3">
        <f t="shared" si="119"/>
        <v>0</v>
      </c>
      <c r="CX150" s="3">
        <f t="shared" si="120"/>
        <v>0</v>
      </c>
      <c r="CY150" s="3">
        <f t="shared" si="145"/>
        <v>0</v>
      </c>
      <c r="CZ150" s="3">
        <f t="shared" si="146"/>
        <v>0</v>
      </c>
      <c r="DC150" s="3" t="s">
        <v>3</v>
      </c>
      <c r="DD150" s="3" t="s">
        <v>3</v>
      </c>
      <c r="DE150" s="3" t="s">
        <v>3</v>
      </c>
      <c r="DF150" s="3" t="s">
        <v>3</v>
      </c>
      <c r="DG150" s="3" t="s">
        <v>3</v>
      </c>
      <c r="DH150" s="3" t="s">
        <v>3</v>
      </c>
      <c r="DI150" s="3" t="s">
        <v>3</v>
      </c>
      <c r="DJ150" s="3" t="s">
        <v>3</v>
      </c>
      <c r="DK150" s="3" t="s">
        <v>3</v>
      </c>
      <c r="DL150" s="3" t="s">
        <v>3</v>
      </c>
      <c r="DM150" s="3" t="s">
        <v>3</v>
      </c>
      <c r="DN150" s="3">
        <v>0</v>
      </c>
      <c r="DO150" s="3">
        <v>0</v>
      </c>
      <c r="DP150" s="3">
        <v>1</v>
      </c>
      <c r="DQ150" s="3">
        <v>1</v>
      </c>
      <c r="DU150" s="3">
        <v>1013</v>
      </c>
      <c r="DV150" s="3" t="s">
        <v>152</v>
      </c>
      <c r="DW150" s="3" t="s">
        <v>152</v>
      </c>
      <c r="DX150" s="3">
        <v>1</v>
      </c>
      <c r="DZ150" s="3" t="s">
        <v>3</v>
      </c>
      <c r="EA150" s="3" t="s">
        <v>3</v>
      </c>
      <c r="EB150" s="3" t="s">
        <v>3</v>
      </c>
      <c r="EC150" s="3" t="s">
        <v>3</v>
      </c>
      <c r="EE150" s="3">
        <v>57042890</v>
      </c>
      <c r="EF150" s="3">
        <v>214</v>
      </c>
      <c r="EG150" s="3" t="s">
        <v>153</v>
      </c>
      <c r="EH150" s="3">
        <v>0</v>
      </c>
      <c r="EI150" s="3" t="s">
        <v>3</v>
      </c>
      <c r="EJ150" s="3">
        <v>3</v>
      </c>
      <c r="EK150" s="3">
        <v>400007</v>
      </c>
      <c r="EL150" s="3" t="s">
        <v>153</v>
      </c>
      <c r="EM150" s="3" t="s">
        <v>154</v>
      </c>
      <c r="EO150" s="3" t="s">
        <v>3</v>
      </c>
      <c r="EQ150" s="3">
        <v>16</v>
      </c>
      <c r="ER150" s="3">
        <v>0</v>
      </c>
      <c r="ES150" s="3">
        <v>312.64</v>
      </c>
      <c r="ET150" s="3">
        <v>0</v>
      </c>
      <c r="EU150" s="3">
        <v>0</v>
      </c>
      <c r="EV150" s="3">
        <v>0</v>
      </c>
      <c r="EW150" s="3">
        <v>0</v>
      </c>
      <c r="EX150" s="3">
        <v>0</v>
      </c>
      <c r="EY150" s="3">
        <v>0</v>
      </c>
      <c r="EZ150" s="3">
        <v>5</v>
      </c>
      <c r="FC150" s="3">
        <v>1</v>
      </c>
      <c r="FD150" s="3">
        <v>18</v>
      </c>
      <c r="FF150" s="3">
        <v>2770</v>
      </c>
      <c r="FQ150" s="3">
        <v>0</v>
      </c>
      <c r="FR150" s="3">
        <f t="shared" si="147"/>
        <v>9466.74</v>
      </c>
      <c r="FS150" s="3">
        <v>0</v>
      </c>
      <c r="FX150" s="3">
        <v>0</v>
      </c>
      <c r="FY150" s="3">
        <v>0</v>
      </c>
      <c r="GA150" s="3" t="s">
        <v>241</v>
      </c>
      <c r="GD150" s="3">
        <v>1</v>
      </c>
      <c r="GF150" s="3">
        <v>798316946</v>
      </c>
      <c r="GG150" s="3">
        <v>2</v>
      </c>
      <c r="GH150" s="3">
        <v>3</v>
      </c>
      <c r="GI150" s="3">
        <v>5</v>
      </c>
      <c r="GJ150" s="3">
        <v>0</v>
      </c>
      <c r="GK150" s="3">
        <v>0</v>
      </c>
      <c r="GL150" s="3">
        <f t="shared" si="121"/>
        <v>0</v>
      </c>
      <c r="GM150" s="3">
        <f t="shared" si="122"/>
        <v>9466.74</v>
      </c>
      <c r="GN150" s="3">
        <f t="shared" si="123"/>
        <v>0</v>
      </c>
      <c r="GO150" s="3">
        <f t="shared" si="124"/>
        <v>0</v>
      </c>
      <c r="GP150" s="3">
        <f t="shared" si="125"/>
        <v>0</v>
      </c>
      <c r="GR150" s="3">
        <v>1</v>
      </c>
      <c r="GS150" s="3">
        <v>1</v>
      </c>
      <c r="GT150" s="3">
        <v>0</v>
      </c>
      <c r="GU150" s="3" t="s">
        <v>3</v>
      </c>
      <c r="GV150" s="3">
        <f t="shared" si="126"/>
        <v>0</v>
      </c>
      <c r="GW150" s="3">
        <v>1</v>
      </c>
      <c r="GX150" s="3">
        <f t="shared" si="127"/>
        <v>0</v>
      </c>
      <c r="HA150" s="3">
        <v>0</v>
      </c>
      <c r="HB150" s="3">
        <v>0</v>
      </c>
      <c r="HC150" s="3">
        <f t="shared" si="128"/>
        <v>0</v>
      </c>
      <c r="HE150" s="3" t="s">
        <v>39</v>
      </c>
      <c r="HF150" s="3" t="s">
        <v>156</v>
      </c>
      <c r="HM150" s="3" t="s">
        <v>3</v>
      </c>
      <c r="HN150" s="3" t="s">
        <v>3</v>
      </c>
      <c r="HO150" s="3" t="s">
        <v>3</v>
      </c>
      <c r="HP150" s="3" t="s">
        <v>3</v>
      </c>
      <c r="HQ150" s="3" t="s">
        <v>3</v>
      </c>
      <c r="HS150" s="3">
        <v>0</v>
      </c>
      <c r="IK150" s="3">
        <v>0</v>
      </c>
    </row>
    <row r="152" spans="1:255" ht="13" x14ac:dyDescent="0.3">
      <c r="A152" s="11">
        <v>51</v>
      </c>
      <c r="B152" s="11">
        <f>B83</f>
        <v>1</v>
      </c>
      <c r="C152" s="11">
        <f>A83</f>
        <v>4</v>
      </c>
      <c r="D152" s="11">
        <f>ROW(A83)</f>
        <v>83</v>
      </c>
      <c r="E152" s="11"/>
      <c r="F152" s="11" t="str">
        <f>IF(F83&lt;&gt;"",F83,"")</f>
        <v/>
      </c>
      <c r="G152" s="11" t="str">
        <f>IF(G83&lt;&gt;"",G83,"")</f>
        <v>Центральное оборудование системы</v>
      </c>
      <c r="H152" s="11">
        <v>0</v>
      </c>
      <c r="I152" s="11"/>
      <c r="J152" s="11"/>
      <c r="K152" s="11"/>
      <c r="L152" s="11"/>
      <c r="M152" s="11"/>
      <c r="N152" s="11"/>
      <c r="O152" s="11">
        <f t="shared" ref="O152:T152" si="148">ROUND(AB152,2)</f>
        <v>109193.04</v>
      </c>
      <c r="P152" s="11">
        <f t="shared" si="148"/>
        <v>108372.57</v>
      </c>
      <c r="Q152" s="11">
        <f t="shared" si="148"/>
        <v>115.9</v>
      </c>
      <c r="R152" s="11">
        <f t="shared" si="148"/>
        <v>12.56</v>
      </c>
      <c r="S152" s="11">
        <f t="shared" si="148"/>
        <v>704.57</v>
      </c>
      <c r="T152" s="11">
        <f t="shared" si="148"/>
        <v>0</v>
      </c>
      <c r="U152" s="11">
        <f>AH152</f>
        <v>55.83441599999999</v>
      </c>
      <c r="V152" s="11">
        <f>AI152</f>
        <v>0</v>
      </c>
      <c r="W152" s="11">
        <f>ROUND(AJ152,2)</f>
        <v>0</v>
      </c>
      <c r="X152" s="11">
        <f>ROUND(AK152,2)</f>
        <v>645.41999999999996</v>
      </c>
      <c r="Y152" s="11">
        <f>ROUND(AL152,2)</f>
        <v>329.87</v>
      </c>
      <c r="Z152" s="11"/>
      <c r="AA152" s="11"/>
      <c r="AB152" s="11">
        <f>ROUND(SUMIF(AA87:AA150,"=57014138",O87:O150),2)</f>
        <v>109193.04</v>
      </c>
      <c r="AC152" s="11">
        <f>ROUND(SUMIF(AA87:AA150,"=57014138",P87:P150),2)</f>
        <v>108372.57</v>
      </c>
      <c r="AD152" s="11">
        <f>ROUND(SUMIF(AA87:AA150,"=57014138",Q87:Q150),2)</f>
        <v>115.9</v>
      </c>
      <c r="AE152" s="11">
        <f>ROUND(SUMIF(AA87:AA150,"=57014138",R87:R150),2)</f>
        <v>12.56</v>
      </c>
      <c r="AF152" s="11">
        <f>ROUND(SUMIF(AA87:AA150,"=57014138",S87:S150),2)</f>
        <v>704.57</v>
      </c>
      <c r="AG152" s="11">
        <f>ROUND(SUMIF(AA87:AA150,"=57014138",T87:T150),2)</f>
        <v>0</v>
      </c>
      <c r="AH152" s="11">
        <f>SUMIF(AA87:AA150,"=57014138",U87:U150)</f>
        <v>55.83441599999999</v>
      </c>
      <c r="AI152" s="11">
        <f>SUMIF(AA87:AA150,"=57014138",V87:V150)</f>
        <v>0</v>
      </c>
      <c r="AJ152" s="11">
        <f>ROUND(SUMIF(AA87:AA150,"=57014138",W87:W150),2)</f>
        <v>0</v>
      </c>
      <c r="AK152" s="11">
        <f>ROUND(SUMIF(AA87:AA150,"=57014138",X87:X150),2)</f>
        <v>645.41999999999996</v>
      </c>
      <c r="AL152" s="11">
        <f>ROUND(SUMIF(AA87:AA150,"=57014138",Y87:Y150),2)</f>
        <v>329.87</v>
      </c>
      <c r="AM152" s="11"/>
      <c r="AN152" s="11"/>
      <c r="AO152" s="11">
        <f t="shared" ref="AO152:BD152" si="149">ROUND(BX152,2)</f>
        <v>0</v>
      </c>
      <c r="AP152" s="11">
        <f t="shared" si="149"/>
        <v>108319.21</v>
      </c>
      <c r="AQ152" s="11">
        <f t="shared" si="149"/>
        <v>0</v>
      </c>
      <c r="AR152" s="11">
        <f t="shared" si="149"/>
        <v>110168.33</v>
      </c>
      <c r="AS152" s="11">
        <f t="shared" si="149"/>
        <v>0</v>
      </c>
      <c r="AT152" s="11">
        <f t="shared" si="149"/>
        <v>1849.12</v>
      </c>
      <c r="AU152" s="11">
        <f t="shared" si="149"/>
        <v>0</v>
      </c>
      <c r="AV152" s="11">
        <f t="shared" si="149"/>
        <v>108372.57</v>
      </c>
      <c r="AW152" s="11">
        <f t="shared" si="149"/>
        <v>53.36</v>
      </c>
      <c r="AX152" s="11">
        <f t="shared" si="149"/>
        <v>0</v>
      </c>
      <c r="AY152" s="11">
        <f t="shared" si="149"/>
        <v>53.36</v>
      </c>
      <c r="AZ152" s="11">
        <f t="shared" si="149"/>
        <v>108319.21</v>
      </c>
      <c r="BA152" s="11">
        <f t="shared" si="149"/>
        <v>0</v>
      </c>
      <c r="BB152" s="11">
        <f t="shared" si="149"/>
        <v>0</v>
      </c>
      <c r="BC152" s="11">
        <f t="shared" si="149"/>
        <v>0</v>
      </c>
      <c r="BD152" s="11">
        <f t="shared" si="149"/>
        <v>0</v>
      </c>
      <c r="BE152" s="11"/>
      <c r="BF152" s="11"/>
      <c r="BG152" s="11"/>
      <c r="BH152" s="11"/>
      <c r="BI152" s="11"/>
      <c r="BJ152" s="11"/>
      <c r="BK152" s="11"/>
      <c r="BL152" s="11"/>
      <c r="BM152" s="11"/>
      <c r="BN152" s="11"/>
      <c r="BO152" s="11"/>
      <c r="BP152" s="11"/>
      <c r="BQ152" s="11"/>
      <c r="BR152" s="11"/>
      <c r="BS152" s="11"/>
      <c r="BT152" s="11"/>
      <c r="BU152" s="11"/>
      <c r="BV152" s="11"/>
      <c r="BW152" s="11"/>
      <c r="BX152" s="11">
        <f>ROUND(SUMIF(AA87:AA150,"=57014138",FQ87:FQ150),2)</f>
        <v>0</v>
      </c>
      <c r="BY152" s="11">
        <f>ROUND(SUMIF(AA87:AA150,"=57014138",FR87:FR150),2)</f>
        <v>108319.21</v>
      </c>
      <c r="BZ152" s="11">
        <f>ROUND(SUMIF(AA87:AA150,"=57014138",GL87:GL150),2)</f>
        <v>0</v>
      </c>
      <c r="CA152" s="11">
        <f>ROUND(SUMIF(AA87:AA150,"=57014138",GM87:GM150),2)</f>
        <v>110168.33</v>
      </c>
      <c r="CB152" s="11">
        <f>ROUND(SUMIF(AA87:AA150,"=57014138",GN87:GN150),2)</f>
        <v>0</v>
      </c>
      <c r="CC152" s="11">
        <f>ROUND(SUMIF(AA87:AA150,"=57014138",GO87:GO150),2)</f>
        <v>1849.12</v>
      </c>
      <c r="CD152" s="11">
        <f>ROUND(SUMIF(AA87:AA150,"=57014138",GP87:GP150),2)</f>
        <v>0</v>
      </c>
      <c r="CE152" s="11">
        <f>AC152-BX152</f>
        <v>108372.57</v>
      </c>
      <c r="CF152" s="11">
        <f>AC152-BY152</f>
        <v>53.360000000000582</v>
      </c>
      <c r="CG152" s="11">
        <f>BX152-BZ152</f>
        <v>0</v>
      </c>
      <c r="CH152" s="11">
        <f>AC152-BX152-BY152+BZ152</f>
        <v>53.360000000000582</v>
      </c>
      <c r="CI152" s="11">
        <f>BY152-BZ152</f>
        <v>108319.21</v>
      </c>
      <c r="CJ152" s="11">
        <f>ROUND(SUMIF(AA87:AA150,"=57014138",GX87:GX150),2)</f>
        <v>0</v>
      </c>
      <c r="CK152" s="11">
        <f>ROUND(SUMIF(AA87:AA150,"=57014138",GY87:GY150),2)</f>
        <v>0</v>
      </c>
      <c r="CL152" s="11">
        <f>ROUND(SUMIF(AA87:AA150,"=57014138",GZ87:GZ150),2)</f>
        <v>0</v>
      </c>
      <c r="CM152" s="11">
        <f>ROUND(SUMIF(AA87:AA150,"=57014138",HD87:HD150),2)</f>
        <v>0</v>
      </c>
      <c r="CN152" s="11"/>
      <c r="CO152" s="11"/>
      <c r="CP152" s="11"/>
      <c r="CQ152" s="11"/>
      <c r="CR152" s="11"/>
      <c r="CS152" s="11"/>
      <c r="CT152" s="11"/>
      <c r="CU152" s="11"/>
      <c r="CV152" s="11"/>
      <c r="CW152" s="11"/>
      <c r="CX152" s="11"/>
      <c r="CY152" s="11"/>
      <c r="CZ152" s="11"/>
      <c r="DA152" s="11"/>
      <c r="DB152" s="11"/>
      <c r="DC152" s="11"/>
      <c r="DD152" s="11"/>
      <c r="DE152" s="11"/>
      <c r="DF152" s="11"/>
      <c r="DG152" s="12">
        <f t="shared" ref="DG152:DL152" si="150">ROUND(DT152,2)</f>
        <v>862095.76</v>
      </c>
      <c r="DH152" s="12">
        <f t="shared" si="150"/>
        <v>820530.81</v>
      </c>
      <c r="DI152" s="12">
        <f t="shared" si="150"/>
        <v>1862.42</v>
      </c>
      <c r="DJ152" s="12">
        <f t="shared" si="150"/>
        <v>707.76</v>
      </c>
      <c r="DK152" s="12">
        <f t="shared" si="150"/>
        <v>39702.53</v>
      </c>
      <c r="DL152" s="12">
        <f t="shared" si="150"/>
        <v>0</v>
      </c>
      <c r="DM152" s="12">
        <f>DZ152</f>
        <v>55.83441599999999</v>
      </c>
      <c r="DN152" s="12">
        <f>EA152</f>
        <v>0</v>
      </c>
      <c r="DO152" s="12">
        <f>ROUND(EB152,2)</f>
        <v>0</v>
      </c>
      <c r="DP152" s="12">
        <f>ROUND(EC152,2)</f>
        <v>36369.26</v>
      </c>
      <c r="DQ152" s="12">
        <f>ROUND(ED152,2)</f>
        <v>18588.73</v>
      </c>
      <c r="DR152" s="12"/>
      <c r="DS152" s="12"/>
      <c r="DT152" s="12">
        <f>ROUND(SUMIF(AA87:AA150,"=57014140",O87:O150),2)</f>
        <v>862095.76</v>
      </c>
      <c r="DU152" s="12">
        <f>ROUND(SUMIF(AA87:AA150,"=57014140",P87:P150),2)</f>
        <v>820530.81</v>
      </c>
      <c r="DV152" s="12">
        <f>ROUND(SUMIF(AA87:AA150,"=57014140",Q87:Q150),2)</f>
        <v>1862.42</v>
      </c>
      <c r="DW152" s="12">
        <f>ROUND(SUMIF(AA87:AA150,"=57014140",R87:R150),2)</f>
        <v>707.76</v>
      </c>
      <c r="DX152" s="12">
        <f>ROUND(SUMIF(AA87:AA150,"=57014140",S87:S150),2)</f>
        <v>39702.53</v>
      </c>
      <c r="DY152" s="12">
        <f>ROUND(SUMIF(AA87:AA150,"=57014140",T87:T150),2)</f>
        <v>0</v>
      </c>
      <c r="DZ152" s="12">
        <f>SUMIF(AA87:AA150,"=57014140",U87:U150)</f>
        <v>55.83441599999999</v>
      </c>
      <c r="EA152" s="12">
        <f>SUMIF(AA87:AA150,"=57014140",V87:V150)</f>
        <v>0</v>
      </c>
      <c r="EB152" s="12">
        <f>ROUND(SUMIF(AA87:AA150,"=57014140",W87:W150),2)</f>
        <v>0</v>
      </c>
      <c r="EC152" s="12">
        <f>ROUND(SUMIF(AA87:AA150,"=57014140",X87:X150),2)</f>
        <v>36369.26</v>
      </c>
      <c r="ED152" s="12">
        <f>ROUND(SUMIF(AA87:AA150,"=57014140",Y87:Y150),2)</f>
        <v>18588.73</v>
      </c>
      <c r="EE152" s="12"/>
      <c r="EF152" s="12"/>
      <c r="EG152" s="12">
        <f t="shared" ref="EG152:EV152" si="151">ROUND(FP152,2)</f>
        <v>0</v>
      </c>
      <c r="EH152" s="12">
        <f t="shared" si="151"/>
        <v>819976.43</v>
      </c>
      <c r="EI152" s="12">
        <f t="shared" si="151"/>
        <v>0</v>
      </c>
      <c r="EJ152" s="12">
        <f t="shared" si="151"/>
        <v>917053.75</v>
      </c>
      <c r="EK152" s="12">
        <f t="shared" si="151"/>
        <v>0</v>
      </c>
      <c r="EL152" s="12">
        <f t="shared" si="151"/>
        <v>97077.32</v>
      </c>
      <c r="EM152" s="12">
        <f t="shared" si="151"/>
        <v>0</v>
      </c>
      <c r="EN152" s="12">
        <f t="shared" si="151"/>
        <v>820530.81</v>
      </c>
      <c r="EO152" s="12">
        <f t="shared" si="151"/>
        <v>554.38</v>
      </c>
      <c r="EP152" s="12">
        <f t="shared" si="151"/>
        <v>0</v>
      </c>
      <c r="EQ152" s="12">
        <f t="shared" si="151"/>
        <v>554.38</v>
      </c>
      <c r="ER152" s="12">
        <f t="shared" si="151"/>
        <v>819976.43</v>
      </c>
      <c r="ES152" s="12">
        <f t="shared" si="151"/>
        <v>0</v>
      </c>
      <c r="ET152" s="12">
        <f t="shared" si="151"/>
        <v>0</v>
      </c>
      <c r="EU152" s="12">
        <f t="shared" si="151"/>
        <v>0</v>
      </c>
      <c r="EV152" s="12">
        <f t="shared" si="151"/>
        <v>0</v>
      </c>
      <c r="EW152" s="12"/>
      <c r="EX152" s="12"/>
      <c r="EY152" s="12"/>
      <c r="EZ152" s="12"/>
      <c r="FA152" s="12"/>
      <c r="FB152" s="12"/>
      <c r="FC152" s="12"/>
      <c r="FD152" s="12"/>
      <c r="FE152" s="12"/>
      <c r="FF152" s="12"/>
      <c r="FG152" s="12"/>
      <c r="FH152" s="12"/>
      <c r="FI152" s="12"/>
      <c r="FJ152" s="12"/>
      <c r="FK152" s="12"/>
      <c r="FL152" s="12"/>
      <c r="FM152" s="12"/>
      <c r="FN152" s="12"/>
      <c r="FO152" s="12"/>
      <c r="FP152" s="12">
        <f>ROUND(SUMIF(AA87:AA150,"=57014140",FQ87:FQ150),2)</f>
        <v>0</v>
      </c>
      <c r="FQ152" s="12">
        <f>ROUND(SUMIF(AA87:AA150,"=57014140",FR87:FR150),2)</f>
        <v>819976.43</v>
      </c>
      <c r="FR152" s="12">
        <f>ROUND(SUMIF(AA87:AA150,"=57014140",GL87:GL150),2)</f>
        <v>0</v>
      </c>
      <c r="FS152" s="12">
        <f>ROUND(SUMIF(AA87:AA150,"=57014140",GM87:GM150),2)</f>
        <v>917053.75</v>
      </c>
      <c r="FT152" s="12">
        <f>ROUND(SUMIF(AA87:AA150,"=57014140",GN87:GN150),2)</f>
        <v>0</v>
      </c>
      <c r="FU152" s="12">
        <f>ROUND(SUMIF(AA87:AA150,"=57014140",GO87:GO150),2)</f>
        <v>97077.32</v>
      </c>
      <c r="FV152" s="12">
        <f>ROUND(SUMIF(AA87:AA150,"=57014140",GP87:GP150),2)</f>
        <v>0</v>
      </c>
      <c r="FW152" s="12">
        <f>DU152-FP152</f>
        <v>820530.81</v>
      </c>
      <c r="FX152" s="12">
        <f>DU152-FQ152</f>
        <v>554.38000000000466</v>
      </c>
      <c r="FY152" s="12">
        <f>FP152-FR152</f>
        <v>0</v>
      </c>
      <c r="FZ152" s="12">
        <f>DU152-FP152-FQ152+FR152</f>
        <v>554.38000000000466</v>
      </c>
      <c r="GA152" s="12">
        <f>FQ152-FR152</f>
        <v>819976.43</v>
      </c>
      <c r="GB152" s="12">
        <f>ROUND(SUMIF(AA87:AA150,"=57014140",GX87:GX150),2)</f>
        <v>0</v>
      </c>
      <c r="GC152" s="12">
        <f>ROUND(SUMIF(AA87:AA150,"=57014140",GY87:GY150),2)</f>
        <v>0</v>
      </c>
      <c r="GD152" s="12">
        <f>ROUND(SUMIF(AA87:AA150,"=57014140",GZ87:GZ150),2)</f>
        <v>0</v>
      </c>
      <c r="GE152" s="12">
        <f>ROUND(SUMIF(AA87:AA150,"=57014140",HD87:HD150),2)</f>
        <v>0</v>
      </c>
      <c r="GF152" s="12"/>
      <c r="GG152" s="12"/>
      <c r="GH152" s="12"/>
      <c r="GI152" s="12"/>
      <c r="GJ152" s="12"/>
      <c r="GK152" s="12"/>
      <c r="GL152" s="12"/>
      <c r="GM152" s="12"/>
      <c r="GN152" s="12"/>
      <c r="GO152" s="12"/>
      <c r="GP152" s="12"/>
      <c r="GQ152" s="12"/>
      <c r="GR152" s="12"/>
      <c r="GS152" s="12"/>
      <c r="GT152" s="12"/>
      <c r="GU152" s="12"/>
      <c r="GV152" s="12"/>
      <c r="GW152" s="12"/>
      <c r="GX152" s="12">
        <v>0</v>
      </c>
    </row>
    <row r="154" spans="1:255" ht="13" x14ac:dyDescent="0.3">
      <c r="A154" s="13">
        <v>50</v>
      </c>
      <c r="B154" s="13">
        <v>0</v>
      </c>
      <c r="C154" s="13">
        <v>0</v>
      </c>
      <c r="D154" s="13">
        <v>1</v>
      </c>
      <c r="E154" s="13">
        <v>201</v>
      </c>
      <c r="F154" s="13">
        <f>ROUND(Source!O152,O154)</f>
        <v>109193.04</v>
      </c>
      <c r="G154" s="13" t="s">
        <v>92</v>
      </c>
      <c r="H154" s="13" t="s">
        <v>93</v>
      </c>
      <c r="I154" s="13"/>
      <c r="J154" s="13"/>
      <c r="K154" s="13">
        <v>201</v>
      </c>
      <c r="L154" s="13">
        <v>1</v>
      </c>
      <c r="M154" s="13">
        <v>3</v>
      </c>
      <c r="N154" s="13" t="s">
        <v>3</v>
      </c>
      <c r="O154" s="13">
        <v>2</v>
      </c>
      <c r="P154" s="13">
        <f>ROUND(Source!DG152,O154)</f>
        <v>862095.76</v>
      </c>
      <c r="Q154" s="13"/>
      <c r="R154" s="13"/>
      <c r="S154" s="13"/>
      <c r="T154" s="13"/>
      <c r="U154" s="13"/>
      <c r="V154" s="13"/>
      <c r="W154" s="13">
        <v>109193.04</v>
      </c>
      <c r="X154" s="13">
        <v>1</v>
      </c>
      <c r="Y154" s="13">
        <v>109193.04</v>
      </c>
      <c r="Z154" s="13">
        <v>862095.76</v>
      </c>
      <c r="AA154" s="13">
        <v>1</v>
      </c>
      <c r="AB154" s="13">
        <v>862095.76</v>
      </c>
    </row>
    <row r="155" spans="1:255" ht="13" x14ac:dyDescent="0.3">
      <c r="A155" s="13">
        <v>50</v>
      </c>
      <c r="B155" s="13">
        <v>0</v>
      </c>
      <c r="C155" s="13">
        <v>0</v>
      </c>
      <c r="D155" s="13">
        <v>1</v>
      </c>
      <c r="E155" s="13">
        <v>202</v>
      </c>
      <c r="F155" s="13">
        <f>ROUND(Source!P152,O155)</f>
        <v>108372.57</v>
      </c>
      <c r="G155" s="13" t="s">
        <v>94</v>
      </c>
      <c r="H155" s="13" t="s">
        <v>95</v>
      </c>
      <c r="I155" s="13"/>
      <c r="J155" s="13"/>
      <c r="K155" s="13">
        <v>202</v>
      </c>
      <c r="L155" s="13">
        <v>2</v>
      </c>
      <c r="M155" s="13">
        <v>3</v>
      </c>
      <c r="N155" s="13" t="s">
        <v>3</v>
      </c>
      <c r="O155" s="13">
        <v>2</v>
      </c>
      <c r="P155" s="13">
        <f>ROUND(Source!DH152,O155)</f>
        <v>820530.81</v>
      </c>
      <c r="Q155" s="13"/>
      <c r="R155" s="13"/>
      <c r="S155" s="13"/>
      <c r="T155" s="13"/>
      <c r="U155" s="13"/>
      <c r="V155" s="13"/>
      <c r="W155" s="13">
        <v>108372.57</v>
      </c>
      <c r="X155" s="13">
        <v>1</v>
      </c>
      <c r="Y155" s="13">
        <v>108372.57</v>
      </c>
      <c r="Z155" s="13">
        <v>820530.81</v>
      </c>
      <c r="AA155" s="13">
        <v>1</v>
      </c>
      <c r="AB155" s="13">
        <v>820530.81</v>
      </c>
    </row>
    <row r="156" spans="1:255" ht="13" x14ac:dyDescent="0.3">
      <c r="A156" s="13">
        <v>50</v>
      </c>
      <c r="B156" s="13">
        <v>0</v>
      </c>
      <c r="C156" s="13">
        <v>0</v>
      </c>
      <c r="D156" s="13">
        <v>1</v>
      </c>
      <c r="E156" s="13">
        <v>222</v>
      </c>
      <c r="F156" s="13">
        <f>ROUND(Source!AO152,O156)</f>
        <v>0</v>
      </c>
      <c r="G156" s="13" t="s">
        <v>96</v>
      </c>
      <c r="H156" s="13" t="s">
        <v>97</v>
      </c>
      <c r="I156" s="13"/>
      <c r="J156" s="13"/>
      <c r="K156" s="13">
        <v>222</v>
      </c>
      <c r="L156" s="13">
        <v>3</v>
      </c>
      <c r="M156" s="13">
        <v>3</v>
      </c>
      <c r="N156" s="13" t="s">
        <v>3</v>
      </c>
      <c r="O156" s="13">
        <v>2</v>
      </c>
      <c r="P156" s="13">
        <f>ROUND(Source!EG152,O156)</f>
        <v>0</v>
      </c>
      <c r="Q156" s="13"/>
      <c r="R156" s="13"/>
      <c r="S156" s="13"/>
      <c r="T156" s="13"/>
      <c r="U156" s="13"/>
      <c r="V156" s="13"/>
      <c r="W156" s="13">
        <v>0</v>
      </c>
      <c r="X156" s="13">
        <v>1</v>
      </c>
      <c r="Y156" s="13">
        <v>0</v>
      </c>
      <c r="Z156" s="13">
        <v>0</v>
      </c>
      <c r="AA156" s="13">
        <v>1</v>
      </c>
      <c r="AB156" s="13">
        <v>0</v>
      </c>
    </row>
    <row r="157" spans="1:255" ht="13" x14ac:dyDescent="0.3">
      <c r="A157" s="13">
        <v>50</v>
      </c>
      <c r="B157" s="13">
        <v>0</v>
      </c>
      <c r="C157" s="13">
        <v>0</v>
      </c>
      <c r="D157" s="13">
        <v>1</v>
      </c>
      <c r="E157" s="13">
        <v>225</v>
      </c>
      <c r="F157" s="13">
        <f>ROUND(Source!AV152,O157)</f>
        <v>108372.57</v>
      </c>
      <c r="G157" s="13" t="s">
        <v>98</v>
      </c>
      <c r="H157" s="13" t="s">
        <v>99</v>
      </c>
      <c r="I157" s="13"/>
      <c r="J157" s="13"/>
      <c r="K157" s="13">
        <v>225</v>
      </c>
      <c r="L157" s="13">
        <v>4</v>
      </c>
      <c r="M157" s="13">
        <v>3</v>
      </c>
      <c r="N157" s="13" t="s">
        <v>3</v>
      </c>
      <c r="O157" s="13">
        <v>2</v>
      </c>
      <c r="P157" s="13">
        <f>ROUND(Source!EN152,O157)</f>
        <v>820530.81</v>
      </c>
      <c r="Q157" s="13"/>
      <c r="R157" s="13"/>
      <c r="S157" s="13"/>
      <c r="T157" s="13"/>
      <c r="U157" s="13"/>
      <c r="V157" s="13"/>
      <c r="W157" s="13">
        <v>108372.57</v>
      </c>
      <c r="X157" s="13">
        <v>1</v>
      </c>
      <c r="Y157" s="13">
        <v>108372.57</v>
      </c>
      <c r="Z157" s="13">
        <v>820530.81</v>
      </c>
      <c r="AA157" s="13">
        <v>1</v>
      </c>
      <c r="AB157" s="13">
        <v>820530.81</v>
      </c>
    </row>
    <row r="158" spans="1:255" ht="13" x14ac:dyDescent="0.3">
      <c r="A158" s="13">
        <v>50</v>
      </c>
      <c r="B158" s="13">
        <v>0</v>
      </c>
      <c r="C158" s="13">
        <v>0</v>
      </c>
      <c r="D158" s="13">
        <v>1</v>
      </c>
      <c r="E158" s="13">
        <v>226</v>
      </c>
      <c r="F158" s="13">
        <f>ROUND(Source!AW152,O158)</f>
        <v>53.36</v>
      </c>
      <c r="G158" s="13" t="s">
        <v>100</v>
      </c>
      <c r="H158" s="13" t="s">
        <v>101</v>
      </c>
      <c r="I158" s="13"/>
      <c r="J158" s="13"/>
      <c r="K158" s="13">
        <v>226</v>
      </c>
      <c r="L158" s="13">
        <v>5</v>
      </c>
      <c r="M158" s="13">
        <v>3</v>
      </c>
      <c r="N158" s="13" t="s">
        <v>3</v>
      </c>
      <c r="O158" s="13">
        <v>2</v>
      </c>
      <c r="P158" s="13">
        <f>ROUND(Source!EO152,O158)</f>
        <v>554.38</v>
      </c>
      <c r="Q158" s="13"/>
      <c r="R158" s="13"/>
      <c r="S158" s="13"/>
      <c r="T158" s="13"/>
      <c r="U158" s="13"/>
      <c r="V158" s="13"/>
      <c r="W158" s="13">
        <v>53.36</v>
      </c>
      <c r="X158" s="13">
        <v>1</v>
      </c>
      <c r="Y158" s="13">
        <v>53.36</v>
      </c>
      <c r="Z158" s="13">
        <v>554.38</v>
      </c>
      <c r="AA158" s="13">
        <v>1</v>
      </c>
      <c r="AB158" s="13">
        <v>554.38</v>
      </c>
    </row>
    <row r="159" spans="1:255" ht="13" x14ac:dyDescent="0.3">
      <c r="A159" s="13">
        <v>50</v>
      </c>
      <c r="B159" s="13">
        <v>0</v>
      </c>
      <c r="C159" s="13">
        <v>0</v>
      </c>
      <c r="D159" s="13">
        <v>1</v>
      </c>
      <c r="E159" s="13">
        <v>227</v>
      </c>
      <c r="F159" s="13">
        <f>ROUND(Source!AX152,O159)</f>
        <v>0</v>
      </c>
      <c r="G159" s="13" t="s">
        <v>102</v>
      </c>
      <c r="H159" s="13" t="s">
        <v>103</v>
      </c>
      <c r="I159" s="13"/>
      <c r="J159" s="13"/>
      <c r="K159" s="13">
        <v>227</v>
      </c>
      <c r="L159" s="13">
        <v>6</v>
      </c>
      <c r="M159" s="13">
        <v>3</v>
      </c>
      <c r="N159" s="13" t="s">
        <v>3</v>
      </c>
      <c r="O159" s="13">
        <v>2</v>
      </c>
      <c r="P159" s="13">
        <f>ROUND(Source!EP152,O159)</f>
        <v>0</v>
      </c>
      <c r="Q159" s="13"/>
      <c r="R159" s="13"/>
      <c r="S159" s="13"/>
      <c r="T159" s="13"/>
      <c r="U159" s="13"/>
      <c r="V159" s="13"/>
      <c r="W159" s="13">
        <v>0</v>
      </c>
      <c r="X159" s="13">
        <v>1</v>
      </c>
      <c r="Y159" s="13">
        <v>0</v>
      </c>
      <c r="Z159" s="13">
        <v>0</v>
      </c>
      <c r="AA159" s="13">
        <v>1</v>
      </c>
      <c r="AB159" s="13">
        <v>0</v>
      </c>
    </row>
    <row r="160" spans="1:255" ht="13" x14ac:dyDescent="0.3">
      <c r="A160" s="13">
        <v>50</v>
      </c>
      <c r="B160" s="13">
        <v>0</v>
      </c>
      <c r="C160" s="13">
        <v>0</v>
      </c>
      <c r="D160" s="13">
        <v>1</v>
      </c>
      <c r="E160" s="13">
        <v>228</v>
      </c>
      <c r="F160" s="13">
        <f>ROUND(Source!AY152,O160)</f>
        <v>53.36</v>
      </c>
      <c r="G160" s="13" t="s">
        <v>104</v>
      </c>
      <c r="H160" s="13" t="s">
        <v>105</v>
      </c>
      <c r="I160" s="13"/>
      <c r="J160" s="13"/>
      <c r="K160" s="13">
        <v>228</v>
      </c>
      <c r="L160" s="13">
        <v>7</v>
      </c>
      <c r="M160" s="13">
        <v>3</v>
      </c>
      <c r="N160" s="13" t="s">
        <v>3</v>
      </c>
      <c r="O160" s="13">
        <v>2</v>
      </c>
      <c r="P160" s="13">
        <f>ROUND(Source!EQ152,O160)</f>
        <v>554.38</v>
      </c>
      <c r="Q160" s="13"/>
      <c r="R160" s="13"/>
      <c r="S160" s="13"/>
      <c r="T160" s="13"/>
      <c r="U160" s="13"/>
      <c r="V160" s="13"/>
      <c r="W160" s="13">
        <v>53.36</v>
      </c>
      <c r="X160" s="13">
        <v>1</v>
      </c>
      <c r="Y160" s="13">
        <v>53.36</v>
      </c>
      <c r="Z160" s="13">
        <v>554.38</v>
      </c>
      <c r="AA160" s="13">
        <v>1</v>
      </c>
      <c r="AB160" s="13">
        <v>554.38</v>
      </c>
    </row>
    <row r="161" spans="1:28" ht="13" x14ac:dyDescent="0.3">
      <c r="A161" s="13">
        <v>50</v>
      </c>
      <c r="B161" s="13">
        <v>0</v>
      </c>
      <c r="C161" s="13">
        <v>0</v>
      </c>
      <c r="D161" s="13">
        <v>1</v>
      </c>
      <c r="E161" s="13">
        <v>216</v>
      </c>
      <c r="F161" s="13">
        <f>ROUND(Source!AP152,O161)</f>
        <v>108319.21</v>
      </c>
      <c r="G161" s="13" t="s">
        <v>106</v>
      </c>
      <c r="H161" s="13" t="s">
        <v>107</v>
      </c>
      <c r="I161" s="13"/>
      <c r="J161" s="13"/>
      <c r="K161" s="13">
        <v>216</v>
      </c>
      <c r="L161" s="13">
        <v>8</v>
      </c>
      <c r="M161" s="13">
        <v>3</v>
      </c>
      <c r="N161" s="13" t="s">
        <v>3</v>
      </c>
      <c r="O161" s="13">
        <v>2</v>
      </c>
      <c r="P161" s="13">
        <f>ROUND(Source!EH152,O161)</f>
        <v>819976.43</v>
      </c>
      <c r="Q161" s="13"/>
      <c r="R161" s="13"/>
      <c r="S161" s="13"/>
      <c r="T161" s="13"/>
      <c r="U161" s="13"/>
      <c r="V161" s="13"/>
      <c r="W161" s="13">
        <v>108319.21</v>
      </c>
      <c r="X161" s="13">
        <v>1</v>
      </c>
      <c r="Y161" s="13">
        <v>108319.21</v>
      </c>
      <c r="Z161" s="13">
        <v>819976.43</v>
      </c>
      <c r="AA161" s="13">
        <v>1</v>
      </c>
      <c r="AB161" s="13">
        <v>819976.43</v>
      </c>
    </row>
    <row r="162" spans="1:28" ht="13" x14ac:dyDescent="0.3">
      <c r="A162" s="13">
        <v>50</v>
      </c>
      <c r="B162" s="13">
        <v>0</v>
      </c>
      <c r="C162" s="13">
        <v>0</v>
      </c>
      <c r="D162" s="13">
        <v>1</v>
      </c>
      <c r="E162" s="13">
        <v>223</v>
      </c>
      <c r="F162" s="13">
        <f>ROUND(Source!AQ152,O162)</f>
        <v>0</v>
      </c>
      <c r="G162" s="13" t="s">
        <v>108</v>
      </c>
      <c r="H162" s="13" t="s">
        <v>109</v>
      </c>
      <c r="I162" s="13"/>
      <c r="J162" s="13"/>
      <c r="K162" s="13">
        <v>223</v>
      </c>
      <c r="L162" s="13">
        <v>9</v>
      </c>
      <c r="M162" s="13">
        <v>3</v>
      </c>
      <c r="N162" s="13" t="s">
        <v>3</v>
      </c>
      <c r="O162" s="13">
        <v>2</v>
      </c>
      <c r="P162" s="13">
        <f>ROUND(Source!EI152,O162)</f>
        <v>0</v>
      </c>
      <c r="Q162" s="13"/>
      <c r="R162" s="13"/>
      <c r="S162" s="13"/>
      <c r="T162" s="13"/>
      <c r="U162" s="13"/>
      <c r="V162" s="13"/>
      <c r="W162" s="13">
        <v>0</v>
      </c>
      <c r="X162" s="13">
        <v>1</v>
      </c>
      <c r="Y162" s="13">
        <v>0</v>
      </c>
      <c r="Z162" s="13">
        <v>0</v>
      </c>
      <c r="AA162" s="13">
        <v>1</v>
      </c>
      <c r="AB162" s="13">
        <v>0</v>
      </c>
    </row>
    <row r="163" spans="1:28" ht="13" x14ac:dyDescent="0.3">
      <c r="A163" s="13">
        <v>50</v>
      </c>
      <c r="B163" s="13">
        <v>0</v>
      </c>
      <c r="C163" s="13">
        <v>0</v>
      </c>
      <c r="D163" s="13">
        <v>1</v>
      </c>
      <c r="E163" s="13">
        <v>229</v>
      </c>
      <c r="F163" s="13">
        <f>ROUND(Source!AZ152,O163)</f>
        <v>108319.21</v>
      </c>
      <c r="G163" s="13" t="s">
        <v>110</v>
      </c>
      <c r="H163" s="13" t="s">
        <v>111</v>
      </c>
      <c r="I163" s="13"/>
      <c r="J163" s="13"/>
      <c r="K163" s="13">
        <v>229</v>
      </c>
      <c r="L163" s="13">
        <v>10</v>
      </c>
      <c r="M163" s="13">
        <v>3</v>
      </c>
      <c r="N163" s="13" t="s">
        <v>3</v>
      </c>
      <c r="O163" s="13">
        <v>2</v>
      </c>
      <c r="P163" s="13">
        <f>ROUND(Source!ER152,O163)</f>
        <v>819976.43</v>
      </c>
      <c r="Q163" s="13"/>
      <c r="R163" s="13"/>
      <c r="S163" s="13"/>
      <c r="T163" s="13"/>
      <c r="U163" s="13"/>
      <c r="V163" s="13"/>
      <c r="W163" s="13">
        <v>108319.21</v>
      </c>
      <c r="X163" s="13">
        <v>1</v>
      </c>
      <c r="Y163" s="13">
        <v>108319.21</v>
      </c>
      <c r="Z163" s="13">
        <v>819976.43</v>
      </c>
      <c r="AA163" s="13">
        <v>1</v>
      </c>
      <c r="AB163" s="13">
        <v>819976.43</v>
      </c>
    </row>
    <row r="164" spans="1:28" ht="13" x14ac:dyDescent="0.3">
      <c r="A164" s="13">
        <v>50</v>
      </c>
      <c r="B164" s="13">
        <v>0</v>
      </c>
      <c r="C164" s="13">
        <v>0</v>
      </c>
      <c r="D164" s="13">
        <v>1</v>
      </c>
      <c r="E164" s="13">
        <v>203</v>
      </c>
      <c r="F164" s="13">
        <f>ROUND(Source!Q152,O164)</f>
        <v>115.9</v>
      </c>
      <c r="G164" s="13" t="s">
        <v>112</v>
      </c>
      <c r="H164" s="13" t="s">
        <v>113</v>
      </c>
      <c r="I164" s="13"/>
      <c r="J164" s="13"/>
      <c r="K164" s="13">
        <v>203</v>
      </c>
      <c r="L164" s="13">
        <v>11</v>
      </c>
      <c r="M164" s="13">
        <v>3</v>
      </c>
      <c r="N164" s="13" t="s">
        <v>3</v>
      </c>
      <c r="O164" s="13">
        <v>2</v>
      </c>
      <c r="P164" s="13">
        <f>ROUND(Source!DI152,O164)</f>
        <v>1862.42</v>
      </c>
      <c r="Q164" s="13"/>
      <c r="R164" s="13"/>
      <c r="S164" s="13"/>
      <c r="T164" s="13"/>
      <c r="U164" s="13"/>
      <c r="V164" s="13"/>
      <c r="W164" s="13">
        <v>115.9</v>
      </c>
      <c r="X164" s="13">
        <v>1</v>
      </c>
      <c r="Y164" s="13">
        <v>115.9</v>
      </c>
      <c r="Z164" s="13">
        <v>1862.42</v>
      </c>
      <c r="AA164" s="13">
        <v>1</v>
      </c>
      <c r="AB164" s="13">
        <v>1862.42</v>
      </c>
    </row>
    <row r="165" spans="1:28" ht="13" x14ac:dyDescent="0.3">
      <c r="A165" s="13">
        <v>50</v>
      </c>
      <c r="B165" s="13">
        <v>0</v>
      </c>
      <c r="C165" s="13">
        <v>0</v>
      </c>
      <c r="D165" s="13">
        <v>1</v>
      </c>
      <c r="E165" s="13">
        <v>231</v>
      </c>
      <c r="F165" s="13">
        <f>ROUND(Source!BB152,O165)</f>
        <v>0</v>
      </c>
      <c r="G165" s="13" t="s">
        <v>114</v>
      </c>
      <c r="H165" s="13" t="s">
        <v>115</v>
      </c>
      <c r="I165" s="13"/>
      <c r="J165" s="13"/>
      <c r="K165" s="13">
        <v>231</v>
      </c>
      <c r="L165" s="13">
        <v>12</v>
      </c>
      <c r="M165" s="13">
        <v>3</v>
      </c>
      <c r="N165" s="13" t="s">
        <v>3</v>
      </c>
      <c r="O165" s="13">
        <v>2</v>
      </c>
      <c r="P165" s="13">
        <f>ROUND(Source!ET152,O165)</f>
        <v>0</v>
      </c>
      <c r="Q165" s="13"/>
      <c r="R165" s="13"/>
      <c r="S165" s="13"/>
      <c r="T165" s="13"/>
      <c r="U165" s="13"/>
      <c r="V165" s="13"/>
      <c r="W165" s="13">
        <v>0</v>
      </c>
      <c r="X165" s="13">
        <v>1</v>
      </c>
      <c r="Y165" s="13">
        <v>0</v>
      </c>
      <c r="Z165" s="13">
        <v>0</v>
      </c>
      <c r="AA165" s="13">
        <v>1</v>
      </c>
      <c r="AB165" s="13">
        <v>0</v>
      </c>
    </row>
    <row r="166" spans="1:28" ht="13" x14ac:dyDescent="0.3">
      <c r="A166" s="13">
        <v>50</v>
      </c>
      <c r="B166" s="13">
        <v>0</v>
      </c>
      <c r="C166" s="13">
        <v>0</v>
      </c>
      <c r="D166" s="13">
        <v>1</v>
      </c>
      <c r="E166" s="13">
        <v>204</v>
      </c>
      <c r="F166" s="13">
        <f>ROUND(Source!R152,O166)</f>
        <v>12.56</v>
      </c>
      <c r="G166" s="13" t="s">
        <v>116</v>
      </c>
      <c r="H166" s="13" t="s">
        <v>117</v>
      </c>
      <c r="I166" s="13"/>
      <c r="J166" s="13"/>
      <c r="K166" s="13">
        <v>204</v>
      </c>
      <c r="L166" s="13">
        <v>13</v>
      </c>
      <c r="M166" s="13">
        <v>3</v>
      </c>
      <c r="N166" s="13" t="s">
        <v>3</v>
      </c>
      <c r="O166" s="13">
        <v>2</v>
      </c>
      <c r="P166" s="13">
        <f>ROUND(Source!DJ152,O166)</f>
        <v>707.76</v>
      </c>
      <c r="Q166" s="13"/>
      <c r="R166" s="13"/>
      <c r="S166" s="13"/>
      <c r="T166" s="13"/>
      <c r="U166" s="13"/>
      <c r="V166" s="13"/>
      <c r="W166" s="13">
        <v>12.56</v>
      </c>
      <c r="X166" s="13">
        <v>1</v>
      </c>
      <c r="Y166" s="13">
        <v>12.56</v>
      </c>
      <c r="Z166" s="13">
        <v>707.76</v>
      </c>
      <c r="AA166" s="13">
        <v>1</v>
      </c>
      <c r="AB166" s="13">
        <v>707.76</v>
      </c>
    </row>
    <row r="167" spans="1:28" ht="13" x14ac:dyDescent="0.3">
      <c r="A167" s="13">
        <v>50</v>
      </c>
      <c r="B167" s="13">
        <v>0</v>
      </c>
      <c r="C167" s="13">
        <v>0</v>
      </c>
      <c r="D167" s="13">
        <v>1</v>
      </c>
      <c r="E167" s="13">
        <v>205</v>
      </c>
      <c r="F167" s="13">
        <f>ROUND(Source!S152,O167)</f>
        <v>704.57</v>
      </c>
      <c r="G167" s="13" t="s">
        <v>118</v>
      </c>
      <c r="H167" s="13" t="s">
        <v>119</v>
      </c>
      <c r="I167" s="13"/>
      <c r="J167" s="13"/>
      <c r="K167" s="13">
        <v>205</v>
      </c>
      <c r="L167" s="13">
        <v>14</v>
      </c>
      <c r="M167" s="13">
        <v>3</v>
      </c>
      <c r="N167" s="13" t="s">
        <v>3</v>
      </c>
      <c r="O167" s="13">
        <v>2</v>
      </c>
      <c r="P167" s="13">
        <f>ROUND(Source!DK152,O167)</f>
        <v>39702.53</v>
      </c>
      <c r="Q167" s="13"/>
      <c r="R167" s="13"/>
      <c r="S167" s="13"/>
      <c r="T167" s="13"/>
      <c r="U167" s="13"/>
      <c r="V167" s="13"/>
      <c r="W167" s="13">
        <v>704.57</v>
      </c>
      <c r="X167" s="13">
        <v>1</v>
      </c>
      <c r="Y167" s="13">
        <v>704.57</v>
      </c>
      <c r="Z167" s="13">
        <v>39702.53</v>
      </c>
      <c r="AA167" s="13">
        <v>1</v>
      </c>
      <c r="AB167" s="13">
        <v>39702.53</v>
      </c>
    </row>
    <row r="168" spans="1:28" ht="13" x14ac:dyDescent="0.3">
      <c r="A168" s="13">
        <v>50</v>
      </c>
      <c r="B168" s="13">
        <v>0</v>
      </c>
      <c r="C168" s="13">
        <v>0</v>
      </c>
      <c r="D168" s="13">
        <v>1</v>
      </c>
      <c r="E168" s="13">
        <v>232</v>
      </c>
      <c r="F168" s="13">
        <f>ROUND(Source!BC152,O168)</f>
        <v>0</v>
      </c>
      <c r="G168" s="13" t="s">
        <v>120</v>
      </c>
      <c r="H168" s="13" t="s">
        <v>121</v>
      </c>
      <c r="I168" s="13"/>
      <c r="J168" s="13"/>
      <c r="K168" s="13">
        <v>232</v>
      </c>
      <c r="L168" s="13">
        <v>15</v>
      </c>
      <c r="M168" s="13">
        <v>3</v>
      </c>
      <c r="N168" s="13" t="s">
        <v>3</v>
      </c>
      <c r="O168" s="13">
        <v>2</v>
      </c>
      <c r="P168" s="13">
        <f>ROUND(Source!EU152,O168)</f>
        <v>0</v>
      </c>
      <c r="Q168" s="13"/>
      <c r="R168" s="13"/>
      <c r="S168" s="13"/>
      <c r="T168" s="13"/>
      <c r="U168" s="13"/>
      <c r="V168" s="13"/>
      <c r="W168" s="13">
        <v>0</v>
      </c>
      <c r="X168" s="13">
        <v>1</v>
      </c>
      <c r="Y168" s="13">
        <v>0</v>
      </c>
      <c r="Z168" s="13">
        <v>0</v>
      </c>
      <c r="AA168" s="13">
        <v>1</v>
      </c>
      <c r="AB168" s="13">
        <v>0</v>
      </c>
    </row>
    <row r="169" spans="1:28" ht="13" x14ac:dyDescent="0.3">
      <c r="A169" s="13">
        <v>50</v>
      </c>
      <c r="B169" s="13">
        <v>0</v>
      </c>
      <c r="C169" s="13">
        <v>0</v>
      </c>
      <c r="D169" s="13">
        <v>1</v>
      </c>
      <c r="E169" s="13">
        <v>214</v>
      </c>
      <c r="F169" s="13">
        <f>ROUND(Source!AS152,O169)</f>
        <v>0</v>
      </c>
      <c r="G169" s="13" t="s">
        <v>122</v>
      </c>
      <c r="H169" s="13" t="s">
        <v>123</v>
      </c>
      <c r="I169" s="13"/>
      <c r="J169" s="13"/>
      <c r="K169" s="13">
        <v>214</v>
      </c>
      <c r="L169" s="13">
        <v>16</v>
      </c>
      <c r="M169" s="13">
        <v>3</v>
      </c>
      <c r="N169" s="13" t="s">
        <v>3</v>
      </c>
      <c r="O169" s="13">
        <v>2</v>
      </c>
      <c r="P169" s="13">
        <f>ROUND(Source!EK152,O169)</f>
        <v>0</v>
      </c>
      <c r="Q169" s="13"/>
      <c r="R169" s="13"/>
      <c r="S169" s="13"/>
      <c r="T169" s="13"/>
      <c r="U169" s="13"/>
      <c r="V169" s="13"/>
      <c r="W169" s="13">
        <v>0</v>
      </c>
      <c r="X169" s="13">
        <v>1</v>
      </c>
      <c r="Y169" s="13">
        <v>0</v>
      </c>
      <c r="Z169" s="13">
        <v>0</v>
      </c>
      <c r="AA169" s="13">
        <v>1</v>
      </c>
      <c r="AB169" s="13">
        <v>0</v>
      </c>
    </row>
    <row r="170" spans="1:28" ht="13" x14ac:dyDescent="0.3">
      <c r="A170" s="13">
        <v>50</v>
      </c>
      <c r="B170" s="13">
        <v>0</v>
      </c>
      <c r="C170" s="13">
        <v>0</v>
      </c>
      <c r="D170" s="13">
        <v>1</v>
      </c>
      <c r="E170" s="13">
        <v>215</v>
      </c>
      <c r="F170" s="13">
        <f>ROUND(Source!AT152,O170)</f>
        <v>1849.12</v>
      </c>
      <c r="G170" s="13" t="s">
        <v>124</v>
      </c>
      <c r="H170" s="13" t="s">
        <v>125</v>
      </c>
      <c r="I170" s="13"/>
      <c r="J170" s="13"/>
      <c r="K170" s="13">
        <v>215</v>
      </c>
      <c r="L170" s="13">
        <v>17</v>
      </c>
      <c r="M170" s="13">
        <v>3</v>
      </c>
      <c r="N170" s="13" t="s">
        <v>3</v>
      </c>
      <c r="O170" s="13">
        <v>2</v>
      </c>
      <c r="P170" s="13">
        <f>ROUND(Source!EL152,O170)</f>
        <v>97077.32</v>
      </c>
      <c r="Q170" s="13"/>
      <c r="R170" s="13"/>
      <c r="S170" s="13"/>
      <c r="T170" s="13"/>
      <c r="U170" s="13"/>
      <c r="V170" s="13"/>
      <c r="W170" s="13">
        <v>1849.12</v>
      </c>
      <c r="X170" s="13">
        <v>1</v>
      </c>
      <c r="Y170" s="13">
        <v>1849.12</v>
      </c>
      <c r="Z170" s="13">
        <v>97077.32</v>
      </c>
      <c r="AA170" s="13">
        <v>1</v>
      </c>
      <c r="AB170" s="13">
        <v>97077.32</v>
      </c>
    </row>
    <row r="171" spans="1:28" ht="13" x14ac:dyDescent="0.3">
      <c r="A171" s="13">
        <v>50</v>
      </c>
      <c r="B171" s="13">
        <v>0</v>
      </c>
      <c r="C171" s="13">
        <v>0</v>
      </c>
      <c r="D171" s="13">
        <v>1</v>
      </c>
      <c r="E171" s="13">
        <v>217</v>
      </c>
      <c r="F171" s="13">
        <f>ROUND(Source!AU152,O171)</f>
        <v>0</v>
      </c>
      <c r="G171" s="13" t="s">
        <v>126</v>
      </c>
      <c r="H171" s="13" t="s">
        <v>127</v>
      </c>
      <c r="I171" s="13"/>
      <c r="J171" s="13"/>
      <c r="K171" s="13">
        <v>217</v>
      </c>
      <c r="L171" s="13">
        <v>18</v>
      </c>
      <c r="M171" s="13">
        <v>3</v>
      </c>
      <c r="N171" s="13" t="s">
        <v>3</v>
      </c>
      <c r="O171" s="13">
        <v>2</v>
      </c>
      <c r="P171" s="13">
        <f>ROUND(Source!EM152,O171)</f>
        <v>0</v>
      </c>
      <c r="Q171" s="13"/>
      <c r="R171" s="13"/>
      <c r="S171" s="13"/>
      <c r="T171" s="13"/>
      <c r="U171" s="13"/>
      <c r="V171" s="13"/>
      <c r="W171" s="13">
        <v>0</v>
      </c>
      <c r="X171" s="13">
        <v>1</v>
      </c>
      <c r="Y171" s="13">
        <v>0</v>
      </c>
      <c r="Z171" s="13">
        <v>0</v>
      </c>
      <c r="AA171" s="13">
        <v>1</v>
      </c>
      <c r="AB171" s="13">
        <v>0</v>
      </c>
    </row>
    <row r="172" spans="1:28" ht="13" x14ac:dyDescent="0.3">
      <c r="A172" s="13">
        <v>50</v>
      </c>
      <c r="B172" s="13">
        <v>0</v>
      </c>
      <c r="C172" s="13">
        <v>0</v>
      </c>
      <c r="D172" s="13">
        <v>1</v>
      </c>
      <c r="E172" s="13">
        <v>230</v>
      </c>
      <c r="F172" s="13">
        <f>ROUND(Source!BA152,O172)</f>
        <v>0</v>
      </c>
      <c r="G172" s="13" t="s">
        <v>128</v>
      </c>
      <c r="H172" s="13" t="s">
        <v>129</v>
      </c>
      <c r="I172" s="13"/>
      <c r="J172" s="13"/>
      <c r="K172" s="13">
        <v>230</v>
      </c>
      <c r="L172" s="13">
        <v>19</v>
      </c>
      <c r="M172" s="13">
        <v>3</v>
      </c>
      <c r="N172" s="13" t="s">
        <v>3</v>
      </c>
      <c r="O172" s="13">
        <v>2</v>
      </c>
      <c r="P172" s="13">
        <f>ROUND(Source!ES152,O172)</f>
        <v>0</v>
      </c>
      <c r="Q172" s="13"/>
      <c r="R172" s="13"/>
      <c r="S172" s="13"/>
      <c r="T172" s="13"/>
      <c r="U172" s="13"/>
      <c r="V172" s="13"/>
      <c r="W172" s="13">
        <v>0</v>
      </c>
      <c r="X172" s="13">
        <v>1</v>
      </c>
      <c r="Y172" s="13">
        <v>0</v>
      </c>
      <c r="Z172" s="13">
        <v>0</v>
      </c>
      <c r="AA172" s="13">
        <v>1</v>
      </c>
      <c r="AB172" s="13">
        <v>0</v>
      </c>
    </row>
    <row r="173" spans="1:28" ht="13" x14ac:dyDescent="0.3">
      <c r="A173" s="13">
        <v>50</v>
      </c>
      <c r="B173" s="13">
        <v>0</v>
      </c>
      <c r="C173" s="13">
        <v>0</v>
      </c>
      <c r="D173" s="13">
        <v>1</v>
      </c>
      <c r="E173" s="13">
        <v>206</v>
      </c>
      <c r="F173" s="13">
        <f>ROUND(Source!T152,O173)</f>
        <v>0</v>
      </c>
      <c r="G173" s="13" t="s">
        <v>130</v>
      </c>
      <c r="H173" s="13" t="s">
        <v>131</v>
      </c>
      <c r="I173" s="13"/>
      <c r="J173" s="13"/>
      <c r="K173" s="13">
        <v>206</v>
      </c>
      <c r="L173" s="13">
        <v>20</v>
      </c>
      <c r="M173" s="13">
        <v>3</v>
      </c>
      <c r="N173" s="13" t="s">
        <v>3</v>
      </c>
      <c r="O173" s="13">
        <v>2</v>
      </c>
      <c r="P173" s="13">
        <f>ROUND(Source!DL152,O173)</f>
        <v>0</v>
      </c>
      <c r="Q173" s="13"/>
      <c r="R173" s="13"/>
      <c r="S173" s="13"/>
      <c r="T173" s="13"/>
      <c r="U173" s="13"/>
      <c r="V173" s="13"/>
      <c r="W173" s="13">
        <v>0</v>
      </c>
      <c r="X173" s="13">
        <v>1</v>
      </c>
      <c r="Y173" s="13">
        <v>0</v>
      </c>
      <c r="Z173" s="13">
        <v>0</v>
      </c>
      <c r="AA173" s="13">
        <v>1</v>
      </c>
      <c r="AB173" s="13">
        <v>0</v>
      </c>
    </row>
    <row r="174" spans="1:28" ht="13" x14ac:dyDescent="0.3">
      <c r="A174" s="13">
        <v>50</v>
      </c>
      <c r="B174" s="13">
        <v>0</v>
      </c>
      <c r="C174" s="13">
        <v>0</v>
      </c>
      <c r="D174" s="13">
        <v>1</v>
      </c>
      <c r="E174" s="13">
        <v>207</v>
      </c>
      <c r="F174" s="13">
        <f>Source!U152</f>
        <v>55.83441599999999</v>
      </c>
      <c r="G174" s="13" t="s">
        <v>132</v>
      </c>
      <c r="H174" s="13" t="s">
        <v>133</v>
      </c>
      <c r="I174" s="13"/>
      <c r="J174" s="13"/>
      <c r="K174" s="13">
        <v>207</v>
      </c>
      <c r="L174" s="13">
        <v>21</v>
      </c>
      <c r="M174" s="13">
        <v>3</v>
      </c>
      <c r="N174" s="13" t="s">
        <v>3</v>
      </c>
      <c r="O174" s="13">
        <v>-1</v>
      </c>
      <c r="P174" s="13">
        <f>Source!DM152</f>
        <v>55.83441599999999</v>
      </c>
      <c r="Q174" s="13"/>
      <c r="R174" s="13"/>
      <c r="S174" s="13"/>
      <c r="T174" s="13"/>
      <c r="U174" s="13"/>
      <c r="V174" s="13"/>
      <c r="W174" s="13">
        <v>55.83441599999999</v>
      </c>
      <c r="X174" s="13">
        <v>1</v>
      </c>
      <c r="Y174" s="13">
        <v>55.83441599999999</v>
      </c>
      <c r="Z174" s="13">
        <v>55.83441599999999</v>
      </c>
      <c r="AA174" s="13">
        <v>1</v>
      </c>
      <c r="AB174" s="13">
        <v>55.83441599999999</v>
      </c>
    </row>
    <row r="175" spans="1:28" ht="13" x14ac:dyDescent="0.3">
      <c r="A175" s="13">
        <v>50</v>
      </c>
      <c r="B175" s="13">
        <v>0</v>
      </c>
      <c r="C175" s="13">
        <v>0</v>
      </c>
      <c r="D175" s="13">
        <v>1</v>
      </c>
      <c r="E175" s="13">
        <v>208</v>
      </c>
      <c r="F175" s="13">
        <f>Source!V152</f>
        <v>0</v>
      </c>
      <c r="G175" s="13" t="s">
        <v>134</v>
      </c>
      <c r="H175" s="13" t="s">
        <v>135</v>
      </c>
      <c r="I175" s="13"/>
      <c r="J175" s="13"/>
      <c r="K175" s="13">
        <v>208</v>
      </c>
      <c r="L175" s="13">
        <v>22</v>
      </c>
      <c r="M175" s="13">
        <v>3</v>
      </c>
      <c r="N175" s="13" t="s">
        <v>3</v>
      </c>
      <c r="O175" s="13">
        <v>-1</v>
      </c>
      <c r="P175" s="13">
        <f>Source!DN152</f>
        <v>0</v>
      </c>
      <c r="Q175" s="13"/>
      <c r="R175" s="13"/>
      <c r="S175" s="13"/>
      <c r="T175" s="13"/>
      <c r="U175" s="13"/>
      <c r="V175" s="13"/>
      <c r="W175" s="13">
        <v>0</v>
      </c>
      <c r="X175" s="13">
        <v>1</v>
      </c>
      <c r="Y175" s="13">
        <v>0</v>
      </c>
      <c r="Z175" s="13">
        <v>0</v>
      </c>
      <c r="AA175" s="13">
        <v>1</v>
      </c>
      <c r="AB175" s="13">
        <v>0</v>
      </c>
    </row>
    <row r="176" spans="1:28" ht="13" x14ac:dyDescent="0.3">
      <c r="A176" s="13">
        <v>50</v>
      </c>
      <c r="B176" s="13">
        <v>0</v>
      </c>
      <c r="C176" s="13">
        <v>0</v>
      </c>
      <c r="D176" s="13">
        <v>1</v>
      </c>
      <c r="E176" s="13">
        <v>209</v>
      </c>
      <c r="F176" s="13">
        <f>ROUND(Source!W152,O176)</f>
        <v>0</v>
      </c>
      <c r="G176" s="13" t="s">
        <v>136</v>
      </c>
      <c r="H176" s="13" t="s">
        <v>137</v>
      </c>
      <c r="I176" s="13"/>
      <c r="J176" s="13"/>
      <c r="K176" s="13">
        <v>209</v>
      </c>
      <c r="L176" s="13">
        <v>23</v>
      </c>
      <c r="M176" s="13">
        <v>3</v>
      </c>
      <c r="N176" s="13" t="s">
        <v>3</v>
      </c>
      <c r="O176" s="13">
        <v>2</v>
      </c>
      <c r="P176" s="13">
        <f>ROUND(Source!DO152,O176)</f>
        <v>0</v>
      </c>
      <c r="Q176" s="13"/>
      <c r="R176" s="13"/>
      <c r="S176" s="13"/>
      <c r="T176" s="13"/>
      <c r="U176" s="13"/>
      <c r="V176" s="13"/>
      <c r="W176" s="13">
        <v>0</v>
      </c>
      <c r="X176" s="13">
        <v>1</v>
      </c>
      <c r="Y176" s="13">
        <v>0</v>
      </c>
      <c r="Z176" s="13">
        <v>0</v>
      </c>
      <c r="AA176" s="13">
        <v>1</v>
      </c>
      <c r="AB176" s="13">
        <v>0</v>
      </c>
    </row>
    <row r="177" spans="1:255" ht="13" x14ac:dyDescent="0.3">
      <c r="A177" s="13">
        <v>50</v>
      </c>
      <c r="B177" s="13">
        <v>0</v>
      </c>
      <c r="C177" s="13">
        <v>0</v>
      </c>
      <c r="D177" s="13">
        <v>1</v>
      </c>
      <c r="E177" s="13">
        <v>233</v>
      </c>
      <c r="F177" s="13">
        <f>ROUND(Source!BD152,O177)</f>
        <v>0</v>
      </c>
      <c r="G177" s="13" t="s">
        <v>138</v>
      </c>
      <c r="H177" s="13" t="s">
        <v>139</v>
      </c>
      <c r="I177" s="13"/>
      <c r="J177" s="13"/>
      <c r="K177" s="13">
        <v>233</v>
      </c>
      <c r="L177" s="13">
        <v>24</v>
      </c>
      <c r="M177" s="13">
        <v>3</v>
      </c>
      <c r="N177" s="13" t="s">
        <v>3</v>
      </c>
      <c r="O177" s="13">
        <v>2</v>
      </c>
      <c r="P177" s="13">
        <f>ROUND(Source!EV152,O177)</f>
        <v>0</v>
      </c>
      <c r="Q177" s="13"/>
      <c r="R177" s="13"/>
      <c r="S177" s="13"/>
      <c r="T177" s="13"/>
      <c r="U177" s="13"/>
      <c r="V177" s="13"/>
      <c r="W177" s="13">
        <v>0</v>
      </c>
      <c r="X177" s="13">
        <v>1</v>
      </c>
      <c r="Y177" s="13">
        <v>0</v>
      </c>
      <c r="Z177" s="13">
        <v>0</v>
      </c>
      <c r="AA177" s="13">
        <v>1</v>
      </c>
      <c r="AB177" s="13">
        <v>0</v>
      </c>
    </row>
    <row r="178" spans="1:255" ht="13" x14ac:dyDescent="0.3">
      <c r="A178" s="13">
        <v>50</v>
      </c>
      <c r="B178" s="13">
        <v>0</v>
      </c>
      <c r="C178" s="13">
        <v>0</v>
      </c>
      <c r="D178" s="13">
        <v>1</v>
      </c>
      <c r="E178" s="13">
        <v>210</v>
      </c>
      <c r="F178" s="13">
        <f>ROUND(Source!X152,O178)</f>
        <v>645.41999999999996</v>
      </c>
      <c r="G178" s="13" t="s">
        <v>140</v>
      </c>
      <c r="H178" s="13" t="s">
        <v>141</v>
      </c>
      <c r="I178" s="13"/>
      <c r="J178" s="13"/>
      <c r="K178" s="13">
        <v>210</v>
      </c>
      <c r="L178" s="13">
        <v>25</v>
      </c>
      <c r="M178" s="13">
        <v>3</v>
      </c>
      <c r="N178" s="13" t="s">
        <v>3</v>
      </c>
      <c r="O178" s="13">
        <v>2</v>
      </c>
      <c r="P178" s="13">
        <f>ROUND(Source!DP152,O178)</f>
        <v>36369.26</v>
      </c>
      <c r="Q178" s="13"/>
      <c r="R178" s="13"/>
      <c r="S178" s="13"/>
      <c r="T178" s="13"/>
      <c r="U178" s="13"/>
      <c r="V178" s="13"/>
      <c r="W178" s="13">
        <v>645.41999999999996</v>
      </c>
      <c r="X178" s="13">
        <v>1</v>
      </c>
      <c r="Y178" s="13">
        <v>645.41999999999996</v>
      </c>
      <c r="Z178" s="13">
        <v>36369.26</v>
      </c>
      <c r="AA178" s="13">
        <v>1</v>
      </c>
      <c r="AB178" s="13">
        <v>36369.26</v>
      </c>
    </row>
    <row r="179" spans="1:255" ht="13" x14ac:dyDescent="0.3">
      <c r="A179" s="13">
        <v>50</v>
      </c>
      <c r="B179" s="13">
        <v>0</v>
      </c>
      <c r="C179" s="13">
        <v>0</v>
      </c>
      <c r="D179" s="13">
        <v>1</v>
      </c>
      <c r="E179" s="13">
        <v>211</v>
      </c>
      <c r="F179" s="13">
        <f>ROUND(Source!Y152,O179)</f>
        <v>329.87</v>
      </c>
      <c r="G179" s="13" t="s">
        <v>142</v>
      </c>
      <c r="H179" s="13" t="s">
        <v>143</v>
      </c>
      <c r="I179" s="13"/>
      <c r="J179" s="13"/>
      <c r="K179" s="13">
        <v>211</v>
      </c>
      <c r="L179" s="13">
        <v>26</v>
      </c>
      <c r="M179" s="13">
        <v>3</v>
      </c>
      <c r="N179" s="13" t="s">
        <v>3</v>
      </c>
      <c r="O179" s="13">
        <v>2</v>
      </c>
      <c r="P179" s="13">
        <f>ROUND(Source!DQ152,O179)</f>
        <v>18588.73</v>
      </c>
      <c r="Q179" s="13"/>
      <c r="R179" s="13"/>
      <c r="S179" s="13"/>
      <c r="T179" s="13"/>
      <c r="U179" s="13"/>
      <c r="V179" s="13"/>
      <c r="W179" s="13">
        <v>329.87</v>
      </c>
      <c r="X179" s="13">
        <v>1</v>
      </c>
      <c r="Y179" s="13">
        <v>329.87</v>
      </c>
      <c r="Z179" s="13">
        <v>18588.73</v>
      </c>
      <c r="AA179" s="13">
        <v>1</v>
      </c>
      <c r="AB179" s="13">
        <v>18588.73</v>
      </c>
    </row>
    <row r="180" spans="1:255" ht="13" x14ac:dyDescent="0.3">
      <c r="A180" s="13">
        <v>50</v>
      </c>
      <c r="B180" s="13">
        <v>0</v>
      </c>
      <c r="C180" s="13">
        <v>0</v>
      </c>
      <c r="D180" s="13">
        <v>1</v>
      </c>
      <c r="E180" s="13">
        <v>224</v>
      </c>
      <c r="F180" s="13">
        <f>ROUND(Source!AR152,O180)</f>
        <v>110168.33</v>
      </c>
      <c r="G180" s="13" t="s">
        <v>144</v>
      </c>
      <c r="H180" s="13" t="s">
        <v>145</v>
      </c>
      <c r="I180" s="13"/>
      <c r="J180" s="13"/>
      <c r="K180" s="13">
        <v>224</v>
      </c>
      <c r="L180" s="13">
        <v>27</v>
      </c>
      <c r="M180" s="13">
        <v>3</v>
      </c>
      <c r="N180" s="13" t="s">
        <v>3</v>
      </c>
      <c r="O180" s="13">
        <v>2</v>
      </c>
      <c r="P180" s="13">
        <f>ROUND(Source!EJ152,O180)</f>
        <v>917053.75</v>
      </c>
      <c r="Q180" s="13"/>
      <c r="R180" s="13"/>
      <c r="S180" s="13"/>
      <c r="T180" s="13"/>
      <c r="U180" s="13"/>
      <c r="V180" s="13"/>
      <c r="W180" s="13">
        <v>110168.33</v>
      </c>
      <c r="X180" s="13">
        <v>1</v>
      </c>
      <c r="Y180" s="13">
        <v>110168.33</v>
      </c>
      <c r="Z180" s="13">
        <v>917053.75</v>
      </c>
      <c r="AA180" s="13">
        <v>1</v>
      </c>
      <c r="AB180" s="13">
        <v>917053.75</v>
      </c>
    </row>
    <row r="182" spans="1:255" ht="13" x14ac:dyDescent="0.3">
      <c r="A182" s="10">
        <v>4</v>
      </c>
      <c r="B182" s="10">
        <v>1</v>
      </c>
      <c r="C182" s="10"/>
      <c r="D182" s="10">
        <f>ROW(A233)</f>
        <v>233</v>
      </c>
      <c r="E182" s="10"/>
      <c r="F182" s="10" t="s">
        <v>35</v>
      </c>
      <c r="G182" s="10" t="s">
        <v>242</v>
      </c>
      <c r="H182" s="10" t="s">
        <v>3</v>
      </c>
      <c r="I182" s="10">
        <v>0</v>
      </c>
      <c r="J182" s="10"/>
      <c r="K182" s="10">
        <v>-1</v>
      </c>
      <c r="L182" s="10"/>
      <c r="M182" s="10" t="s">
        <v>3</v>
      </c>
      <c r="N182" s="10"/>
      <c r="O182" s="10"/>
      <c r="P182" s="10"/>
      <c r="Q182" s="10"/>
      <c r="R182" s="10"/>
      <c r="S182" s="10">
        <v>0</v>
      </c>
      <c r="T182" s="10">
        <v>0</v>
      </c>
      <c r="U182" s="10" t="s">
        <v>3</v>
      </c>
      <c r="V182" s="10">
        <v>2</v>
      </c>
      <c r="W182" s="10"/>
      <c r="X182" s="10"/>
      <c r="Y182" s="10"/>
      <c r="Z182" s="10"/>
      <c r="AA182" s="10"/>
      <c r="AB182" s="10" t="s">
        <v>3</v>
      </c>
      <c r="AC182" s="10" t="s">
        <v>3</v>
      </c>
      <c r="AD182" s="10" t="s">
        <v>3</v>
      </c>
      <c r="AE182" s="10" t="s">
        <v>3</v>
      </c>
      <c r="AF182" s="10" t="s">
        <v>3</v>
      </c>
      <c r="AG182" s="10" t="s">
        <v>3</v>
      </c>
      <c r="AH182" s="10"/>
      <c r="AI182" s="10"/>
      <c r="AJ182" s="10"/>
      <c r="AK182" s="10"/>
      <c r="AL182" s="10"/>
      <c r="AM182" s="10"/>
      <c r="AN182" s="10"/>
      <c r="AO182" s="10"/>
      <c r="AP182" s="10" t="s">
        <v>3</v>
      </c>
      <c r="AQ182" s="10" t="s">
        <v>3</v>
      </c>
      <c r="AR182" s="10" t="s">
        <v>3</v>
      </c>
      <c r="AS182" s="10"/>
      <c r="AT182" s="10"/>
      <c r="AU182" s="10"/>
      <c r="AV182" s="10"/>
      <c r="AW182" s="10"/>
      <c r="AX182" s="10"/>
      <c r="AY182" s="10"/>
      <c r="AZ182" s="10" t="s">
        <v>3</v>
      </c>
      <c r="BA182" s="10"/>
      <c r="BB182" s="10" t="s">
        <v>3</v>
      </c>
      <c r="BC182" s="10" t="s">
        <v>3</v>
      </c>
      <c r="BD182" s="10" t="s">
        <v>3</v>
      </c>
      <c r="BE182" s="10" t="s">
        <v>3</v>
      </c>
      <c r="BF182" s="10" t="s">
        <v>3</v>
      </c>
      <c r="BG182" s="10" t="s">
        <v>3</v>
      </c>
      <c r="BH182" s="10" t="s">
        <v>3</v>
      </c>
      <c r="BI182" s="10" t="s">
        <v>3</v>
      </c>
      <c r="BJ182" s="10" t="s">
        <v>3</v>
      </c>
      <c r="BK182" s="10" t="s">
        <v>3</v>
      </c>
      <c r="BL182" s="10" t="s">
        <v>3</v>
      </c>
      <c r="BM182" s="10" t="s">
        <v>3</v>
      </c>
      <c r="BN182" s="10" t="s">
        <v>3</v>
      </c>
      <c r="BO182" s="10" t="s">
        <v>3</v>
      </c>
      <c r="BP182" s="10" t="s">
        <v>3</v>
      </c>
      <c r="BQ182" s="10"/>
      <c r="BR182" s="10"/>
      <c r="BS182" s="10"/>
      <c r="BT182" s="10"/>
      <c r="BU182" s="10"/>
      <c r="BV182" s="10"/>
      <c r="BW182" s="10"/>
      <c r="BX182" s="10">
        <v>0</v>
      </c>
      <c r="BY182" s="10"/>
      <c r="BZ182" s="10"/>
      <c r="CA182" s="10"/>
      <c r="CB182" s="10"/>
      <c r="CC182" s="10"/>
      <c r="CD182" s="10"/>
      <c r="CE182" s="10"/>
      <c r="CF182" s="10"/>
      <c r="CG182" s="10"/>
      <c r="CH182" s="10"/>
      <c r="CI182" s="10"/>
      <c r="CJ182" s="10">
        <v>0</v>
      </c>
    </row>
    <row r="184" spans="1:255" ht="13" x14ac:dyDescent="0.3">
      <c r="A184" s="11">
        <v>52</v>
      </c>
      <c r="B184" s="11">
        <f t="shared" ref="B184:G184" si="152">B233</f>
        <v>1</v>
      </c>
      <c r="C184" s="11">
        <f t="shared" si="152"/>
        <v>4</v>
      </c>
      <c r="D184" s="11">
        <f t="shared" si="152"/>
        <v>182</v>
      </c>
      <c r="E184" s="11">
        <f t="shared" si="152"/>
        <v>0</v>
      </c>
      <c r="F184" s="11" t="str">
        <f t="shared" si="152"/>
        <v>2</v>
      </c>
      <c r="G184" s="11" t="str">
        <f t="shared" si="152"/>
        <v>Оборудование устанавливаемое по месту</v>
      </c>
      <c r="H184" s="11"/>
      <c r="I184" s="11"/>
      <c r="J184" s="11"/>
      <c r="K184" s="11"/>
      <c r="L184" s="11"/>
      <c r="M184" s="11"/>
      <c r="N184" s="11"/>
      <c r="O184" s="11">
        <f t="shared" ref="O184:AT184" si="153">O233</f>
        <v>88060.86</v>
      </c>
      <c r="P184" s="11">
        <f t="shared" si="153"/>
        <v>80597.899999999994</v>
      </c>
      <c r="Q184" s="11">
        <f t="shared" si="153"/>
        <v>120.49</v>
      </c>
      <c r="R184" s="11">
        <f t="shared" si="153"/>
        <v>16.84</v>
      </c>
      <c r="S184" s="11">
        <f t="shared" si="153"/>
        <v>7342.47</v>
      </c>
      <c r="T184" s="11">
        <f t="shared" si="153"/>
        <v>0</v>
      </c>
      <c r="U184" s="11">
        <f t="shared" si="153"/>
        <v>604.23215976000006</v>
      </c>
      <c r="V184" s="11">
        <f t="shared" si="153"/>
        <v>0</v>
      </c>
      <c r="W184" s="11">
        <f t="shared" si="153"/>
        <v>0</v>
      </c>
      <c r="X184" s="11">
        <f t="shared" si="153"/>
        <v>7001.08</v>
      </c>
      <c r="Y184" s="11">
        <f t="shared" si="153"/>
        <v>3845.58</v>
      </c>
      <c r="Z184" s="11">
        <f t="shared" si="153"/>
        <v>0</v>
      </c>
      <c r="AA184" s="11">
        <f t="shared" si="153"/>
        <v>0</v>
      </c>
      <c r="AB184" s="11">
        <f t="shared" si="153"/>
        <v>88060.86</v>
      </c>
      <c r="AC184" s="11">
        <f t="shared" si="153"/>
        <v>80597.899999999994</v>
      </c>
      <c r="AD184" s="11">
        <f t="shared" si="153"/>
        <v>120.49</v>
      </c>
      <c r="AE184" s="11">
        <f t="shared" si="153"/>
        <v>16.84</v>
      </c>
      <c r="AF184" s="11">
        <f t="shared" si="153"/>
        <v>7342.47</v>
      </c>
      <c r="AG184" s="11">
        <f t="shared" si="153"/>
        <v>0</v>
      </c>
      <c r="AH184" s="11">
        <f t="shared" si="153"/>
        <v>604.23215976000006</v>
      </c>
      <c r="AI184" s="11">
        <f t="shared" si="153"/>
        <v>0</v>
      </c>
      <c r="AJ184" s="11">
        <f t="shared" si="153"/>
        <v>0</v>
      </c>
      <c r="AK184" s="11">
        <f t="shared" si="153"/>
        <v>7001.08</v>
      </c>
      <c r="AL184" s="11">
        <f t="shared" si="153"/>
        <v>3845.58</v>
      </c>
      <c r="AM184" s="11">
        <f t="shared" si="153"/>
        <v>0</v>
      </c>
      <c r="AN184" s="11">
        <f t="shared" si="153"/>
        <v>0</v>
      </c>
      <c r="AO184" s="11">
        <f t="shared" si="153"/>
        <v>0</v>
      </c>
      <c r="AP184" s="11">
        <f t="shared" si="153"/>
        <v>68194.75</v>
      </c>
      <c r="AQ184" s="11">
        <f t="shared" si="153"/>
        <v>0</v>
      </c>
      <c r="AR184" s="11">
        <f t="shared" si="153"/>
        <v>98907.520000000004</v>
      </c>
      <c r="AS184" s="11">
        <f t="shared" si="153"/>
        <v>0</v>
      </c>
      <c r="AT184" s="11">
        <f t="shared" si="153"/>
        <v>30712.77</v>
      </c>
      <c r="AU184" s="11">
        <f t="shared" ref="AU184:BZ184" si="154">AU233</f>
        <v>0</v>
      </c>
      <c r="AV184" s="11">
        <f t="shared" si="154"/>
        <v>80597.899999999994</v>
      </c>
      <c r="AW184" s="11">
        <f t="shared" si="154"/>
        <v>12403.15</v>
      </c>
      <c r="AX184" s="11">
        <f t="shared" si="154"/>
        <v>0</v>
      </c>
      <c r="AY184" s="11">
        <f t="shared" si="154"/>
        <v>12403.15</v>
      </c>
      <c r="AZ184" s="11">
        <f t="shared" si="154"/>
        <v>68194.75</v>
      </c>
      <c r="BA184" s="11">
        <f t="shared" si="154"/>
        <v>0</v>
      </c>
      <c r="BB184" s="11">
        <f t="shared" si="154"/>
        <v>0</v>
      </c>
      <c r="BC184" s="11">
        <f t="shared" si="154"/>
        <v>0</v>
      </c>
      <c r="BD184" s="11">
        <f t="shared" si="154"/>
        <v>0</v>
      </c>
      <c r="BE184" s="11">
        <f t="shared" si="154"/>
        <v>0</v>
      </c>
      <c r="BF184" s="11">
        <f t="shared" si="154"/>
        <v>0</v>
      </c>
      <c r="BG184" s="11">
        <f t="shared" si="154"/>
        <v>0</v>
      </c>
      <c r="BH184" s="11">
        <f t="shared" si="154"/>
        <v>0</v>
      </c>
      <c r="BI184" s="11">
        <f t="shared" si="154"/>
        <v>0</v>
      </c>
      <c r="BJ184" s="11">
        <f t="shared" si="154"/>
        <v>0</v>
      </c>
      <c r="BK184" s="11">
        <f t="shared" si="154"/>
        <v>0</v>
      </c>
      <c r="BL184" s="11">
        <f t="shared" si="154"/>
        <v>0</v>
      </c>
      <c r="BM184" s="11">
        <f t="shared" si="154"/>
        <v>0</v>
      </c>
      <c r="BN184" s="11">
        <f t="shared" si="154"/>
        <v>0</v>
      </c>
      <c r="BO184" s="11">
        <f t="shared" si="154"/>
        <v>0</v>
      </c>
      <c r="BP184" s="11">
        <f t="shared" si="154"/>
        <v>0</v>
      </c>
      <c r="BQ184" s="11">
        <f t="shared" si="154"/>
        <v>0</v>
      </c>
      <c r="BR184" s="11">
        <f t="shared" si="154"/>
        <v>0</v>
      </c>
      <c r="BS184" s="11">
        <f t="shared" si="154"/>
        <v>0</v>
      </c>
      <c r="BT184" s="11">
        <f t="shared" si="154"/>
        <v>0</v>
      </c>
      <c r="BU184" s="11">
        <f t="shared" si="154"/>
        <v>0</v>
      </c>
      <c r="BV184" s="11">
        <f t="shared" si="154"/>
        <v>0</v>
      </c>
      <c r="BW184" s="11">
        <f t="shared" si="154"/>
        <v>0</v>
      </c>
      <c r="BX184" s="11">
        <f t="shared" si="154"/>
        <v>0</v>
      </c>
      <c r="BY184" s="11">
        <f t="shared" si="154"/>
        <v>68194.75</v>
      </c>
      <c r="BZ184" s="11">
        <f t="shared" si="154"/>
        <v>0</v>
      </c>
      <c r="CA184" s="11">
        <f t="shared" ref="CA184:DF184" si="155">CA233</f>
        <v>98907.520000000004</v>
      </c>
      <c r="CB184" s="11">
        <f t="shared" si="155"/>
        <v>0</v>
      </c>
      <c r="CC184" s="11">
        <f t="shared" si="155"/>
        <v>30712.77</v>
      </c>
      <c r="CD184" s="11">
        <f t="shared" si="155"/>
        <v>0</v>
      </c>
      <c r="CE184" s="11">
        <f t="shared" si="155"/>
        <v>80597.899999999994</v>
      </c>
      <c r="CF184" s="11">
        <f t="shared" si="155"/>
        <v>12403.149999999994</v>
      </c>
      <c r="CG184" s="11">
        <f t="shared" si="155"/>
        <v>0</v>
      </c>
      <c r="CH184" s="11">
        <f t="shared" si="155"/>
        <v>12403.149999999994</v>
      </c>
      <c r="CI184" s="11">
        <f t="shared" si="155"/>
        <v>68194.75</v>
      </c>
      <c r="CJ184" s="11">
        <f t="shared" si="155"/>
        <v>0</v>
      </c>
      <c r="CK184" s="11">
        <f t="shared" si="155"/>
        <v>0</v>
      </c>
      <c r="CL184" s="11">
        <f t="shared" si="155"/>
        <v>0</v>
      </c>
      <c r="CM184" s="11">
        <f t="shared" si="155"/>
        <v>0</v>
      </c>
      <c r="CN184" s="11">
        <f t="shared" si="155"/>
        <v>0</v>
      </c>
      <c r="CO184" s="11">
        <f t="shared" si="155"/>
        <v>0</v>
      </c>
      <c r="CP184" s="11">
        <f t="shared" si="155"/>
        <v>0</v>
      </c>
      <c r="CQ184" s="11">
        <f t="shared" si="155"/>
        <v>0</v>
      </c>
      <c r="CR184" s="11">
        <f t="shared" si="155"/>
        <v>0</v>
      </c>
      <c r="CS184" s="11">
        <f t="shared" si="155"/>
        <v>0</v>
      </c>
      <c r="CT184" s="11">
        <f t="shared" si="155"/>
        <v>0</v>
      </c>
      <c r="CU184" s="11">
        <f t="shared" si="155"/>
        <v>0</v>
      </c>
      <c r="CV184" s="11">
        <f t="shared" si="155"/>
        <v>0</v>
      </c>
      <c r="CW184" s="11">
        <f t="shared" si="155"/>
        <v>0</v>
      </c>
      <c r="CX184" s="11">
        <f t="shared" si="155"/>
        <v>0</v>
      </c>
      <c r="CY184" s="11">
        <f t="shared" si="155"/>
        <v>0</v>
      </c>
      <c r="CZ184" s="11">
        <f t="shared" si="155"/>
        <v>0</v>
      </c>
      <c r="DA184" s="11">
        <f t="shared" si="155"/>
        <v>0</v>
      </c>
      <c r="DB184" s="11">
        <f t="shared" si="155"/>
        <v>0</v>
      </c>
      <c r="DC184" s="11">
        <f t="shared" si="155"/>
        <v>0</v>
      </c>
      <c r="DD184" s="11">
        <f t="shared" si="155"/>
        <v>0</v>
      </c>
      <c r="DE184" s="11">
        <f t="shared" si="155"/>
        <v>0</v>
      </c>
      <c r="DF184" s="11">
        <f t="shared" si="155"/>
        <v>0</v>
      </c>
      <c r="DG184" s="12">
        <f t="shared" ref="DG184:EL184" si="156">DG233</f>
        <v>1444130.49</v>
      </c>
      <c r="DH184" s="12">
        <f t="shared" si="156"/>
        <v>1028400.75</v>
      </c>
      <c r="DI184" s="12">
        <f t="shared" si="156"/>
        <v>1981.55</v>
      </c>
      <c r="DJ184" s="12">
        <f t="shared" si="156"/>
        <v>948.93</v>
      </c>
      <c r="DK184" s="12">
        <f t="shared" si="156"/>
        <v>413748.19</v>
      </c>
      <c r="DL184" s="12">
        <f t="shared" si="156"/>
        <v>0</v>
      </c>
      <c r="DM184" s="12">
        <f t="shared" si="156"/>
        <v>604.23215976000006</v>
      </c>
      <c r="DN184" s="12">
        <f t="shared" si="156"/>
        <v>0</v>
      </c>
      <c r="DO184" s="12">
        <f t="shared" si="156"/>
        <v>0</v>
      </c>
      <c r="DP184" s="12">
        <f t="shared" si="156"/>
        <v>394510.2</v>
      </c>
      <c r="DQ184" s="12">
        <f t="shared" si="156"/>
        <v>216699.08</v>
      </c>
      <c r="DR184" s="12">
        <f t="shared" si="156"/>
        <v>0</v>
      </c>
      <c r="DS184" s="12">
        <f t="shared" si="156"/>
        <v>0</v>
      </c>
      <c r="DT184" s="12">
        <f t="shared" si="156"/>
        <v>1444130.49</v>
      </c>
      <c r="DU184" s="12">
        <f t="shared" si="156"/>
        <v>1028400.75</v>
      </c>
      <c r="DV184" s="12">
        <f t="shared" si="156"/>
        <v>1981.55</v>
      </c>
      <c r="DW184" s="12">
        <f t="shared" si="156"/>
        <v>948.93</v>
      </c>
      <c r="DX184" s="12">
        <f t="shared" si="156"/>
        <v>413748.19</v>
      </c>
      <c r="DY184" s="12">
        <f t="shared" si="156"/>
        <v>0</v>
      </c>
      <c r="DZ184" s="12">
        <f t="shared" si="156"/>
        <v>604.23215976000006</v>
      </c>
      <c r="EA184" s="12">
        <f t="shared" si="156"/>
        <v>0</v>
      </c>
      <c r="EB184" s="12">
        <f t="shared" si="156"/>
        <v>0</v>
      </c>
      <c r="EC184" s="12">
        <f t="shared" si="156"/>
        <v>394510.2</v>
      </c>
      <c r="ED184" s="12">
        <f t="shared" si="156"/>
        <v>216699.08</v>
      </c>
      <c r="EE184" s="12">
        <f t="shared" si="156"/>
        <v>0</v>
      </c>
      <c r="EF184" s="12">
        <f t="shared" si="156"/>
        <v>0</v>
      </c>
      <c r="EG184" s="12">
        <f t="shared" si="156"/>
        <v>0</v>
      </c>
      <c r="EH184" s="12">
        <f t="shared" si="156"/>
        <v>497667.72</v>
      </c>
      <c r="EI184" s="12">
        <f t="shared" si="156"/>
        <v>0</v>
      </c>
      <c r="EJ184" s="12">
        <f t="shared" si="156"/>
        <v>2055339.77</v>
      </c>
      <c r="EK184" s="12">
        <f t="shared" si="156"/>
        <v>0</v>
      </c>
      <c r="EL184" s="12">
        <f t="shared" si="156"/>
        <v>1557672.05</v>
      </c>
      <c r="EM184" s="12">
        <f t="shared" ref="EM184:FR184" si="157">EM233</f>
        <v>0</v>
      </c>
      <c r="EN184" s="12">
        <f t="shared" si="157"/>
        <v>1028400.75</v>
      </c>
      <c r="EO184" s="12">
        <f t="shared" si="157"/>
        <v>530733.03</v>
      </c>
      <c r="EP184" s="12">
        <f t="shared" si="157"/>
        <v>0</v>
      </c>
      <c r="EQ184" s="12">
        <f t="shared" si="157"/>
        <v>530733.03</v>
      </c>
      <c r="ER184" s="12">
        <f t="shared" si="157"/>
        <v>497667.72</v>
      </c>
      <c r="ES184" s="12">
        <f t="shared" si="157"/>
        <v>0</v>
      </c>
      <c r="ET184" s="12">
        <f t="shared" si="157"/>
        <v>0</v>
      </c>
      <c r="EU184" s="12">
        <f t="shared" si="157"/>
        <v>0</v>
      </c>
      <c r="EV184" s="12">
        <f t="shared" si="157"/>
        <v>0</v>
      </c>
      <c r="EW184" s="12">
        <f t="shared" si="157"/>
        <v>0</v>
      </c>
      <c r="EX184" s="12">
        <f t="shared" si="157"/>
        <v>0</v>
      </c>
      <c r="EY184" s="12">
        <f t="shared" si="157"/>
        <v>0</v>
      </c>
      <c r="EZ184" s="12">
        <f t="shared" si="157"/>
        <v>0</v>
      </c>
      <c r="FA184" s="12">
        <f t="shared" si="157"/>
        <v>0</v>
      </c>
      <c r="FB184" s="12">
        <f t="shared" si="157"/>
        <v>0</v>
      </c>
      <c r="FC184" s="12">
        <f t="shared" si="157"/>
        <v>0</v>
      </c>
      <c r="FD184" s="12">
        <f t="shared" si="157"/>
        <v>0</v>
      </c>
      <c r="FE184" s="12">
        <f t="shared" si="157"/>
        <v>0</v>
      </c>
      <c r="FF184" s="12">
        <f t="shared" si="157"/>
        <v>0</v>
      </c>
      <c r="FG184" s="12">
        <f t="shared" si="157"/>
        <v>0</v>
      </c>
      <c r="FH184" s="12">
        <f t="shared" si="157"/>
        <v>0</v>
      </c>
      <c r="FI184" s="12">
        <f t="shared" si="157"/>
        <v>0</v>
      </c>
      <c r="FJ184" s="12">
        <f t="shared" si="157"/>
        <v>0</v>
      </c>
      <c r="FK184" s="12">
        <f t="shared" si="157"/>
        <v>0</v>
      </c>
      <c r="FL184" s="12">
        <f t="shared" si="157"/>
        <v>0</v>
      </c>
      <c r="FM184" s="12">
        <f t="shared" si="157"/>
        <v>0</v>
      </c>
      <c r="FN184" s="12">
        <f t="shared" si="157"/>
        <v>0</v>
      </c>
      <c r="FO184" s="12">
        <f t="shared" si="157"/>
        <v>0</v>
      </c>
      <c r="FP184" s="12">
        <f t="shared" si="157"/>
        <v>0</v>
      </c>
      <c r="FQ184" s="12">
        <f t="shared" si="157"/>
        <v>497667.72</v>
      </c>
      <c r="FR184" s="12">
        <f t="shared" si="157"/>
        <v>0</v>
      </c>
      <c r="FS184" s="12">
        <f t="shared" ref="FS184:GX184" si="158">FS233</f>
        <v>2055339.77</v>
      </c>
      <c r="FT184" s="12">
        <f t="shared" si="158"/>
        <v>0</v>
      </c>
      <c r="FU184" s="12">
        <f t="shared" si="158"/>
        <v>1557672.05</v>
      </c>
      <c r="FV184" s="12">
        <f t="shared" si="158"/>
        <v>0</v>
      </c>
      <c r="FW184" s="12">
        <f t="shared" si="158"/>
        <v>1028400.75</v>
      </c>
      <c r="FX184" s="12">
        <f t="shared" si="158"/>
        <v>530733.03</v>
      </c>
      <c r="FY184" s="12">
        <f t="shared" si="158"/>
        <v>0</v>
      </c>
      <c r="FZ184" s="12">
        <f t="shared" si="158"/>
        <v>530733.03</v>
      </c>
      <c r="GA184" s="12">
        <f t="shared" si="158"/>
        <v>497667.72</v>
      </c>
      <c r="GB184" s="12">
        <f t="shared" si="158"/>
        <v>0</v>
      </c>
      <c r="GC184" s="12">
        <f t="shared" si="158"/>
        <v>0</v>
      </c>
      <c r="GD184" s="12">
        <f t="shared" si="158"/>
        <v>0</v>
      </c>
      <c r="GE184" s="12">
        <f t="shared" si="158"/>
        <v>0</v>
      </c>
      <c r="GF184" s="12">
        <f t="shared" si="158"/>
        <v>0</v>
      </c>
      <c r="GG184" s="12">
        <f t="shared" si="158"/>
        <v>0</v>
      </c>
      <c r="GH184" s="12">
        <f t="shared" si="158"/>
        <v>0</v>
      </c>
      <c r="GI184" s="12">
        <f t="shared" si="158"/>
        <v>0</v>
      </c>
      <c r="GJ184" s="12">
        <f t="shared" si="158"/>
        <v>0</v>
      </c>
      <c r="GK184" s="12">
        <f t="shared" si="158"/>
        <v>0</v>
      </c>
      <c r="GL184" s="12">
        <f t="shared" si="158"/>
        <v>0</v>
      </c>
      <c r="GM184" s="12">
        <f t="shared" si="158"/>
        <v>0</v>
      </c>
      <c r="GN184" s="12">
        <f t="shared" si="158"/>
        <v>0</v>
      </c>
      <c r="GO184" s="12">
        <f t="shared" si="158"/>
        <v>0</v>
      </c>
      <c r="GP184" s="12">
        <f t="shared" si="158"/>
        <v>0</v>
      </c>
      <c r="GQ184" s="12">
        <f t="shared" si="158"/>
        <v>0</v>
      </c>
      <c r="GR184" s="12">
        <f t="shared" si="158"/>
        <v>0</v>
      </c>
      <c r="GS184" s="12">
        <f t="shared" si="158"/>
        <v>0</v>
      </c>
      <c r="GT184" s="12">
        <f t="shared" si="158"/>
        <v>0</v>
      </c>
      <c r="GU184" s="12">
        <f t="shared" si="158"/>
        <v>0</v>
      </c>
      <c r="GV184" s="12">
        <f t="shared" si="158"/>
        <v>0</v>
      </c>
      <c r="GW184" s="12">
        <f t="shared" si="158"/>
        <v>0</v>
      </c>
      <c r="GX184" s="12">
        <f t="shared" si="158"/>
        <v>0</v>
      </c>
    </row>
    <row r="186" spans="1:255" x14ac:dyDescent="0.25">
      <c r="A186" s="2">
        <v>17</v>
      </c>
      <c r="B186" s="2">
        <v>1</v>
      </c>
      <c r="C186" s="2">
        <f>ROW(SmtRes!A194)</f>
        <v>194</v>
      </c>
      <c r="D186" s="2">
        <f>ROW(EtalonRes!A250)</f>
        <v>250</v>
      </c>
      <c r="E186" s="2" t="s">
        <v>243</v>
      </c>
      <c r="F186" s="2" t="s">
        <v>244</v>
      </c>
      <c r="G186" s="2" t="s">
        <v>245</v>
      </c>
      <c r="H186" s="2" t="s">
        <v>64</v>
      </c>
      <c r="I186" s="2">
        <f>ROUND(102/100,9)</f>
        <v>1.02</v>
      </c>
      <c r="J186" s="2">
        <v>0</v>
      </c>
      <c r="K186" s="2">
        <f>ROUND(102/100,9)</f>
        <v>1.02</v>
      </c>
      <c r="L186" s="2"/>
      <c r="M186" s="2"/>
      <c r="N186" s="2"/>
      <c r="O186" s="2">
        <f t="shared" ref="O186:O231" si="159">ROUND(CP186,2)</f>
        <v>1612.08</v>
      </c>
      <c r="P186" s="2">
        <f t="shared" ref="P186:P219" si="160">ROUND((ROUND((AC186*AW186*I186),2)*BC186),2)</f>
        <v>82.99</v>
      </c>
      <c r="Q186" s="2">
        <f>(ROUND((ROUND((((ET186*1.2))*AV186*I186),2)*BB186),2)+ROUND((ROUND(((AE186-((EU186*1.2)))*AV186*I186),2)*BS186),2))</f>
        <v>119.59</v>
      </c>
      <c r="R186" s="2">
        <f>(ROUND((ROUND((((EU186*1.2))*AV186*I186),2)*BS186),2)+ROUND((ROUND(((AE186-((EU186*1.2)))*AV186*I186),2)*BS186),2))</f>
        <v>16.66</v>
      </c>
      <c r="S186" s="2">
        <f t="shared" ref="S186:S231" si="161">ROUND((ROUND((AF186*AV186*I186),2)*BA186),2)</f>
        <v>1409.5</v>
      </c>
      <c r="T186" s="2">
        <f t="shared" ref="T186:T231" si="162">ROUND(CU186*I186,2)</f>
        <v>0</v>
      </c>
      <c r="U186" s="2">
        <f t="shared" ref="U186:U231" si="163">CV186*I186</f>
        <v>108.50697575999999</v>
      </c>
      <c r="V186" s="2">
        <f t="shared" ref="V186:V231" si="164">CW186*I186</f>
        <v>0</v>
      </c>
      <c r="W186" s="2">
        <f t="shared" ref="W186:W231" si="165">ROUND(CX186*I186,2)</f>
        <v>0</v>
      </c>
      <c r="X186" s="2">
        <f>(ROUND((((S186+ROUND((ROUND((((EU186*1.2))*AV186*I186),2)*BS186),2))*AT186)/100),2)+ROUND(((ROUND((ROUND(((AE186-((EU186*1.2)))*AV186*I186),2)*BS186),2)*AT186)/100),2))</f>
        <v>1383.38</v>
      </c>
      <c r="Y186" s="2">
        <f>(ROUND((((S186+ROUND((ROUND((((EU186*1.2))*AV186*I186),2)*BS186),2))*AU186)/100),2)+ROUND(((ROUND((ROUND(((AE186-((EU186*1.2)))*AV186*I186),2)*BS186),2)*AU186)/100),2))</f>
        <v>727.34</v>
      </c>
      <c r="Z186" s="2"/>
      <c r="AA186" s="2">
        <v>57014138</v>
      </c>
      <c r="AB186" s="2">
        <f t="shared" ref="AB186:AB231" si="166">ROUND((AC186+AD186+AF186),6)</f>
        <v>1513.1759999999999</v>
      </c>
      <c r="AC186" s="2">
        <f>ROUND(((ES186*1)),6)</f>
        <v>81.36</v>
      </c>
      <c r="AD186" s="2">
        <f>ROUND(((((ET186*1.2))-((EU186*1.2)))+AE186),6)</f>
        <v>111.98399999999999</v>
      </c>
      <c r="AE186" s="2">
        <f t="shared" ref="AE186:AF189" si="167">ROUND(((EU186*1.2)),6)</f>
        <v>15.6</v>
      </c>
      <c r="AF186" s="2">
        <f t="shared" si="167"/>
        <v>1319.8320000000001</v>
      </c>
      <c r="AG186" s="2">
        <f t="shared" ref="AG186:AG231" si="168">ROUND((AP186),6)</f>
        <v>0</v>
      </c>
      <c r="AH186" s="2">
        <f t="shared" ref="AH186:AI189" si="169">((EW186*1.2))</f>
        <v>101.604</v>
      </c>
      <c r="AI186" s="2">
        <f t="shared" si="169"/>
        <v>0</v>
      </c>
      <c r="AJ186" s="2">
        <f t="shared" ref="AJ186:AJ231" si="170">(AS186)</f>
        <v>0</v>
      </c>
      <c r="AK186" s="2">
        <v>1274.54</v>
      </c>
      <c r="AL186" s="2">
        <v>81.36</v>
      </c>
      <c r="AM186" s="2">
        <v>93.32</v>
      </c>
      <c r="AN186" s="2">
        <v>13</v>
      </c>
      <c r="AO186" s="2">
        <v>1099.8599999999999</v>
      </c>
      <c r="AP186" s="2">
        <v>0</v>
      </c>
      <c r="AQ186" s="2">
        <v>84.67</v>
      </c>
      <c r="AR186" s="2">
        <v>0</v>
      </c>
      <c r="AS186" s="2">
        <v>0</v>
      </c>
      <c r="AT186" s="2">
        <v>97</v>
      </c>
      <c r="AU186" s="2">
        <v>51</v>
      </c>
      <c r="AV186" s="2">
        <v>1.0469999999999999</v>
      </c>
      <c r="AW186" s="2">
        <v>1</v>
      </c>
      <c r="AX186" s="2"/>
      <c r="AY186" s="2"/>
      <c r="AZ186" s="2">
        <v>1</v>
      </c>
      <c r="BA186" s="2">
        <v>1</v>
      </c>
      <c r="BB186" s="2">
        <v>1</v>
      </c>
      <c r="BC186" s="2">
        <v>1</v>
      </c>
      <c r="BD186" s="2" t="s">
        <v>3</v>
      </c>
      <c r="BE186" s="2" t="s">
        <v>3</v>
      </c>
      <c r="BF186" s="2" t="s">
        <v>3</v>
      </c>
      <c r="BG186" s="2" t="s">
        <v>3</v>
      </c>
      <c r="BH186" s="2">
        <v>0</v>
      </c>
      <c r="BI186" s="2">
        <v>2</v>
      </c>
      <c r="BJ186" s="2" t="s">
        <v>246</v>
      </c>
      <c r="BK186" s="2"/>
      <c r="BL186" s="2"/>
      <c r="BM186" s="2">
        <v>67</v>
      </c>
      <c r="BN186" s="2">
        <v>0</v>
      </c>
      <c r="BO186" s="2" t="s">
        <v>244</v>
      </c>
      <c r="BP186" s="2">
        <v>1</v>
      </c>
      <c r="BQ186" s="2">
        <v>40</v>
      </c>
      <c r="BR186" s="2">
        <v>0</v>
      </c>
      <c r="BS186" s="2">
        <v>1</v>
      </c>
      <c r="BT186" s="2">
        <v>1</v>
      </c>
      <c r="BU186" s="2">
        <v>1</v>
      </c>
      <c r="BV186" s="2">
        <v>1</v>
      </c>
      <c r="BW186" s="2">
        <v>1</v>
      </c>
      <c r="BX186" s="2">
        <v>1</v>
      </c>
      <c r="BY186" s="2" t="s">
        <v>3</v>
      </c>
      <c r="BZ186" s="2">
        <v>97</v>
      </c>
      <c r="CA186" s="2">
        <v>51</v>
      </c>
      <c r="CB186" s="2" t="s">
        <v>3</v>
      </c>
      <c r="CC186" s="2"/>
      <c r="CD186" s="2"/>
      <c r="CE186" s="2">
        <v>1566</v>
      </c>
      <c r="CF186" s="2">
        <v>0</v>
      </c>
      <c r="CG186" s="2">
        <v>0</v>
      </c>
      <c r="CH186" s="2"/>
      <c r="CI186" s="2"/>
      <c r="CJ186" s="2"/>
      <c r="CK186" s="2"/>
      <c r="CL186" s="2"/>
      <c r="CM186" s="2">
        <v>0</v>
      </c>
      <c r="CN186" s="2" t="s">
        <v>624</v>
      </c>
      <c r="CO186" s="2">
        <v>0</v>
      </c>
      <c r="CP186" s="2">
        <f t="shared" ref="CP186:CP231" si="171">(P186+Q186+S186)</f>
        <v>1612.08</v>
      </c>
      <c r="CQ186" s="2">
        <f t="shared" ref="CQ186:CQ219" si="172">ROUND((ROUND((AC186*AW186*1),2)*BC186),2)</f>
        <v>81.36</v>
      </c>
      <c r="CR186" s="2">
        <f>(ROUND((ROUND((((ET186*1.2))*AV186*1),2)*BB186),2)+ROUND((ROUND(((AE186-((EU186*1.2)))*AV186*1),2)*BS186),2))</f>
        <v>117.25</v>
      </c>
      <c r="CS186" s="2">
        <f>(ROUND((ROUND((((EU186*1.2))*AV186*1),2)*BS186),2)+ROUND((ROUND(((AE186-((EU186*1.2)))*AV186*1),2)*BS186),2))</f>
        <v>16.329999999999998</v>
      </c>
      <c r="CT186" s="2">
        <f t="shared" ref="CT186:CT231" si="173">ROUND((ROUND((AF186*AV186*1),2)*BA186),2)</f>
        <v>1381.86</v>
      </c>
      <c r="CU186" s="2">
        <f t="shared" ref="CU186:CU231" si="174">AG186</f>
        <v>0</v>
      </c>
      <c r="CV186" s="2">
        <f t="shared" ref="CV186:CV231" si="175">(AH186*AV186)</f>
        <v>106.37938799999999</v>
      </c>
      <c r="CW186" s="2">
        <f t="shared" ref="CW186:CW231" si="176">AI186</f>
        <v>0</v>
      </c>
      <c r="CX186" s="2">
        <f t="shared" ref="CX186:CX231" si="177">AJ186</f>
        <v>0</v>
      </c>
      <c r="CY186" s="2">
        <f>(ROUND((((S186+ROUND((ROUND((((EU186*1.2))*AV186*1),2)*BS186),2))*AT186)/100),2)+ROUND(((ROUND((ROUND(((AE186-((EU186*1.2)))*AV186*1),2)*BS186),2)*AT186)/100),2))</f>
        <v>1383.06</v>
      </c>
      <c r="CZ186" s="2">
        <f>(ROUND((((S186+ROUND((ROUND((((EU186*1.2))*AV186*1),2)*BS186),2))*AU186)/100),2)+ROUND(((ROUND((ROUND(((AE186-((EU186*1.2)))*AV186*1),2)*BS186),2)*AU186)/100),2))</f>
        <v>727.17</v>
      </c>
      <c r="DA186" s="2"/>
      <c r="DB186" s="2">
        <v>77</v>
      </c>
      <c r="DC186" s="2" t="s">
        <v>3</v>
      </c>
      <c r="DD186" s="2" t="s">
        <v>70</v>
      </c>
      <c r="DE186" s="2" t="s">
        <v>71</v>
      </c>
      <c r="DF186" s="2" t="s">
        <v>71</v>
      </c>
      <c r="DG186" s="2" t="s">
        <v>71</v>
      </c>
      <c r="DH186" s="2" t="s">
        <v>3</v>
      </c>
      <c r="DI186" s="2" t="s">
        <v>71</v>
      </c>
      <c r="DJ186" s="2" t="s">
        <v>71</v>
      </c>
      <c r="DK186" s="2" t="s">
        <v>3</v>
      </c>
      <c r="DL186" s="2" t="s">
        <v>3</v>
      </c>
      <c r="DM186" s="2" t="s">
        <v>3</v>
      </c>
      <c r="DN186" s="2">
        <v>0</v>
      </c>
      <c r="DO186" s="2">
        <v>0</v>
      </c>
      <c r="DP186" s="2">
        <v>1</v>
      </c>
      <c r="DQ186" s="2">
        <v>1</v>
      </c>
      <c r="DR186" s="2"/>
      <c r="DS186" s="2"/>
      <c r="DT186" s="2"/>
      <c r="DU186" s="2">
        <v>1010</v>
      </c>
      <c r="DV186" s="2" t="s">
        <v>64</v>
      </c>
      <c r="DW186" s="2" t="s">
        <v>64</v>
      </c>
      <c r="DX186" s="2">
        <v>100</v>
      </c>
      <c r="DY186" s="2"/>
      <c r="DZ186" s="2" t="s">
        <v>3</v>
      </c>
      <c r="EA186" s="2" t="s">
        <v>3</v>
      </c>
      <c r="EB186" s="2" t="s">
        <v>3</v>
      </c>
      <c r="EC186" s="2" t="s">
        <v>3</v>
      </c>
      <c r="ED186" s="2"/>
      <c r="EE186" s="2">
        <v>57042957</v>
      </c>
      <c r="EF186" s="2">
        <v>40</v>
      </c>
      <c r="EG186" s="2" t="s">
        <v>31</v>
      </c>
      <c r="EH186" s="2">
        <v>0</v>
      </c>
      <c r="EI186" s="2" t="s">
        <v>3</v>
      </c>
      <c r="EJ186" s="2">
        <v>2</v>
      </c>
      <c r="EK186" s="2">
        <v>67</v>
      </c>
      <c r="EL186" s="2" t="s">
        <v>190</v>
      </c>
      <c r="EM186" s="2" t="s">
        <v>191</v>
      </c>
      <c r="EN186" s="2"/>
      <c r="EO186" s="2" t="s">
        <v>75</v>
      </c>
      <c r="EP186" s="2"/>
      <c r="EQ186" s="2">
        <v>0</v>
      </c>
      <c r="ER186" s="2">
        <v>1274.54</v>
      </c>
      <c r="ES186" s="2">
        <v>81.36</v>
      </c>
      <c r="ET186" s="2">
        <v>93.32</v>
      </c>
      <c r="EU186" s="2">
        <v>13</v>
      </c>
      <c r="EV186" s="2">
        <v>1099.8599999999999</v>
      </c>
      <c r="EW186" s="2">
        <v>84.67</v>
      </c>
      <c r="EX186" s="2">
        <v>0</v>
      </c>
      <c r="EY186" s="2">
        <v>0</v>
      </c>
      <c r="EZ186" s="2"/>
      <c r="FA186" s="2"/>
      <c r="FB186" s="2"/>
      <c r="FC186" s="2"/>
      <c r="FD186" s="2"/>
      <c r="FE186" s="2"/>
      <c r="FF186" s="2"/>
      <c r="FG186" s="2"/>
      <c r="FH186" s="2"/>
      <c r="FI186" s="2"/>
      <c r="FJ186" s="2"/>
      <c r="FK186" s="2"/>
      <c r="FL186" s="2"/>
      <c r="FM186" s="2"/>
      <c r="FN186" s="2"/>
      <c r="FO186" s="2"/>
      <c r="FP186" s="2"/>
      <c r="FQ186" s="2">
        <v>0</v>
      </c>
      <c r="FR186" s="2">
        <v>0</v>
      </c>
      <c r="FS186" s="2">
        <v>0</v>
      </c>
      <c r="FT186" s="2"/>
      <c r="FU186" s="2"/>
      <c r="FV186" s="2"/>
      <c r="FW186" s="2"/>
      <c r="FX186" s="2">
        <v>97</v>
      </c>
      <c r="FY186" s="2">
        <v>51</v>
      </c>
      <c r="FZ186" s="2"/>
      <c r="GA186" s="2" t="s">
        <v>3</v>
      </c>
      <c r="GB186" s="2"/>
      <c r="GC186" s="2"/>
      <c r="GD186" s="2">
        <v>1</v>
      </c>
      <c r="GE186" s="2"/>
      <c r="GF186" s="2">
        <v>-222864710</v>
      </c>
      <c r="GG186" s="2">
        <v>2</v>
      </c>
      <c r="GH186" s="2">
        <v>1</v>
      </c>
      <c r="GI186" s="2">
        <v>2</v>
      </c>
      <c r="GJ186" s="2">
        <v>0</v>
      </c>
      <c r="GK186" s="2">
        <v>0</v>
      </c>
      <c r="GL186" s="2">
        <f t="shared" ref="GL186:GL231" si="178">ROUND(IF(AND(BH186=3,BI186=3,FS186&lt;&gt;0),P186,0),2)</f>
        <v>0</v>
      </c>
      <c r="GM186" s="2">
        <f t="shared" ref="GM186:GM231" si="179">ROUND(O186+X186+Y186,2)+GX186</f>
        <v>3722.8</v>
      </c>
      <c r="GN186" s="2">
        <f t="shared" ref="GN186:GN231" si="180">IF(OR(BI186=0,BI186=1),GM186-GX186,0)</f>
        <v>0</v>
      </c>
      <c r="GO186" s="2">
        <f t="shared" ref="GO186:GO231" si="181">IF(BI186=2,GM186-GX186,0)</f>
        <v>3722.8</v>
      </c>
      <c r="GP186" s="2">
        <f t="shared" ref="GP186:GP231" si="182">IF(BI186=4,GM186-GX186,0)</f>
        <v>0</v>
      </c>
      <c r="GQ186" s="2"/>
      <c r="GR186" s="2">
        <v>0</v>
      </c>
      <c r="GS186" s="2">
        <v>3</v>
      </c>
      <c r="GT186" s="2">
        <v>0</v>
      </c>
      <c r="GU186" s="2" t="s">
        <v>3</v>
      </c>
      <c r="GV186" s="2">
        <f t="shared" ref="GV186:GV231" si="183">ROUND((GT186),6)</f>
        <v>0</v>
      </c>
      <c r="GW186" s="2">
        <v>1</v>
      </c>
      <c r="GX186" s="2">
        <f t="shared" ref="GX186:GX231" si="184">ROUND(HC186*I186,2)</f>
        <v>0</v>
      </c>
      <c r="GY186" s="2"/>
      <c r="GZ186" s="2"/>
      <c r="HA186" s="2">
        <v>0</v>
      </c>
      <c r="HB186" s="2">
        <v>0</v>
      </c>
      <c r="HC186" s="2">
        <f t="shared" ref="HC186:HC231" si="185">GV186*GW186</f>
        <v>0</v>
      </c>
      <c r="HD186" s="2"/>
      <c r="HE186" s="2" t="s">
        <v>3</v>
      </c>
      <c r="HF186" s="2" t="s">
        <v>3</v>
      </c>
      <c r="HG186" s="2"/>
      <c r="HH186" s="2"/>
      <c r="HI186" s="2"/>
      <c r="HJ186" s="2"/>
      <c r="HK186" s="2"/>
      <c r="HL186" s="2"/>
      <c r="HM186" s="2" t="s">
        <v>3</v>
      </c>
      <c r="HN186" s="2" t="s">
        <v>3</v>
      </c>
      <c r="HO186" s="2" t="s">
        <v>3</v>
      </c>
      <c r="HP186" s="2" t="s">
        <v>3</v>
      </c>
      <c r="HQ186" s="2" t="s">
        <v>3</v>
      </c>
      <c r="HR186" s="2"/>
      <c r="HS186" s="2">
        <v>0</v>
      </c>
      <c r="HT186" s="2"/>
      <c r="HU186" s="2"/>
      <c r="HV186" s="2"/>
      <c r="HW186" s="2"/>
      <c r="HX186" s="2"/>
      <c r="HY186" s="2"/>
      <c r="HZ186" s="2"/>
      <c r="IA186" s="2"/>
      <c r="IB186" s="2"/>
      <c r="IC186" s="2"/>
      <c r="ID186" s="2"/>
      <c r="IE186" s="2"/>
      <c r="IF186" s="2"/>
      <c r="IG186" s="2"/>
      <c r="IH186" s="2"/>
      <c r="II186" s="2"/>
      <c r="IJ186" s="2"/>
      <c r="IK186" s="2">
        <v>0</v>
      </c>
      <c r="IL186" s="2"/>
      <c r="IM186" s="2"/>
      <c r="IN186" s="2"/>
      <c r="IO186" s="2"/>
      <c r="IP186" s="2"/>
      <c r="IQ186" s="2"/>
      <c r="IR186" s="2"/>
      <c r="IS186" s="2"/>
      <c r="IT186" s="2"/>
      <c r="IU186" s="2"/>
    </row>
    <row r="187" spans="1:255" x14ac:dyDescent="0.25">
      <c r="A187" s="3">
        <v>17</v>
      </c>
      <c r="B187" s="3">
        <v>1</v>
      </c>
      <c r="C187" s="3">
        <f>ROW(SmtRes!A200)</f>
        <v>200</v>
      </c>
      <c r="D187" s="3">
        <f>ROW(EtalonRes!A258)</f>
        <v>258</v>
      </c>
      <c r="E187" s="3" t="s">
        <v>243</v>
      </c>
      <c r="F187" s="3" t="s">
        <v>244</v>
      </c>
      <c r="G187" s="3" t="s">
        <v>245</v>
      </c>
      <c r="H187" s="3" t="s">
        <v>64</v>
      </c>
      <c r="I187" s="3">
        <f>ROUND(102/100,9)</f>
        <v>1.02</v>
      </c>
      <c r="J187" s="3">
        <v>0</v>
      </c>
      <c r="K187" s="3">
        <f>ROUND(102/100,9)</f>
        <v>1.02</v>
      </c>
      <c r="O187" s="3">
        <f t="shared" si="159"/>
        <v>82272.84</v>
      </c>
      <c r="P187" s="3">
        <f t="shared" si="160"/>
        <v>883.84</v>
      </c>
      <c r="Q187" s="3">
        <f>(ROUND((ROUND((((ET187*1.2))*AV187*I187),2)*BB187),2)+ROUND((ROUND(((AE187-((EU187*1.2)))*AV187*I187),2)*BS187),2))</f>
        <v>1963.67</v>
      </c>
      <c r="R187" s="3">
        <f>(ROUND((ROUND((((EU187*1.2))*AV187*I187),2)*BS187),2)+ROUND((ROUND(((AE187-((EU187*1.2)))*AV187*I187),2)*BS187),2))</f>
        <v>938.79</v>
      </c>
      <c r="S187" s="3">
        <f t="shared" si="161"/>
        <v>79425.33</v>
      </c>
      <c r="T187" s="3">
        <f t="shared" si="162"/>
        <v>0</v>
      </c>
      <c r="U187" s="3">
        <f t="shared" si="163"/>
        <v>108.50697575999999</v>
      </c>
      <c r="V187" s="3">
        <f t="shared" si="164"/>
        <v>0</v>
      </c>
      <c r="W187" s="3">
        <f t="shared" si="165"/>
        <v>0</v>
      </c>
      <c r="X187" s="3">
        <f>(ROUND((((S187+ROUND((ROUND((((EU187*1.2))*AV187*I187),2)*BS187),2))*AT187)/100),2)+ROUND(((ROUND((ROUND(((AE187-((EU187*1.2)))*AV187*I187),2)*BS187),2)*AT187)/100),2))</f>
        <v>77953.2</v>
      </c>
      <c r="Y187" s="3">
        <f>(ROUND((((S187+ROUND((ROUND((((EU187*1.2))*AV187*I187),2)*BS187),2))*AU187)/100),2)+ROUND(((ROUND((ROUND(((AE187-((EU187*1.2)))*AV187*I187),2)*BS187),2)*AU187)/100),2))</f>
        <v>40985.699999999997</v>
      </c>
      <c r="AA187" s="3">
        <v>57014140</v>
      </c>
      <c r="AB187" s="3">
        <f t="shared" si="166"/>
        <v>1513.1759999999999</v>
      </c>
      <c r="AC187" s="3">
        <f>ROUND(((ES187*1)),6)</f>
        <v>81.36</v>
      </c>
      <c r="AD187" s="3">
        <f>ROUND(((((ET187*1.2))-((EU187*1.2)))+AE187),6)</f>
        <v>111.98399999999999</v>
      </c>
      <c r="AE187" s="3">
        <f t="shared" si="167"/>
        <v>15.6</v>
      </c>
      <c r="AF187" s="3">
        <f t="shared" si="167"/>
        <v>1319.8320000000001</v>
      </c>
      <c r="AG187" s="3">
        <f t="shared" si="168"/>
        <v>0</v>
      </c>
      <c r="AH187" s="3">
        <f t="shared" si="169"/>
        <v>101.604</v>
      </c>
      <c r="AI187" s="3">
        <f t="shared" si="169"/>
        <v>0</v>
      </c>
      <c r="AJ187" s="3">
        <f t="shared" si="170"/>
        <v>0</v>
      </c>
      <c r="AK187" s="3">
        <v>1274.54</v>
      </c>
      <c r="AL187" s="3">
        <v>81.36</v>
      </c>
      <c r="AM187" s="3">
        <v>93.32</v>
      </c>
      <c r="AN187" s="3">
        <v>13</v>
      </c>
      <c r="AO187" s="3">
        <v>1099.8599999999999</v>
      </c>
      <c r="AP187" s="3">
        <v>0</v>
      </c>
      <c r="AQ187" s="3">
        <v>84.67</v>
      </c>
      <c r="AR187" s="3">
        <v>0</v>
      </c>
      <c r="AS187" s="3">
        <v>0</v>
      </c>
      <c r="AT187" s="3">
        <v>97</v>
      </c>
      <c r="AU187" s="3">
        <v>51</v>
      </c>
      <c r="AV187" s="3">
        <v>1.0469999999999999</v>
      </c>
      <c r="AW187" s="3">
        <v>1</v>
      </c>
      <c r="AZ187" s="3">
        <v>1</v>
      </c>
      <c r="BA187" s="3">
        <v>56.35</v>
      </c>
      <c r="BB187" s="3">
        <v>16.420000000000002</v>
      </c>
      <c r="BC187" s="3">
        <v>10.65</v>
      </c>
      <c r="BD187" s="3" t="s">
        <v>3</v>
      </c>
      <c r="BE187" s="3" t="s">
        <v>3</v>
      </c>
      <c r="BF187" s="3" t="s">
        <v>3</v>
      </c>
      <c r="BG187" s="3" t="s">
        <v>3</v>
      </c>
      <c r="BH187" s="3">
        <v>0</v>
      </c>
      <c r="BI187" s="3">
        <v>2</v>
      </c>
      <c r="BJ187" s="3" t="s">
        <v>246</v>
      </c>
      <c r="BM187" s="3">
        <v>67</v>
      </c>
      <c r="BN187" s="3">
        <v>0</v>
      </c>
      <c r="BO187" s="3" t="s">
        <v>244</v>
      </c>
      <c r="BP187" s="3">
        <v>1</v>
      </c>
      <c r="BQ187" s="3">
        <v>40</v>
      </c>
      <c r="BR187" s="3">
        <v>0</v>
      </c>
      <c r="BS187" s="3">
        <v>56.35</v>
      </c>
      <c r="BT187" s="3">
        <v>1</v>
      </c>
      <c r="BU187" s="3">
        <v>1</v>
      </c>
      <c r="BV187" s="3">
        <v>1</v>
      </c>
      <c r="BW187" s="3">
        <v>1</v>
      </c>
      <c r="BX187" s="3">
        <v>1</v>
      </c>
      <c r="BY187" s="3" t="s">
        <v>3</v>
      </c>
      <c r="BZ187" s="3">
        <v>97</v>
      </c>
      <c r="CA187" s="3">
        <v>51</v>
      </c>
      <c r="CB187" s="3" t="s">
        <v>3</v>
      </c>
      <c r="CE187" s="3">
        <v>1566</v>
      </c>
      <c r="CF187" s="3">
        <v>0</v>
      </c>
      <c r="CG187" s="3">
        <v>0</v>
      </c>
      <c r="CM187" s="3">
        <v>0</v>
      </c>
      <c r="CN187" s="3" t="s">
        <v>624</v>
      </c>
      <c r="CO187" s="3">
        <v>0</v>
      </c>
      <c r="CP187" s="3">
        <f t="shared" si="171"/>
        <v>82272.84</v>
      </c>
      <c r="CQ187" s="3">
        <f t="shared" si="172"/>
        <v>866.48</v>
      </c>
      <c r="CR187" s="3">
        <f>(ROUND((ROUND((((ET187*1.2))*AV187*1),2)*BB187),2)+ROUND((ROUND(((AE187-((EU187*1.2)))*AV187*1),2)*BS187),2))</f>
        <v>1925.25</v>
      </c>
      <c r="CS187" s="3">
        <f>(ROUND((ROUND((((EU187*1.2))*AV187*1),2)*BS187),2)+ROUND((ROUND(((AE187-((EU187*1.2)))*AV187*1),2)*BS187),2))</f>
        <v>920.2</v>
      </c>
      <c r="CT187" s="3">
        <f t="shared" si="173"/>
        <v>77867.81</v>
      </c>
      <c r="CU187" s="3">
        <f t="shared" si="174"/>
        <v>0</v>
      </c>
      <c r="CV187" s="3">
        <f t="shared" si="175"/>
        <v>106.37938799999999</v>
      </c>
      <c r="CW187" s="3">
        <f t="shared" si="176"/>
        <v>0</v>
      </c>
      <c r="CX187" s="3">
        <f t="shared" si="177"/>
        <v>0</v>
      </c>
      <c r="CY187" s="3">
        <f>(ROUND((((S187+ROUND((ROUND((((EU187*1.2))*AV187*1),2)*BS187),2))*AT187)/100),2)+ROUND(((ROUND((ROUND(((AE187-((EU187*1.2)))*AV187*1),2)*BS187),2)*AT187)/100),2))</f>
        <v>77935.16</v>
      </c>
      <c r="CZ187" s="3">
        <f>(ROUND((((S187+ROUND((ROUND((((EU187*1.2))*AV187*1),2)*BS187),2))*AU187)/100),2)+ROUND(((ROUND((ROUND(((AE187-((EU187*1.2)))*AV187*1),2)*BS187),2)*AU187)/100),2))</f>
        <v>40976.22</v>
      </c>
      <c r="DB187" s="3">
        <v>78</v>
      </c>
      <c r="DC187" s="3" t="s">
        <v>3</v>
      </c>
      <c r="DD187" s="3" t="s">
        <v>70</v>
      </c>
      <c r="DE187" s="3" t="s">
        <v>71</v>
      </c>
      <c r="DF187" s="3" t="s">
        <v>71</v>
      </c>
      <c r="DG187" s="3" t="s">
        <v>71</v>
      </c>
      <c r="DH187" s="3" t="s">
        <v>3</v>
      </c>
      <c r="DI187" s="3" t="s">
        <v>71</v>
      </c>
      <c r="DJ187" s="3" t="s">
        <v>71</v>
      </c>
      <c r="DK187" s="3" t="s">
        <v>3</v>
      </c>
      <c r="DL187" s="3" t="s">
        <v>3</v>
      </c>
      <c r="DM187" s="3" t="s">
        <v>3</v>
      </c>
      <c r="DN187" s="3">
        <v>0</v>
      </c>
      <c r="DO187" s="3">
        <v>0</v>
      </c>
      <c r="DP187" s="3">
        <v>1</v>
      </c>
      <c r="DQ187" s="3">
        <v>1</v>
      </c>
      <c r="DU187" s="3">
        <v>1010</v>
      </c>
      <c r="DV187" s="3" t="s">
        <v>64</v>
      </c>
      <c r="DW187" s="3" t="s">
        <v>64</v>
      </c>
      <c r="DX187" s="3">
        <v>100</v>
      </c>
      <c r="DZ187" s="3" t="s">
        <v>3</v>
      </c>
      <c r="EA187" s="3" t="s">
        <v>3</v>
      </c>
      <c r="EB187" s="3" t="s">
        <v>3</v>
      </c>
      <c r="EC187" s="3" t="s">
        <v>3</v>
      </c>
      <c r="EE187" s="3">
        <v>57042957</v>
      </c>
      <c r="EF187" s="3">
        <v>40</v>
      </c>
      <c r="EG187" s="3" t="s">
        <v>31</v>
      </c>
      <c r="EH187" s="3">
        <v>0</v>
      </c>
      <c r="EI187" s="3" t="s">
        <v>3</v>
      </c>
      <c r="EJ187" s="3">
        <v>2</v>
      </c>
      <c r="EK187" s="3">
        <v>67</v>
      </c>
      <c r="EL187" s="3" t="s">
        <v>190</v>
      </c>
      <c r="EM187" s="3" t="s">
        <v>191</v>
      </c>
      <c r="EO187" s="3" t="s">
        <v>75</v>
      </c>
      <c r="EQ187" s="3">
        <v>0</v>
      </c>
      <c r="ER187" s="3">
        <v>1274.54</v>
      </c>
      <c r="ES187" s="3">
        <v>81.36</v>
      </c>
      <c r="ET187" s="3">
        <v>93.32</v>
      </c>
      <c r="EU187" s="3">
        <v>13</v>
      </c>
      <c r="EV187" s="3">
        <v>1099.8599999999999</v>
      </c>
      <c r="EW187" s="3">
        <v>84.67</v>
      </c>
      <c r="EX187" s="3">
        <v>0</v>
      </c>
      <c r="EY187" s="3">
        <v>0</v>
      </c>
      <c r="FQ187" s="3">
        <v>0</v>
      </c>
      <c r="FR187" s="3">
        <v>0</v>
      </c>
      <c r="FS187" s="3">
        <v>0</v>
      </c>
      <c r="FX187" s="3">
        <v>97</v>
      </c>
      <c r="FY187" s="3">
        <v>51</v>
      </c>
      <c r="GA187" s="3" t="s">
        <v>3</v>
      </c>
      <c r="GD187" s="3">
        <v>1</v>
      </c>
      <c r="GF187" s="3">
        <v>-222864710</v>
      </c>
      <c r="GG187" s="3">
        <v>2</v>
      </c>
      <c r="GH187" s="3">
        <v>1</v>
      </c>
      <c r="GI187" s="3">
        <v>2</v>
      </c>
      <c r="GJ187" s="3">
        <v>0</v>
      </c>
      <c r="GK187" s="3">
        <v>0</v>
      </c>
      <c r="GL187" s="3">
        <f t="shared" si="178"/>
        <v>0</v>
      </c>
      <c r="GM187" s="3">
        <f t="shared" si="179"/>
        <v>201211.74</v>
      </c>
      <c r="GN187" s="3">
        <f t="shared" si="180"/>
        <v>0</v>
      </c>
      <c r="GO187" s="3">
        <f t="shared" si="181"/>
        <v>201211.74</v>
      </c>
      <c r="GP187" s="3">
        <f t="shared" si="182"/>
        <v>0</v>
      </c>
      <c r="GR187" s="3">
        <v>0</v>
      </c>
      <c r="GS187" s="3">
        <v>3</v>
      </c>
      <c r="GT187" s="3">
        <v>0</v>
      </c>
      <c r="GU187" s="3" t="s">
        <v>3</v>
      </c>
      <c r="GV187" s="3">
        <f t="shared" si="183"/>
        <v>0</v>
      </c>
      <c r="GW187" s="3">
        <v>1</v>
      </c>
      <c r="GX187" s="3">
        <f t="shared" si="184"/>
        <v>0</v>
      </c>
      <c r="HA187" s="3">
        <v>0</v>
      </c>
      <c r="HB187" s="3">
        <v>0</v>
      </c>
      <c r="HC187" s="3">
        <f t="shared" si="185"/>
        <v>0</v>
      </c>
      <c r="HE187" s="3" t="s">
        <v>3</v>
      </c>
      <c r="HF187" s="3" t="s">
        <v>3</v>
      </c>
      <c r="HM187" s="3" t="s">
        <v>3</v>
      </c>
      <c r="HN187" s="3" t="s">
        <v>3</v>
      </c>
      <c r="HO187" s="3" t="s">
        <v>3</v>
      </c>
      <c r="HP187" s="3" t="s">
        <v>3</v>
      </c>
      <c r="HQ187" s="3" t="s">
        <v>3</v>
      </c>
      <c r="HS187" s="3">
        <v>0</v>
      </c>
      <c r="IK187" s="3">
        <v>0</v>
      </c>
    </row>
    <row r="188" spans="1:255" x14ac:dyDescent="0.25">
      <c r="A188" s="2">
        <v>17</v>
      </c>
      <c r="B188" s="2">
        <v>1</v>
      </c>
      <c r="C188" s="2">
        <f>ROW(SmtRes!A201)</f>
        <v>201</v>
      </c>
      <c r="D188" s="2">
        <f>ROW(EtalonRes!A259)</f>
        <v>259</v>
      </c>
      <c r="E188" s="2" t="s">
        <v>3</v>
      </c>
      <c r="F188" s="2" t="s">
        <v>52</v>
      </c>
      <c r="G188" s="2" t="s">
        <v>247</v>
      </c>
      <c r="H188" s="2" t="s">
        <v>27</v>
      </c>
      <c r="I188" s="2">
        <f>ROUND(12+18+2+4+1+1+1+63,9)</f>
        <v>102</v>
      </c>
      <c r="J188" s="2">
        <v>0</v>
      </c>
      <c r="K188" s="2">
        <f>ROUND(12+18+2+4+1+1+1+63,9)</f>
        <v>102</v>
      </c>
      <c r="L188" s="2"/>
      <c r="M188" s="2"/>
      <c r="N188" s="2"/>
      <c r="O188" s="2">
        <f t="shared" si="159"/>
        <v>2853.05</v>
      </c>
      <c r="P188" s="2">
        <f t="shared" si="160"/>
        <v>128.52000000000001</v>
      </c>
      <c r="Q188" s="2">
        <f>(ROUND((ROUND((((ET188*1.2))*AV188*I188),2)*BB188),2)+ROUND((ROUND(((AE188-((EU188*1.2)))*AV188*I188),2)*BS188),2))</f>
        <v>7.69</v>
      </c>
      <c r="R188" s="2">
        <f>(ROUND((ROUND((((EU188*1.2))*AV188*I188),2)*BS188),2)+ROUND((ROUND(((AE188-((EU188*1.2)))*AV188*I188),2)*BS188),2))</f>
        <v>1.28</v>
      </c>
      <c r="S188" s="2">
        <f t="shared" si="161"/>
        <v>2716.84</v>
      </c>
      <c r="T188" s="2">
        <f t="shared" si="162"/>
        <v>0</v>
      </c>
      <c r="U188" s="2">
        <f t="shared" si="163"/>
        <v>215.29670399999998</v>
      </c>
      <c r="V188" s="2">
        <f t="shared" si="164"/>
        <v>0</v>
      </c>
      <c r="W188" s="2">
        <f t="shared" si="165"/>
        <v>0</v>
      </c>
      <c r="X188" s="2">
        <f>(ROUND((((S188+ROUND((ROUND((((EU188*1.2))*AV188*I188),2)*BS188),2))*AT188)/100),2)+ROUND(((ROUND((ROUND(((AE188-((EU188*1.2)))*AV188*I188),2)*BS188),2)*AT188)/100),2))</f>
        <v>2446.31</v>
      </c>
      <c r="Y188" s="2">
        <f>(ROUND((((S188+ROUND((ROUND((((EU188*1.2))*AV188*I188),2)*BS188),2))*AU188)/100),2)+ROUND(((ROUND((ROUND(((AE188-((EU188*1.2)))*AV188*I188),2)*BS188),2)*AU188)/100),2))</f>
        <v>1250.3399999999999</v>
      </c>
      <c r="Z188" s="2"/>
      <c r="AA188" s="2">
        <v>-1</v>
      </c>
      <c r="AB188" s="2">
        <f t="shared" si="166"/>
        <v>26.771999999999998</v>
      </c>
      <c r="AC188" s="2">
        <f>ROUND(((ES188*1)),6)</f>
        <v>1.26</v>
      </c>
      <c r="AD188" s="2">
        <f>ROUND(((((ET188*1.2))-((EU188*1.2)))+AE188),6)</f>
        <v>7.1999999999999995E-2</v>
      </c>
      <c r="AE188" s="2">
        <f t="shared" si="167"/>
        <v>1.2E-2</v>
      </c>
      <c r="AF188" s="2">
        <f t="shared" si="167"/>
        <v>25.44</v>
      </c>
      <c r="AG188" s="2">
        <f t="shared" si="168"/>
        <v>0</v>
      </c>
      <c r="AH188" s="2">
        <f t="shared" si="169"/>
        <v>2.016</v>
      </c>
      <c r="AI188" s="2">
        <f t="shared" si="169"/>
        <v>0</v>
      </c>
      <c r="AJ188" s="2">
        <f t="shared" si="170"/>
        <v>0</v>
      </c>
      <c r="AK188" s="2">
        <v>22.52</v>
      </c>
      <c r="AL188" s="2">
        <v>1.26</v>
      </c>
      <c r="AM188" s="2">
        <v>0.06</v>
      </c>
      <c r="AN188" s="2">
        <v>0.01</v>
      </c>
      <c r="AO188" s="2">
        <v>21.2</v>
      </c>
      <c r="AP188" s="2">
        <v>0</v>
      </c>
      <c r="AQ188" s="2">
        <v>1.68</v>
      </c>
      <c r="AR188" s="2">
        <v>0</v>
      </c>
      <c r="AS188" s="2">
        <v>0</v>
      </c>
      <c r="AT188" s="2">
        <v>90</v>
      </c>
      <c r="AU188" s="2">
        <v>46</v>
      </c>
      <c r="AV188" s="2">
        <v>1.0469999999999999</v>
      </c>
      <c r="AW188" s="2">
        <v>1</v>
      </c>
      <c r="AX188" s="2"/>
      <c r="AY188" s="2"/>
      <c r="AZ188" s="2">
        <v>1</v>
      </c>
      <c r="BA188" s="2">
        <v>1</v>
      </c>
      <c r="BB188" s="2">
        <v>1</v>
      </c>
      <c r="BC188" s="2">
        <v>1</v>
      </c>
      <c r="BD188" s="2" t="s">
        <v>3</v>
      </c>
      <c r="BE188" s="2" t="s">
        <v>3</v>
      </c>
      <c r="BF188" s="2" t="s">
        <v>3</v>
      </c>
      <c r="BG188" s="2" t="s">
        <v>3</v>
      </c>
      <c r="BH188" s="2">
        <v>0</v>
      </c>
      <c r="BI188" s="2">
        <v>2</v>
      </c>
      <c r="BJ188" s="2" t="s">
        <v>54</v>
      </c>
      <c r="BK188" s="2"/>
      <c r="BL188" s="2"/>
      <c r="BM188" s="2">
        <v>68</v>
      </c>
      <c r="BN188" s="2">
        <v>0</v>
      </c>
      <c r="BO188" s="2" t="s">
        <v>52</v>
      </c>
      <c r="BP188" s="2">
        <v>1</v>
      </c>
      <c r="BQ188" s="2">
        <v>40</v>
      </c>
      <c r="BR188" s="2">
        <v>0</v>
      </c>
      <c r="BS188" s="2">
        <v>1</v>
      </c>
      <c r="BT188" s="2">
        <v>1</v>
      </c>
      <c r="BU188" s="2">
        <v>1</v>
      </c>
      <c r="BV188" s="2">
        <v>1</v>
      </c>
      <c r="BW188" s="2">
        <v>1</v>
      </c>
      <c r="BX188" s="2">
        <v>1</v>
      </c>
      <c r="BY188" s="2" t="s">
        <v>3</v>
      </c>
      <c r="BZ188" s="2">
        <v>90</v>
      </c>
      <c r="CA188" s="2">
        <v>46</v>
      </c>
      <c r="CB188" s="2" t="s">
        <v>3</v>
      </c>
      <c r="CC188" s="2"/>
      <c r="CD188" s="2"/>
      <c r="CE188" s="2">
        <v>1566</v>
      </c>
      <c r="CF188" s="2">
        <v>0</v>
      </c>
      <c r="CG188" s="2">
        <v>0</v>
      </c>
      <c r="CH188" s="2"/>
      <c r="CI188" s="2"/>
      <c r="CJ188" s="2"/>
      <c r="CK188" s="2"/>
      <c r="CL188" s="2"/>
      <c r="CM188" s="2">
        <v>0</v>
      </c>
      <c r="CN188" s="2" t="s">
        <v>624</v>
      </c>
      <c r="CO188" s="2">
        <v>0</v>
      </c>
      <c r="CP188" s="2">
        <f t="shared" si="171"/>
        <v>2853.05</v>
      </c>
      <c r="CQ188" s="2">
        <f t="shared" si="172"/>
        <v>1.26</v>
      </c>
      <c r="CR188" s="2">
        <f>(ROUND((ROUND((((ET188*1.2))*AV188*1),2)*BB188),2)+ROUND((ROUND(((AE188-((EU188*1.2)))*AV188*1),2)*BS188),2))</f>
        <v>0.08</v>
      </c>
      <c r="CS188" s="2">
        <f>(ROUND((ROUND((((EU188*1.2))*AV188*1),2)*BS188),2)+ROUND((ROUND(((AE188-((EU188*1.2)))*AV188*1),2)*BS188),2))</f>
        <v>0.01</v>
      </c>
      <c r="CT188" s="2">
        <f t="shared" si="173"/>
        <v>26.64</v>
      </c>
      <c r="CU188" s="2">
        <f t="shared" si="174"/>
        <v>0</v>
      </c>
      <c r="CV188" s="2">
        <f t="shared" si="175"/>
        <v>2.1107519999999997</v>
      </c>
      <c r="CW188" s="2">
        <f t="shared" si="176"/>
        <v>0</v>
      </c>
      <c r="CX188" s="2">
        <f t="shared" si="177"/>
        <v>0</v>
      </c>
      <c r="CY188" s="2">
        <f>(ROUND((((S188+ROUND((ROUND((((EU188*1.2))*AV188*1),2)*BS188),2))*AT188)/100),2)+ROUND(((ROUND((ROUND(((AE188-((EU188*1.2)))*AV188*1),2)*BS188),2)*AT188)/100),2))</f>
        <v>2445.17</v>
      </c>
      <c r="CZ188" s="2">
        <f>(ROUND((((S188+ROUND((ROUND((((EU188*1.2))*AV188*1),2)*BS188),2))*AU188)/100),2)+ROUND(((ROUND((ROUND(((AE188-((EU188*1.2)))*AV188*1),2)*BS188),2)*AU188)/100),2))</f>
        <v>1249.75</v>
      </c>
      <c r="DA188" s="2"/>
      <c r="DB188" s="2">
        <v>79</v>
      </c>
      <c r="DC188" s="2" t="s">
        <v>3</v>
      </c>
      <c r="DD188" s="2" t="s">
        <v>70</v>
      </c>
      <c r="DE188" s="2" t="s">
        <v>71</v>
      </c>
      <c r="DF188" s="2" t="s">
        <v>71</v>
      </c>
      <c r="DG188" s="2" t="s">
        <v>71</v>
      </c>
      <c r="DH188" s="2" t="s">
        <v>3</v>
      </c>
      <c r="DI188" s="2" t="s">
        <v>71</v>
      </c>
      <c r="DJ188" s="2" t="s">
        <v>71</v>
      </c>
      <c r="DK188" s="2" t="s">
        <v>3</v>
      </c>
      <c r="DL188" s="2" t="s">
        <v>3</v>
      </c>
      <c r="DM188" s="2" t="s">
        <v>3</v>
      </c>
      <c r="DN188" s="2">
        <v>0</v>
      </c>
      <c r="DO188" s="2">
        <v>0</v>
      </c>
      <c r="DP188" s="2">
        <v>1</v>
      </c>
      <c r="DQ188" s="2">
        <v>1</v>
      </c>
      <c r="DR188" s="2"/>
      <c r="DS188" s="2"/>
      <c r="DT188" s="2"/>
      <c r="DU188" s="2">
        <v>1013</v>
      </c>
      <c r="DV188" s="2" t="s">
        <v>27</v>
      </c>
      <c r="DW188" s="2" t="s">
        <v>27</v>
      </c>
      <c r="DX188" s="2">
        <v>1</v>
      </c>
      <c r="DY188" s="2"/>
      <c r="DZ188" s="2" t="s">
        <v>3</v>
      </c>
      <c r="EA188" s="2" t="s">
        <v>3</v>
      </c>
      <c r="EB188" s="2" t="s">
        <v>3</v>
      </c>
      <c r="EC188" s="2" t="s">
        <v>3</v>
      </c>
      <c r="ED188" s="2"/>
      <c r="EE188" s="2">
        <v>57042958</v>
      </c>
      <c r="EF188" s="2">
        <v>40</v>
      </c>
      <c r="EG188" s="2" t="s">
        <v>31</v>
      </c>
      <c r="EH188" s="2">
        <v>0</v>
      </c>
      <c r="EI188" s="2" t="s">
        <v>3</v>
      </c>
      <c r="EJ188" s="2">
        <v>2</v>
      </c>
      <c r="EK188" s="2">
        <v>68</v>
      </c>
      <c r="EL188" s="2" t="s">
        <v>32</v>
      </c>
      <c r="EM188" s="2" t="s">
        <v>33</v>
      </c>
      <c r="EN188" s="2"/>
      <c r="EO188" s="2" t="s">
        <v>75</v>
      </c>
      <c r="EP188" s="2"/>
      <c r="EQ188" s="2">
        <v>1024</v>
      </c>
      <c r="ER188" s="2">
        <v>22.52</v>
      </c>
      <c r="ES188" s="2">
        <v>1.26</v>
      </c>
      <c r="ET188" s="2">
        <v>0.06</v>
      </c>
      <c r="EU188" s="2">
        <v>0.01</v>
      </c>
      <c r="EV188" s="2">
        <v>21.2</v>
      </c>
      <c r="EW188" s="2">
        <v>1.68</v>
      </c>
      <c r="EX188" s="2">
        <v>0</v>
      </c>
      <c r="EY188" s="2">
        <v>0</v>
      </c>
      <c r="EZ188" s="2"/>
      <c r="FA188" s="2"/>
      <c r="FB188" s="2"/>
      <c r="FC188" s="2"/>
      <c r="FD188" s="2"/>
      <c r="FE188" s="2"/>
      <c r="FF188" s="2"/>
      <c r="FG188" s="2"/>
      <c r="FH188" s="2"/>
      <c r="FI188" s="2"/>
      <c r="FJ188" s="2"/>
      <c r="FK188" s="2"/>
      <c r="FL188" s="2"/>
      <c r="FM188" s="2"/>
      <c r="FN188" s="2"/>
      <c r="FO188" s="2"/>
      <c r="FP188" s="2"/>
      <c r="FQ188" s="2">
        <v>0</v>
      </c>
      <c r="FR188" s="2">
        <v>0</v>
      </c>
      <c r="FS188" s="2">
        <v>0</v>
      </c>
      <c r="FT188" s="2"/>
      <c r="FU188" s="2"/>
      <c r="FV188" s="2"/>
      <c r="FW188" s="2"/>
      <c r="FX188" s="2">
        <v>90</v>
      </c>
      <c r="FY188" s="2">
        <v>46</v>
      </c>
      <c r="FZ188" s="2"/>
      <c r="GA188" s="2" t="s">
        <v>3</v>
      </c>
      <c r="GB188" s="2"/>
      <c r="GC188" s="2"/>
      <c r="GD188" s="2">
        <v>1</v>
      </c>
      <c r="GE188" s="2"/>
      <c r="GF188" s="2">
        <v>-2112753472</v>
      </c>
      <c r="GG188" s="2">
        <v>2</v>
      </c>
      <c r="GH188" s="2">
        <v>1</v>
      </c>
      <c r="GI188" s="2">
        <v>2</v>
      </c>
      <c r="GJ188" s="2">
        <v>0</v>
      </c>
      <c r="GK188" s="2">
        <v>0</v>
      </c>
      <c r="GL188" s="2">
        <f t="shared" si="178"/>
        <v>0</v>
      </c>
      <c r="GM188" s="2">
        <f t="shared" si="179"/>
        <v>6549.7</v>
      </c>
      <c r="GN188" s="2">
        <f t="shared" si="180"/>
        <v>0</v>
      </c>
      <c r="GO188" s="2">
        <f t="shared" si="181"/>
        <v>6549.7</v>
      </c>
      <c r="GP188" s="2">
        <f t="shared" si="182"/>
        <v>0</v>
      </c>
      <c r="GQ188" s="2"/>
      <c r="GR188" s="2">
        <v>0</v>
      </c>
      <c r="GS188" s="2">
        <v>3</v>
      </c>
      <c r="GT188" s="2">
        <v>0</v>
      </c>
      <c r="GU188" s="2" t="s">
        <v>3</v>
      </c>
      <c r="GV188" s="2">
        <f t="shared" si="183"/>
        <v>0</v>
      </c>
      <c r="GW188" s="2">
        <v>1</v>
      </c>
      <c r="GX188" s="2">
        <f t="shared" si="184"/>
        <v>0</v>
      </c>
      <c r="GY188" s="2"/>
      <c r="GZ188" s="2"/>
      <c r="HA188" s="2">
        <v>0</v>
      </c>
      <c r="HB188" s="2">
        <v>0</v>
      </c>
      <c r="HC188" s="2">
        <f t="shared" si="185"/>
        <v>0</v>
      </c>
      <c r="HD188" s="2"/>
      <c r="HE188" s="2" t="s">
        <v>3</v>
      </c>
      <c r="HF188" s="2" t="s">
        <v>3</v>
      </c>
      <c r="HG188" s="2"/>
      <c r="HH188" s="2"/>
      <c r="HI188" s="2"/>
      <c r="HJ188" s="2"/>
      <c r="HK188" s="2"/>
      <c r="HL188" s="2"/>
      <c r="HM188" s="2" t="s">
        <v>3</v>
      </c>
      <c r="HN188" s="2" t="s">
        <v>3</v>
      </c>
      <c r="HO188" s="2" t="s">
        <v>3</v>
      </c>
      <c r="HP188" s="2" t="s">
        <v>3</v>
      </c>
      <c r="HQ188" s="2" t="s">
        <v>3</v>
      </c>
      <c r="HR188" s="2"/>
      <c r="HS188" s="2">
        <v>0</v>
      </c>
      <c r="HT188" s="2"/>
      <c r="HU188" s="2"/>
      <c r="HV188" s="2"/>
      <c r="HW188" s="2"/>
      <c r="HX188" s="2"/>
      <c r="HY188" s="2"/>
      <c r="HZ188" s="2"/>
      <c r="IA188" s="2"/>
      <c r="IB188" s="2"/>
      <c r="IC188" s="2"/>
      <c r="ID188" s="2"/>
      <c r="IE188" s="2"/>
      <c r="IF188" s="2"/>
      <c r="IG188" s="2"/>
      <c r="IH188" s="2"/>
      <c r="II188" s="2"/>
      <c r="IJ188" s="2"/>
      <c r="IK188" s="2">
        <v>0</v>
      </c>
      <c r="IL188" s="2"/>
      <c r="IM188" s="2"/>
      <c r="IN188" s="2"/>
      <c r="IO188" s="2"/>
      <c r="IP188" s="2"/>
      <c r="IQ188" s="2"/>
      <c r="IR188" s="2"/>
      <c r="IS188" s="2"/>
      <c r="IT188" s="2"/>
      <c r="IU188" s="2"/>
    </row>
    <row r="189" spans="1:255" x14ac:dyDescent="0.25">
      <c r="A189" s="3">
        <v>17</v>
      </c>
      <c r="B189" s="3">
        <v>1</v>
      </c>
      <c r="C189" s="3">
        <f>ROW(SmtRes!A202)</f>
        <v>202</v>
      </c>
      <c r="D189" s="3">
        <f>ROW(EtalonRes!A260)</f>
        <v>260</v>
      </c>
      <c r="E189" s="3" t="s">
        <v>3</v>
      </c>
      <c r="F189" s="3" t="s">
        <v>52</v>
      </c>
      <c r="G189" s="3" t="s">
        <v>247</v>
      </c>
      <c r="H189" s="3" t="s">
        <v>27</v>
      </c>
      <c r="I189" s="3">
        <f>ROUND(12+18+2+4+1+1+1+63,9)</f>
        <v>102</v>
      </c>
      <c r="J189" s="3">
        <v>0</v>
      </c>
      <c r="K189" s="3">
        <f>ROUND(12+18+2+4+1+1+1+63,9)</f>
        <v>102</v>
      </c>
      <c r="O189" s="3">
        <f t="shared" si="159"/>
        <v>154500.84</v>
      </c>
      <c r="P189" s="3">
        <f t="shared" si="160"/>
        <v>1264.6400000000001</v>
      </c>
      <c r="Q189" s="3">
        <f>(ROUND((ROUND((((ET189*1.2))*AV189*I189),2)*BB189),2)+ROUND((ROUND(((AE189-((EU189*1.2)))*AV189*I189),2)*BS189),2))</f>
        <v>142.27000000000001</v>
      </c>
      <c r="R189" s="3">
        <f>(ROUND((ROUND((((EU189*1.2))*AV189*I189),2)*BS189),2)+ROUND((ROUND(((AE189-((EU189*1.2)))*AV189*I189),2)*BS189),2))</f>
        <v>72.13</v>
      </c>
      <c r="S189" s="3">
        <f t="shared" si="161"/>
        <v>153093.93</v>
      </c>
      <c r="T189" s="3">
        <f t="shared" si="162"/>
        <v>0</v>
      </c>
      <c r="U189" s="3">
        <f t="shared" si="163"/>
        <v>215.29670399999998</v>
      </c>
      <c r="V189" s="3">
        <f t="shared" si="164"/>
        <v>0</v>
      </c>
      <c r="W189" s="3">
        <f t="shared" si="165"/>
        <v>0</v>
      </c>
      <c r="X189" s="3">
        <f>(ROUND((((S189+ROUND((ROUND((((EU189*1.2))*AV189*I189),2)*BS189),2))*AT189)/100),2)+ROUND(((ROUND((ROUND(((AE189-((EU189*1.2)))*AV189*I189),2)*BS189),2)*AT189)/100),2))</f>
        <v>137849.45000000001</v>
      </c>
      <c r="Y189" s="3">
        <f>(ROUND((((S189+ROUND((ROUND((((EU189*1.2))*AV189*I189),2)*BS189),2))*AU189)/100),2)+ROUND(((ROUND((ROUND(((AE189-((EU189*1.2)))*AV189*I189),2)*BS189),2)*AU189)/100),2))</f>
        <v>70456.39</v>
      </c>
      <c r="AA189" s="3">
        <v>-1</v>
      </c>
      <c r="AB189" s="3">
        <f t="shared" si="166"/>
        <v>26.771999999999998</v>
      </c>
      <c r="AC189" s="3">
        <f>ROUND(((ES189*1)),6)</f>
        <v>1.26</v>
      </c>
      <c r="AD189" s="3">
        <f>ROUND(((((ET189*1.2))-((EU189*1.2)))+AE189),6)</f>
        <v>7.1999999999999995E-2</v>
      </c>
      <c r="AE189" s="3">
        <f t="shared" si="167"/>
        <v>1.2E-2</v>
      </c>
      <c r="AF189" s="3">
        <f t="shared" si="167"/>
        <v>25.44</v>
      </c>
      <c r="AG189" s="3">
        <f t="shared" si="168"/>
        <v>0</v>
      </c>
      <c r="AH189" s="3">
        <f t="shared" si="169"/>
        <v>2.016</v>
      </c>
      <c r="AI189" s="3">
        <f t="shared" si="169"/>
        <v>0</v>
      </c>
      <c r="AJ189" s="3">
        <f t="shared" si="170"/>
        <v>0</v>
      </c>
      <c r="AK189" s="3">
        <v>22.52</v>
      </c>
      <c r="AL189" s="3">
        <v>1.26</v>
      </c>
      <c r="AM189" s="3">
        <v>0.06</v>
      </c>
      <c r="AN189" s="3">
        <v>0.01</v>
      </c>
      <c r="AO189" s="3">
        <v>21.2</v>
      </c>
      <c r="AP189" s="3">
        <v>0</v>
      </c>
      <c r="AQ189" s="3">
        <v>1.68</v>
      </c>
      <c r="AR189" s="3">
        <v>0</v>
      </c>
      <c r="AS189" s="3">
        <v>0</v>
      </c>
      <c r="AT189" s="3">
        <v>90</v>
      </c>
      <c r="AU189" s="3">
        <v>46</v>
      </c>
      <c r="AV189" s="3">
        <v>1.0469999999999999</v>
      </c>
      <c r="AW189" s="3">
        <v>1</v>
      </c>
      <c r="AZ189" s="3">
        <v>1</v>
      </c>
      <c r="BA189" s="3">
        <v>56.35</v>
      </c>
      <c r="BB189" s="3">
        <v>18.5</v>
      </c>
      <c r="BC189" s="3">
        <v>9.84</v>
      </c>
      <c r="BD189" s="3" t="s">
        <v>3</v>
      </c>
      <c r="BE189" s="3" t="s">
        <v>3</v>
      </c>
      <c r="BF189" s="3" t="s">
        <v>3</v>
      </c>
      <c r="BG189" s="3" t="s">
        <v>3</v>
      </c>
      <c r="BH189" s="3">
        <v>0</v>
      </c>
      <c r="BI189" s="3">
        <v>2</v>
      </c>
      <c r="BJ189" s="3" t="s">
        <v>54</v>
      </c>
      <c r="BM189" s="3">
        <v>68</v>
      </c>
      <c r="BN189" s="3">
        <v>0</v>
      </c>
      <c r="BO189" s="3" t="s">
        <v>52</v>
      </c>
      <c r="BP189" s="3">
        <v>1</v>
      </c>
      <c r="BQ189" s="3">
        <v>40</v>
      </c>
      <c r="BR189" s="3">
        <v>0</v>
      </c>
      <c r="BS189" s="3">
        <v>56.35</v>
      </c>
      <c r="BT189" s="3">
        <v>1</v>
      </c>
      <c r="BU189" s="3">
        <v>1</v>
      </c>
      <c r="BV189" s="3">
        <v>1</v>
      </c>
      <c r="BW189" s="3">
        <v>1</v>
      </c>
      <c r="BX189" s="3">
        <v>1</v>
      </c>
      <c r="BY189" s="3" t="s">
        <v>3</v>
      </c>
      <c r="BZ189" s="3">
        <v>90</v>
      </c>
      <c r="CA189" s="3">
        <v>46</v>
      </c>
      <c r="CB189" s="3" t="s">
        <v>3</v>
      </c>
      <c r="CE189" s="3">
        <v>1566</v>
      </c>
      <c r="CF189" s="3">
        <v>0</v>
      </c>
      <c r="CG189" s="3">
        <v>0</v>
      </c>
      <c r="CM189" s="3">
        <v>0</v>
      </c>
      <c r="CN189" s="3" t="s">
        <v>624</v>
      </c>
      <c r="CO189" s="3">
        <v>0</v>
      </c>
      <c r="CP189" s="3">
        <f t="shared" si="171"/>
        <v>154500.84</v>
      </c>
      <c r="CQ189" s="3">
        <f t="shared" si="172"/>
        <v>12.4</v>
      </c>
      <c r="CR189" s="3">
        <f>(ROUND((ROUND((((ET189*1.2))*AV189*1),2)*BB189),2)+ROUND((ROUND(((AE189-((EU189*1.2)))*AV189*1),2)*BS189),2))</f>
        <v>1.48</v>
      </c>
      <c r="CS189" s="3">
        <f>(ROUND((ROUND((((EU189*1.2))*AV189*1),2)*BS189),2)+ROUND((ROUND(((AE189-((EU189*1.2)))*AV189*1),2)*BS189),2))</f>
        <v>0.56000000000000005</v>
      </c>
      <c r="CT189" s="3">
        <f t="shared" si="173"/>
        <v>1501.16</v>
      </c>
      <c r="CU189" s="3">
        <f t="shared" si="174"/>
        <v>0</v>
      </c>
      <c r="CV189" s="3">
        <f t="shared" si="175"/>
        <v>2.1107519999999997</v>
      </c>
      <c r="CW189" s="3">
        <f t="shared" si="176"/>
        <v>0</v>
      </c>
      <c r="CX189" s="3">
        <f t="shared" si="177"/>
        <v>0</v>
      </c>
      <c r="CY189" s="3">
        <f>(ROUND((((S189+ROUND((ROUND((((EU189*1.2))*AV189*1),2)*BS189),2))*AT189)/100),2)+ROUND(((ROUND((ROUND(((AE189-((EU189*1.2)))*AV189*1),2)*BS189),2)*AT189)/100),2))</f>
        <v>137785.04</v>
      </c>
      <c r="CZ189" s="3">
        <f>(ROUND((((S189+ROUND((ROUND((((EU189*1.2))*AV189*1),2)*BS189),2))*AU189)/100),2)+ROUND(((ROUND((ROUND(((AE189-((EU189*1.2)))*AV189*1),2)*BS189),2)*AU189)/100),2))</f>
        <v>70423.47</v>
      </c>
      <c r="DB189" s="3">
        <v>80</v>
      </c>
      <c r="DC189" s="3" t="s">
        <v>3</v>
      </c>
      <c r="DD189" s="3" t="s">
        <v>70</v>
      </c>
      <c r="DE189" s="3" t="s">
        <v>71</v>
      </c>
      <c r="DF189" s="3" t="s">
        <v>71</v>
      </c>
      <c r="DG189" s="3" t="s">
        <v>71</v>
      </c>
      <c r="DH189" s="3" t="s">
        <v>3</v>
      </c>
      <c r="DI189" s="3" t="s">
        <v>71</v>
      </c>
      <c r="DJ189" s="3" t="s">
        <v>71</v>
      </c>
      <c r="DK189" s="3" t="s">
        <v>3</v>
      </c>
      <c r="DL189" s="3" t="s">
        <v>3</v>
      </c>
      <c r="DM189" s="3" t="s">
        <v>3</v>
      </c>
      <c r="DN189" s="3">
        <v>0</v>
      </c>
      <c r="DO189" s="3">
        <v>0</v>
      </c>
      <c r="DP189" s="3">
        <v>1</v>
      </c>
      <c r="DQ189" s="3">
        <v>1</v>
      </c>
      <c r="DU189" s="3">
        <v>1013</v>
      </c>
      <c r="DV189" s="3" t="s">
        <v>27</v>
      </c>
      <c r="DW189" s="3" t="s">
        <v>27</v>
      </c>
      <c r="DX189" s="3">
        <v>1</v>
      </c>
      <c r="DZ189" s="3" t="s">
        <v>3</v>
      </c>
      <c r="EA189" s="3" t="s">
        <v>3</v>
      </c>
      <c r="EB189" s="3" t="s">
        <v>3</v>
      </c>
      <c r="EC189" s="3" t="s">
        <v>3</v>
      </c>
      <c r="EE189" s="3">
        <v>57042958</v>
      </c>
      <c r="EF189" s="3">
        <v>40</v>
      </c>
      <c r="EG189" s="3" t="s">
        <v>31</v>
      </c>
      <c r="EH189" s="3">
        <v>0</v>
      </c>
      <c r="EI189" s="3" t="s">
        <v>3</v>
      </c>
      <c r="EJ189" s="3">
        <v>2</v>
      </c>
      <c r="EK189" s="3">
        <v>68</v>
      </c>
      <c r="EL189" s="3" t="s">
        <v>32</v>
      </c>
      <c r="EM189" s="3" t="s">
        <v>33</v>
      </c>
      <c r="EO189" s="3" t="s">
        <v>75</v>
      </c>
      <c r="EQ189" s="3">
        <v>1024</v>
      </c>
      <c r="ER189" s="3">
        <v>22.52</v>
      </c>
      <c r="ES189" s="3">
        <v>1.26</v>
      </c>
      <c r="ET189" s="3">
        <v>0.06</v>
      </c>
      <c r="EU189" s="3">
        <v>0.01</v>
      </c>
      <c r="EV189" s="3">
        <v>21.2</v>
      </c>
      <c r="EW189" s="3">
        <v>1.68</v>
      </c>
      <c r="EX189" s="3">
        <v>0</v>
      </c>
      <c r="EY189" s="3">
        <v>0</v>
      </c>
      <c r="FQ189" s="3">
        <v>0</v>
      </c>
      <c r="FR189" s="3">
        <v>0</v>
      </c>
      <c r="FS189" s="3">
        <v>0</v>
      </c>
      <c r="FX189" s="3">
        <v>90</v>
      </c>
      <c r="FY189" s="3">
        <v>46</v>
      </c>
      <c r="GA189" s="3" t="s">
        <v>3</v>
      </c>
      <c r="GD189" s="3">
        <v>1</v>
      </c>
      <c r="GF189" s="3">
        <v>-2112753472</v>
      </c>
      <c r="GG189" s="3">
        <v>2</v>
      </c>
      <c r="GH189" s="3">
        <v>1</v>
      </c>
      <c r="GI189" s="3">
        <v>2</v>
      </c>
      <c r="GJ189" s="3">
        <v>0</v>
      </c>
      <c r="GK189" s="3">
        <v>0</v>
      </c>
      <c r="GL189" s="3">
        <f t="shared" si="178"/>
        <v>0</v>
      </c>
      <c r="GM189" s="3">
        <f t="shared" si="179"/>
        <v>362806.68</v>
      </c>
      <c r="GN189" s="3">
        <f t="shared" si="180"/>
        <v>0</v>
      </c>
      <c r="GO189" s="3">
        <f t="shared" si="181"/>
        <v>362806.68</v>
      </c>
      <c r="GP189" s="3">
        <f t="shared" si="182"/>
        <v>0</v>
      </c>
      <c r="GR189" s="3">
        <v>0</v>
      </c>
      <c r="GS189" s="3">
        <v>3</v>
      </c>
      <c r="GT189" s="3">
        <v>0</v>
      </c>
      <c r="GU189" s="3" t="s">
        <v>3</v>
      </c>
      <c r="GV189" s="3">
        <f t="shared" si="183"/>
        <v>0</v>
      </c>
      <c r="GW189" s="3">
        <v>1</v>
      </c>
      <c r="GX189" s="3">
        <f t="shared" si="184"/>
        <v>0</v>
      </c>
      <c r="HA189" s="3">
        <v>0</v>
      </c>
      <c r="HB189" s="3">
        <v>0</v>
      </c>
      <c r="HC189" s="3">
        <f t="shared" si="185"/>
        <v>0</v>
      </c>
      <c r="HE189" s="3" t="s">
        <v>3</v>
      </c>
      <c r="HF189" s="3" t="s">
        <v>3</v>
      </c>
      <c r="HM189" s="3" t="s">
        <v>3</v>
      </c>
      <c r="HN189" s="3" t="s">
        <v>3</v>
      </c>
      <c r="HO189" s="3" t="s">
        <v>3</v>
      </c>
      <c r="HP189" s="3" t="s">
        <v>3</v>
      </c>
      <c r="HQ189" s="3" t="s">
        <v>3</v>
      </c>
      <c r="HS189" s="3">
        <v>0</v>
      </c>
      <c r="IK189" s="3">
        <v>0</v>
      </c>
    </row>
    <row r="190" spans="1:255" x14ac:dyDescent="0.25">
      <c r="A190" s="2">
        <v>17</v>
      </c>
      <c r="B190" s="2">
        <v>1</v>
      </c>
      <c r="C190" s="2"/>
      <c r="D190" s="2"/>
      <c r="E190" s="2" t="s">
        <v>248</v>
      </c>
      <c r="F190" s="2" t="s">
        <v>249</v>
      </c>
      <c r="G190" s="2" t="s">
        <v>250</v>
      </c>
      <c r="H190" s="2" t="s">
        <v>251</v>
      </c>
      <c r="I190" s="2">
        <v>12</v>
      </c>
      <c r="J190" s="2">
        <v>0</v>
      </c>
      <c r="K190" s="2">
        <v>12</v>
      </c>
      <c r="L190" s="2"/>
      <c r="M190" s="2"/>
      <c r="N190" s="2"/>
      <c r="O190" s="2">
        <f t="shared" si="159"/>
        <v>909.72</v>
      </c>
      <c r="P190" s="2">
        <f t="shared" si="160"/>
        <v>909.72</v>
      </c>
      <c r="Q190" s="2">
        <f t="shared" ref="Q190:Q205" si="186">(ROUND((ROUND(((ET190)*AV190*I190),2)*BB190),2)+ROUND((ROUND(((AE190-(EU190))*AV190*I190),2)*BS190),2))</f>
        <v>0</v>
      </c>
      <c r="R190" s="2">
        <f t="shared" ref="R190:R205" si="187">(ROUND((ROUND(((EU190)*AV190*I190),2)*BS190),2)+ROUND((ROUND(((AE190-(EU190))*AV190*I190),2)*BS190),2))</f>
        <v>0</v>
      </c>
      <c r="S190" s="2">
        <f t="shared" si="161"/>
        <v>0</v>
      </c>
      <c r="T190" s="2">
        <f t="shared" si="162"/>
        <v>0</v>
      </c>
      <c r="U190" s="2">
        <f t="shared" si="163"/>
        <v>0</v>
      </c>
      <c r="V190" s="2">
        <f t="shared" si="164"/>
        <v>0</v>
      </c>
      <c r="W190" s="2">
        <f t="shared" si="165"/>
        <v>0</v>
      </c>
      <c r="X190" s="2">
        <f t="shared" ref="X190:X205" si="188">(ROUND((((S190+ROUND((ROUND(((EU190)*AV190*I190),2)*BS190),2))*AT190)/100),2)+ROUND(((ROUND((ROUND(((AE190-(EU190))*AV190*I190),2)*BS190),2)*AT190)/100),2))</f>
        <v>0</v>
      </c>
      <c r="Y190" s="2">
        <f t="shared" ref="Y190:Y205" si="189">(ROUND((((S190+ROUND((ROUND(((EU190)*AV190*I190),2)*BS190),2))*AU190)/100),2)+ROUND(((ROUND((ROUND(((AE190-(EU190))*AV190*I190),2)*BS190),2)*AU190)/100),2))</f>
        <v>0</v>
      </c>
      <c r="Z190" s="2"/>
      <c r="AA190" s="2">
        <v>57014138</v>
      </c>
      <c r="AB190" s="2">
        <f t="shared" si="166"/>
        <v>75.81</v>
      </c>
      <c r="AC190" s="2">
        <f t="shared" ref="AC190:AC205" si="190">ROUND((ES190),6)</f>
        <v>75.81</v>
      </c>
      <c r="AD190" s="2">
        <f t="shared" ref="AD190:AD205" si="191">ROUND((((ET190)-(EU190))+AE190),6)</f>
        <v>0</v>
      </c>
      <c r="AE190" s="2">
        <f t="shared" ref="AE190:AE205" si="192">ROUND((EU190),6)</f>
        <v>0</v>
      </c>
      <c r="AF190" s="2">
        <f t="shared" ref="AF190:AF205" si="193">ROUND((EV190),6)</f>
        <v>0</v>
      </c>
      <c r="AG190" s="2">
        <f t="shared" si="168"/>
        <v>0</v>
      </c>
      <c r="AH190" s="2">
        <f t="shared" ref="AH190:AH205" si="194">(EW190)</f>
        <v>0</v>
      </c>
      <c r="AI190" s="2">
        <f t="shared" ref="AI190:AI205" si="195">(EX190)</f>
        <v>0</v>
      </c>
      <c r="AJ190" s="2">
        <f t="shared" si="170"/>
        <v>0</v>
      </c>
      <c r="AK190" s="2">
        <v>75.81</v>
      </c>
      <c r="AL190" s="2">
        <v>75.81</v>
      </c>
      <c r="AM190" s="2">
        <v>0</v>
      </c>
      <c r="AN190" s="2">
        <v>0</v>
      </c>
      <c r="AO190" s="2">
        <v>0</v>
      </c>
      <c r="AP190" s="2">
        <v>0</v>
      </c>
      <c r="AQ190" s="2">
        <v>0</v>
      </c>
      <c r="AR190" s="2">
        <v>0</v>
      </c>
      <c r="AS190" s="2">
        <v>0</v>
      </c>
      <c r="AT190" s="2">
        <v>0</v>
      </c>
      <c r="AU190" s="2">
        <v>0</v>
      </c>
      <c r="AV190" s="2">
        <v>1</v>
      </c>
      <c r="AW190" s="2">
        <v>1</v>
      </c>
      <c r="AX190" s="2"/>
      <c r="AY190" s="2"/>
      <c r="AZ190" s="2">
        <v>1</v>
      </c>
      <c r="BA190" s="2">
        <v>1</v>
      </c>
      <c r="BB190" s="2">
        <v>1</v>
      </c>
      <c r="BC190" s="2">
        <v>1</v>
      </c>
      <c r="BD190" s="2" t="s">
        <v>3</v>
      </c>
      <c r="BE190" s="2" t="s">
        <v>3</v>
      </c>
      <c r="BF190" s="2" t="s">
        <v>3</v>
      </c>
      <c r="BG190" s="2" t="s">
        <v>3</v>
      </c>
      <c r="BH190" s="2">
        <v>3</v>
      </c>
      <c r="BI190" s="2">
        <v>2</v>
      </c>
      <c r="BJ190" s="2" t="s">
        <v>252</v>
      </c>
      <c r="BK190" s="2"/>
      <c r="BL190" s="2"/>
      <c r="BM190" s="2">
        <v>1618</v>
      </c>
      <c r="BN190" s="2">
        <v>0</v>
      </c>
      <c r="BO190" s="2" t="s">
        <v>3</v>
      </c>
      <c r="BP190" s="2">
        <v>0</v>
      </c>
      <c r="BQ190" s="2">
        <v>201</v>
      </c>
      <c r="BR190" s="2">
        <v>0</v>
      </c>
      <c r="BS190" s="2">
        <v>1</v>
      </c>
      <c r="BT190" s="2">
        <v>1</v>
      </c>
      <c r="BU190" s="2">
        <v>1</v>
      </c>
      <c r="BV190" s="2">
        <v>1</v>
      </c>
      <c r="BW190" s="2">
        <v>1</v>
      </c>
      <c r="BX190" s="2">
        <v>1</v>
      </c>
      <c r="BY190" s="2" t="s">
        <v>3</v>
      </c>
      <c r="BZ190" s="2">
        <v>0</v>
      </c>
      <c r="CA190" s="2">
        <v>0</v>
      </c>
      <c r="CB190" s="2" t="s">
        <v>3</v>
      </c>
      <c r="CC190" s="2"/>
      <c r="CD190" s="2"/>
      <c r="CE190" s="2">
        <v>1566</v>
      </c>
      <c r="CF190" s="2">
        <v>0</v>
      </c>
      <c r="CG190" s="2">
        <v>0</v>
      </c>
      <c r="CH190" s="2"/>
      <c r="CI190" s="2"/>
      <c r="CJ190" s="2"/>
      <c r="CK190" s="2"/>
      <c r="CL190" s="2"/>
      <c r="CM190" s="2">
        <v>0</v>
      </c>
      <c r="CN190" s="2" t="s">
        <v>3</v>
      </c>
      <c r="CO190" s="2">
        <v>0</v>
      </c>
      <c r="CP190" s="2">
        <f t="shared" si="171"/>
        <v>909.72</v>
      </c>
      <c r="CQ190" s="2">
        <f t="shared" si="172"/>
        <v>75.81</v>
      </c>
      <c r="CR190" s="2">
        <f t="shared" ref="CR190:CR205" si="196">(ROUND((ROUND(((ET190)*AV190*1),2)*BB190),2)+ROUND((ROUND(((AE190-(EU190))*AV190*1),2)*BS190),2))</f>
        <v>0</v>
      </c>
      <c r="CS190" s="2">
        <f t="shared" ref="CS190:CS205" si="197">(ROUND((ROUND(((EU190)*AV190*1),2)*BS190),2)+ROUND((ROUND(((AE190-(EU190))*AV190*1),2)*BS190),2))</f>
        <v>0</v>
      </c>
      <c r="CT190" s="2">
        <f t="shared" si="173"/>
        <v>0</v>
      </c>
      <c r="CU190" s="2">
        <f t="shared" si="174"/>
        <v>0</v>
      </c>
      <c r="CV190" s="2">
        <f t="shared" si="175"/>
        <v>0</v>
      </c>
      <c r="CW190" s="2">
        <f t="shared" si="176"/>
        <v>0</v>
      </c>
      <c r="CX190" s="2">
        <f t="shared" si="177"/>
        <v>0</v>
      </c>
      <c r="CY190" s="2">
        <f t="shared" ref="CY190:CY205" si="198">(ROUND((((S190+ROUND((ROUND(((EU190)*AV190*1),2)*BS190),2))*AT190)/100),2)+ROUND(((ROUND((ROUND(((AE190-(EU190))*AV190*1),2)*BS190),2)*AT190)/100),2))</f>
        <v>0</v>
      </c>
      <c r="CZ190" s="2">
        <f t="shared" ref="CZ190:CZ205" si="199">(ROUND((((S190+ROUND((ROUND(((EU190)*AV190*1),2)*BS190),2))*AU190)/100),2)+ROUND(((ROUND((ROUND(((AE190-(EU190))*AV190*1),2)*BS190),2)*AU190)/100),2))</f>
        <v>0</v>
      </c>
      <c r="DA190" s="2"/>
      <c r="DB190" s="2"/>
      <c r="DC190" s="2" t="s">
        <v>3</v>
      </c>
      <c r="DD190" s="2" t="s">
        <v>3</v>
      </c>
      <c r="DE190" s="2" t="s">
        <v>3</v>
      </c>
      <c r="DF190" s="2" t="s">
        <v>3</v>
      </c>
      <c r="DG190" s="2" t="s">
        <v>3</v>
      </c>
      <c r="DH190" s="2" t="s">
        <v>3</v>
      </c>
      <c r="DI190" s="2" t="s">
        <v>3</v>
      </c>
      <c r="DJ190" s="2" t="s">
        <v>3</v>
      </c>
      <c r="DK190" s="2" t="s">
        <v>3</v>
      </c>
      <c r="DL190" s="2" t="s">
        <v>3</v>
      </c>
      <c r="DM190" s="2" t="s">
        <v>3</v>
      </c>
      <c r="DN190" s="2">
        <v>0</v>
      </c>
      <c r="DO190" s="2">
        <v>0</v>
      </c>
      <c r="DP190" s="2">
        <v>1</v>
      </c>
      <c r="DQ190" s="2">
        <v>1</v>
      </c>
      <c r="DR190" s="2"/>
      <c r="DS190" s="2"/>
      <c r="DT190" s="2"/>
      <c r="DU190" s="2">
        <v>1010</v>
      </c>
      <c r="DV190" s="2" t="s">
        <v>251</v>
      </c>
      <c r="DW190" s="2" t="s">
        <v>251</v>
      </c>
      <c r="DX190" s="2">
        <v>1</v>
      </c>
      <c r="DY190" s="2"/>
      <c r="DZ190" s="2" t="s">
        <v>3</v>
      </c>
      <c r="EA190" s="2" t="s">
        <v>3</v>
      </c>
      <c r="EB190" s="2" t="s">
        <v>3</v>
      </c>
      <c r="EC190" s="2" t="s">
        <v>3</v>
      </c>
      <c r="ED190" s="2"/>
      <c r="EE190" s="2">
        <v>57042987</v>
      </c>
      <c r="EF190" s="2">
        <v>201</v>
      </c>
      <c r="EG190" s="2" t="s">
        <v>253</v>
      </c>
      <c r="EH190" s="2">
        <v>0</v>
      </c>
      <c r="EI190" s="2" t="s">
        <v>3</v>
      </c>
      <c r="EJ190" s="2">
        <v>2</v>
      </c>
      <c r="EK190" s="2">
        <v>1618</v>
      </c>
      <c r="EL190" s="2" t="s">
        <v>254</v>
      </c>
      <c r="EM190" s="2" t="s">
        <v>255</v>
      </c>
      <c r="EN190" s="2"/>
      <c r="EO190" s="2" t="s">
        <v>3</v>
      </c>
      <c r="EP190" s="2"/>
      <c r="EQ190" s="2">
        <v>0</v>
      </c>
      <c r="ER190" s="2">
        <v>75.81</v>
      </c>
      <c r="ES190" s="2">
        <v>75.81</v>
      </c>
      <c r="ET190" s="2">
        <v>0</v>
      </c>
      <c r="EU190" s="2">
        <v>0</v>
      </c>
      <c r="EV190" s="2">
        <v>0</v>
      </c>
      <c r="EW190" s="2">
        <v>0</v>
      </c>
      <c r="EX190" s="2">
        <v>0</v>
      </c>
      <c r="EY190" s="2">
        <v>0</v>
      </c>
      <c r="EZ190" s="2"/>
      <c r="FA190" s="2"/>
      <c r="FB190" s="2"/>
      <c r="FC190" s="2"/>
      <c r="FD190" s="2"/>
      <c r="FE190" s="2"/>
      <c r="FF190" s="2"/>
      <c r="FG190" s="2"/>
      <c r="FH190" s="2"/>
      <c r="FI190" s="2"/>
      <c r="FJ190" s="2"/>
      <c r="FK190" s="2"/>
      <c r="FL190" s="2"/>
      <c r="FM190" s="2"/>
      <c r="FN190" s="2"/>
      <c r="FO190" s="2"/>
      <c r="FP190" s="2"/>
      <c r="FQ190" s="2">
        <v>0</v>
      </c>
      <c r="FR190" s="2">
        <v>0</v>
      </c>
      <c r="FS190" s="2">
        <v>0</v>
      </c>
      <c r="FT190" s="2"/>
      <c r="FU190" s="2"/>
      <c r="FV190" s="2"/>
      <c r="FW190" s="2"/>
      <c r="FX190" s="2">
        <v>0</v>
      </c>
      <c r="FY190" s="2">
        <v>0</v>
      </c>
      <c r="FZ190" s="2"/>
      <c r="GA190" s="2" t="s">
        <v>3</v>
      </c>
      <c r="GB190" s="2"/>
      <c r="GC190" s="2"/>
      <c r="GD190" s="2">
        <v>1</v>
      </c>
      <c r="GE190" s="2"/>
      <c r="GF190" s="2">
        <v>-500154452</v>
      </c>
      <c r="GG190" s="2">
        <v>2</v>
      </c>
      <c r="GH190" s="2">
        <v>1</v>
      </c>
      <c r="GI190" s="2">
        <v>-2</v>
      </c>
      <c r="GJ190" s="2">
        <v>0</v>
      </c>
      <c r="GK190" s="2">
        <v>0</v>
      </c>
      <c r="GL190" s="2">
        <f t="shared" si="178"/>
        <v>0</v>
      </c>
      <c r="GM190" s="2">
        <f t="shared" si="179"/>
        <v>909.72</v>
      </c>
      <c r="GN190" s="2">
        <f t="shared" si="180"/>
        <v>0</v>
      </c>
      <c r="GO190" s="2">
        <f t="shared" si="181"/>
        <v>909.72</v>
      </c>
      <c r="GP190" s="2">
        <f t="shared" si="182"/>
        <v>0</v>
      </c>
      <c r="GQ190" s="2"/>
      <c r="GR190" s="2">
        <v>0</v>
      </c>
      <c r="GS190" s="2">
        <v>3</v>
      </c>
      <c r="GT190" s="2">
        <v>0</v>
      </c>
      <c r="GU190" s="2" t="s">
        <v>3</v>
      </c>
      <c r="GV190" s="2">
        <f t="shared" si="183"/>
        <v>0</v>
      </c>
      <c r="GW190" s="2">
        <v>1</v>
      </c>
      <c r="GX190" s="2">
        <f t="shared" si="184"/>
        <v>0</v>
      </c>
      <c r="GY190" s="2"/>
      <c r="GZ190" s="2"/>
      <c r="HA190" s="2">
        <v>0</v>
      </c>
      <c r="HB190" s="2">
        <v>0</v>
      </c>
      <c r="HC190" s="2">
        <f t="shared" si="185"/>
        <v>0</v>
      </c>
      <c r="HD190" s="2"/>
      <c r="HE190" s="2" t="s">
        <v>3</v>
      </c>
      <c r="HF190" s="2" t="s">
        <v>3</v>
      </c>
      <c r="HG190" s="2"/>
      <c r="HH190" s="2"/>
      <c r="HI190" s="2"/>
      <c r="HJ190" s="2"/>
      <c r="HK190" s="2"/>
      <c r="HL190" s="2"/>
      <c r="HM190" s="2" t="s">
        <v>3</v>
      </c>
      <c r="HN190" s="2" t="s">
        <v>3</v>
      </c>
      <c r="HO190" s="2" t="s">
        <v>3</v>
      </c>
      <c r="HP190" s="2" t="s">
        <v>3</v>
      </c>
      <c r="HQ190" s="2" t="s">
        <v>3</v>
      </c>
      <c r="HR190" s="2"/>
      <c r="HS190" s="2">
        <v>0</v>
      </c>
      <c r="HT190" s="2"/>
      <c r="HU190" s="2"/>
      <c r="HV190" s="2"/>
      <c r="HW190" s="2"/>
      <c r="HX190" s="2"/>
      <c r="HY190" s="2"/>
      <c r="HZ190" s="2"/>
      <c r="IA190" s="2"/>
      <c r="IB190" s="2"/>
      <c r="IC190" s="2"/>
      <c r="ID190" s="2"/>
      <c r="IE190" s="2"/>
      <c r="IF190" s="2"/>
      <c r="IG190" s="2"/>
      <c r="IH190" s="2"/>
      <c r="II190" s="2"/>
      <c r="IJ190" s="2"/>
      <c r="IK190" s="2">
        <v>0</v>
      </c>
      <c r="IL190" s="2"/>
      <c r="IM190" s="2"/>
      <c r="IN190" s="2"/>
      <c r="IO190" s="2"/>
      <c r="IP190" s="2"/>
      <c r="IQ190" s="2"/>
      <c r="IR190" s="2"/>
      <c r="IS190" s="2"/>
      <c r="IT190" s="2"/>
      <c r="IU190" s="2"/>
    </row>
    <row r="191" spans="1:255" x14ac:dyDescent="0.25">
      <c r="A191" s="3">
        <v>17</v>
      </c>
      <c r="B191" s="3">
        <v>1</v>
      </c>
      <c r="E191" s="3" t="s">
        <v>248</v>
      </c>
      <c r="F191" s="3" t="s">
        <v>249</v>
      </c>
      <c r="G191" s="3" t="s">
        <v>250</v>
      </c>
      <c r="H191" s="3" t="s">
        <v>251</v>
      </c>
      <c r="I191" s="3">
        <v>12</v>
      </c>
      <c r="J191" s="3">
        <v>0</v>
      </c>
      <c r="K191" s="3">
        <v>12</v>
      </c>
      <c r="O191" s="3">
        <f t="shared" si="159"/>
        <v>56348.06</v>
      </c>
      <c r="P191" s="3">
        <f t="shared" si="160"/>
        <v>56348.06</v>
      </c>
      <c r="Q191" s="3">
        <f t="shared" si="186"/>
        <v>0</v>
      </c>
      <c r="R191" s="3">
        <f t="shared" si="187"/>
        <v>0</v>
      </c>
      <c r="S191" s="3">
        <f t="shared" si="161"/>
        <v>0</v>
      </c>
      <c r="T191" s="3">
        <f t="shared" si="162"/>
        <v>0</v>
      </c>
      <c r="U191" s="3">
        <f t="shared" si="163"/>
        <v>0</v>
      </c>
      <c r="V191" s="3">
        <f t="shared" si="164"/>
        <v>0</v>
      </c>
      <c r="W191" s="3">
        <f t="shared" si="165"/>
        <v>0</v>
      </c>
      <c r="X191" s="3">
        <f t="shared" si="188"/>
        <v>0</v>
      </c>
      <c r="Y191" s="3">
        <f t="shared" si="189"/>
        <v>0</v>
      </c>
      <c r="AA191" s="3">
        <v>57014140</v>
      </c>
      <c r="AB191" s="3">
        <f t="shared" si="166"/>
        <v>75.81</v>
      </c>
      <c r="AC191" s="3">
        <f t="shared" si="190"/>
        <v>75.81</v>
      </c>
      <c r="AD191" s="3">
        <f t="shared" si="191"/>
        <v>0</v>
      </c>
      <c r="AE191" s="3">
        <f t="shared" si="192"/>
        <v>0</v>
      </c>
      <c r="AF191" s="3">
        <f t="shared" si="193"/>
        <v>0</v>
      </c>
      <c r="AG191" s="3">
        <f t="shared" si="168"/>
        <v>0</v>
      </c>
      <c r="AH191" s="3">
        <f t="shared" si="194"/>
        <v>0</v>
      </c>
      <c r="AI191" s="3">
        <f t="shared" si="195"/>
        <v>0</v>
      </c>
      <c r="AJ191" s="3">
        <f t="shared" si="170"/>
        <v>0</v>
      </c>
      <c r="AK191" s="3">
        <v>75.81</v>
      </c>
      <c r="AL191" s="3">
        <v>75.81</v>
      </c>
      <c r="AM191" s="3">
        <v>0</v>
      </c>
      <c r="AN191" s="3">
        <v>0</v>
      </c>
      <c r="AO191" s="3">
        <v>0</v>
      </c>
      <c r="AP191" s="3">
        <v>0</v>
      </c>
      <c r="AQ191" s="3">
        <v>0</v>
      </c>
      <c r="AR191" s="3">
        <v>0</v>
      </c>
      <c r="AS191" s="3">
        <v>0</v>
      </c>
      <c r="AT191" s="3">
        <v>0</v>
      </c>
      <c r="AU191" s="3">
        <v>0</v>
      </c>
      <c r="AV191" s="3">
        <v>1</v>
      </c>
      <c r="AW191" s="3">
        <v>1</v>
      </c>
      <c r="AZ191" s="3">
        <v>1</v>
      </c>
      <c r="BA191" s="3">
        <v>1</v>
      </c>
      <c r="BB191" s="3">
        <v>1</v>
      </c>
      <c r="BC191" s="3">
        <v>61.94</v>
      </c>
      <c r="BD191" s="3" t="s">
        <v>3</v>
      </c>
      <c r="BE191" s="3" t="s">
        <v>3</v>
      </c>
      <c r="BF191" s="3" t="s">
        <v>3</v>
      </c>
      <c r="BG191" s="3" t="s">
        <v>3</v>
      </c>
      <c r="BH191" s="3">
        <v>3</v>
      </c>
      <c r="BI191" s="3">
        <v>2</v>
      </c>
      <c r="BJ191" s="3" t="s">
        <v>252</v>
      </c>
      <c r="BM191" s="3">
        <v>1618</v>
      </c>
      <c r="BN191" s="3">
        <v>0</v>
      </c>
      <c r="BO191" s="3" t="s">
        <v>249</v>
      </c>
      <c r="BP191" s="3">
        <v>1</v>
      </c>
      <c r="BQ191" s="3">
        <v>201</v>
      </c>
      <c r="BR191" s="3">
        <v>0</v>
      </c>
      <c r="BS191" s="3">
        <v>1</v>
      </c>
      <c r="BT191" s="3">
        <v>1</v>
      </c>
      <c r="BU191" s="3">
        <v>1</v>
      </c>
      <c r="BV191" s="3">
        <v>1</v>
      </c>
      <c r="BW191" s="3">
        <v>1</v>
      </c>
      <c r="BX191" s="3">
        <v>1</v>
      </c>
      <c r="BY191" s="3" t="s">
        <v>3</v>
      </c>
      <c r="BZ191" s="3">
        <v>0</v>
      </c>
      <c r="CA191" s="3">
        <v>0</v>
      </c>
      <c r="CB191" s="3" t="s">
        <v>3</v>
      </c>
      <c r="CE191" s="3">
        <v>1566</v>
      </c>
      <c r="CF191" s="3">
        <v>0</v>
      </c>
      <c r="CG191" s="3">
        <v>0</v>
      </c>
      <c r="CM191" s="3">
        <v>0</v>
      </c>
      <c r="CN191" s="3" t="s">
        <v>3</v>
      </c>
      <c r="CO191" s="3">
        <v>0</v>
      </c>
      <c r="CP191" s="3">
        <f t="shared" si="171"/>
        <v>56348.06</v>
      </c>
      <c r="CQ191" s="3">
        <f t="shared" si="172"/>
        <v>4695.67</v>
      </c>
      <c r="CR191" s="3">
        <f t="shared" si="196"/>
        <v>0</v>
      </c>
      <c r="CS191" s="3">
        <f t="shared" si="197"/>
        <v>0</v>
      </c>
      <c r="CT191" s="3">
        <f t="shared" si="173"/>
        <v>0</v>
      </c>
      <c r="CU191" s="3">
        <f t="shared" si="174"/>
        <v>0</v>
      </c>
      <c r="CV191" s="3">
        <f t="shared" si="175"/>
        <v>0</v>
      </c>
      <c r="CW191" s="3">
        <f t="shared" si="176"/>
        <v>0</v>
      </c>
      <c r="CX191" s="3">
        <f t="shared" si="177"/>
        <v>0</v>
      </c>
      <c r="CY191" s="3">
        <f t="shared" si="198"/>
        <v>0</v>
      </c>
      <c r="CZ191" s="3">
        <f t="shared" si="199"/>
        <v>0</v>
      </c>
      <c r="DC191" s="3" t="s">
        <v>3</v>
      </c>
      <c r="DD191" s="3" t="s">
        <v>3</v>
      </c>
      <c r="DE191" s="3" t="s">
        <v>3</v>
      </c>
      <c r="DF191" s="3" t="s">
        <v>3</v>
      </c>
      <c r="DG191" s="3" t="s">
        <v>3</v>
      </c>
      <c r="DH191" s="3" t="s">
        <v>3</v>
      </c>
      <c r="DI191" s="3" t="s">
        <v>3</v>
      </c>
      <c r="DJ191" s="3" t="s">
        <v>3</v>
      </c>
      <c r="DK191" s="3" t="s">
        <v>3</v>
      </c>
      <c r="DL191" s="3" t="s">
        <v>3</v>
      </c>
      <c r="DM191" s="3" t="s">
        <v>3</v>
      </c>
      <c r="DN191" s="3">
        <v>0</v>
      </c>
      <c r="DO191" s="3">
        <v>0</v>
      </c>
      <c r="DP191" s="3">
        <v>1</v>
      </c>
      <c r="DQ191" s="3">
        <v>1</v>
      </c>
      <c r="DU191" s="3">
        <v>1010</v>
      </c>
      <c r="DV191" s="3" t="s">
        <v>251</v>
      </c>
      <c r="DW191" s="3" t="s">
        <v>251</v>
      </c>
      <c r="DX191" s="3">
        <v>1</v>
      </c>
      <c r="DZ191" s="3" t="s">
        <v>3</v>
      </c>
      <c r="EA191" s="3" t="s">
        <v>3</v>
      </c>
      <c r="EB191" s="3" t="s">
        <v>3</v>
      </c>
      <c r="EC191" s="3" t="s">
        <v>3</v>
      </c>
      <c r="EE191" s="3">
        <v>57042987</v>
      </c>
      <c r="EF191" s="3">
        <v>201</v>
      </c>
      <c r="EG191" s="3" t="s">
        <v>253</v>
      </c>
      <c r="EH191" s="3">
        <v>0</v>
      </c>
      <c r="EI191" s="3" t="s">
        <v>3</v>
      </c>
      <c r="EJ191" s="3">
        <v>2</v>
      </c>
      <c r="EK191" s="3">
        <v>1618</v>
      </c>
      <c r="EL191" s="3" t="s">
        <v>254</v>
      </c>
      <c r="EM191" s="3" t="s">
        <v>255</v>
      </c>
      <c r="EO191" s="3" t="s">
        <v>3</v>
      </c>
      <c r="EQ191" s="3">
        <v>0</v>
      </c>
      <c r="ER191" s="3">
        <v>75.81</v>
      </c>
      <c r="ES191" s="3">
        <v>75.81</v>
      </c>
      <c r="ET191" s="3">
        <v>0</v>
      </c>
      <c r="EU191" s="3">
        <v>0</v>
      </c>
      <c r="EV191" s="3">
        <v>0</v>
      </c>
      <c r="EW191" s="3">
        <v>0</v>
      </c>
      <c r="EX191" s="3">
        <v>0</v>
      </c>
      <c r="EY191" s="3">
        <v>0</v>
      </c>
      <c r="FQ191" s="3">
        <v>0</v>
      </c>
      <c r="FR191" s="3">
        <v>0</v>
      </c>
      <c r="FS191" s="3">
        <v>0</v>
      </c>
      <c r="FX191" s="3">
        <v>0</v>
      </c>
      <c r="FY191" s="3">
        <v>0</v>
      </c>
      <c r="GA191" s="3" t="s">
        <v>3</v>
      </c>
      <c r="GD191" s="3">
        <v>1</v>
      </c>
      <c r="GF191" s="3">
        <v>-500154452</v>
      </c>
      <c r="GG191" s="3">
        <v>2</v>
      </c>
      <c r="GH191" s="3">
        <v>1</v>
      </c>
      <c r="GI191" s="3">
        <v>2</v>
      </c>
      <c r="GJ191" s="3">
        <v>0</v>
      </c>
      <c r="GK191" s="3">
        <v>0</v>
      </c>
      <c r="GL191" s="3">
        <f t="shared" si="178"/>
        <v>0</v>
      </c>
      <c r="GM191" s="3">
        <f t="shared" si="179"/>
        <v>56348.06</v>
      </c>
      <c r="GN191" s="3">
        <f t="shared" si="180"/>
        <v>0</v>
      </c>
      <c r="GO191" s="3">
        <f t="shared" si="181"/>
        <v>56348.06</v>
      </c>
      <c r="GP191" s="3">
        <f t="shared" si="182"/>
        <v>0</v>
      </c>
      <c r="GR191" s="3">
        <v>0</v>
      </c>
      <c r="GS191" s="3">
        <v>3</v>
      </c>
      <c r="GT191" s="3">
        <v>0</v>
      </c>
      <c r="GU191" s="3" t="s">
        <v>3</v>
      </c>
      <c r="GV191" s="3">
        <f t="shared" si="183"/>
        <v>0</v>
      </c>
      <c r="GW191" s="3">
        <v>1</v>
      </c>
      <c r="GX191" s="3">
        <f t="shared" si="184"/>
        <v>0</v>
      </c>
      <c r="HA191" s="3">
        <v>0</v>
      </c>
      <c r="HB191" s="3">
        <v>0</v>
      </c>
      <c r="HC191" s="3">
        <f t="shared" si="185"/>
        <v>0</v>
      </c>
      <c r="HE191" s="3" t="s">
        <v>3</v>
      </c>
      <c r="HF191" s="3" t="s">
        <v>3</v>
      </c>
      <c r="HM191" s="3" t="s">
        <v>3</v>
      </c>
      <c r="HN191" s="3" t="s">
        <v>3</v>
      </c>
      <c r="HO191" s="3" t="s">
        <v>3</v>
      </c>
      <c r="HP191" s="3" t="s">
        <v>3</v>
      </c>
      <c r="HQ191" s="3" t="s">
        <v>3</v>
      </c>
      <c r="HS191" s="3">
        <v>0</v>
      </c>
      <c r="IK191" s="3">
        <v>0</v>
      </c>
    </row>
    <row r="192" spans="1:255" x14ac:dyDescent="0.25">
      <c r="A192" s="2">
        <v>17</v>
      </c>
      <c r="B192" s="2">
        <v>1</v>
      </c>
      <c r="C192" s="2"/>
      <c r="D192" s="2"/>
      <c r="E192" s="2" t="s">
        <v>256</v>
      </c>
      <c r="F192" s="2" t="s">
        <v>249</v>
      </c>
      <c r="G192" s="2" t="s">
        <v>257</v>
      </c>
      <c r="H192" s="2" t="s">
        <v>251</v>
      </c>
      <c r="I192" s="2">
        <v>18</v>
      </c>
      <c r="J192" s="2">
        <v>0</v>
      </c>
      <c r="K192" s="2">
        <v>18</v>
      </c>
      <c r="L192" s="2"/>
      <c r="M192" s="2"/>
      <c r="N192" s="2"/>
      <c r="O192" s="2">
        <f t="shared" si="159"/>
        <v>1364.58</v>
      </c>
      <c r="P192" s="2">
        <f t="shared" si="160"/>
        <v>1364.58</v>
      </c>
      <c r="Q192" s="2">
        <f t="shared" si="186"/>
        <v>0</v>
      </c>
      <c r="R192" s="2">
        <f t="shared" si="187"/>
        <v>0</v>
      </c>
      <c r="S192" s="2">
        <f t="shared" si="161"/>
        <v>0</v>
      </c>
      <c r="T192" s="2">
        <f t="shared" si="162"/>
        <v>0</v>
      </c>
      <c r="U192" s="2">
        <f t="shared" si="163"/>
        <v>0</v>
      </c>
      <c r="V192" s="2">
        <f t="shared" si="164"/>
        <v>0</v>
      </c>
      <c r="W192" s="2">
        <f t="shared" si="165"/>
        <v>0</v>
      </c>
      <c r="X192" s="2">
        <f t="shared" si="188"/>
        <v>0</v>
      </c>
      <c r="Y192" s="2">
        <f t="shared" si="189"/>
        <v>0</v>
      </c>
      <c r="Z192" s="2"/>
      <c r="AA192" s="2">
        <v>57014138</v>
      </c>
      <c r="AB192" s="2">
        <f t="shared" si="166"/>
        <v>75.81</v>
      </c>
      <c r="AC192" s="2">
        <f t="shared" si="190"/>
        <v>75.81</v>
      </c>
      <c r="AD192" s="2">
        <f t="shared" si="191"/>
        <v>0</v>
      </c>
      <c r="AE192" s="2">
        <f t="shared" si="192"/>
        <v>0</v>
      </c>
      <c r="AF192" s="2">
        <f t="shared" si="193"/>
        <v>0</v>
      </c>
      <c r="AG192" s="2">
        <f t="shared" si="168"/>
        <v>0</v>
      </c>
      <c r="AH192" s="2">
        <f t="shared" si="194"/>
        <v>0</v>
      </c>
      <c r="AI192" s="2">
        <f t="shared" si="195"/>
        <v>0</v>
      </c>
      <c r="AJ192" s="2">
        <f t="shared" si="170"/>
        <v>0</v>
      </c>
      <c r="AK192" s="2">
        <v>75.81</v>
      </c>
      <c r="AL192" s="2">
        <v>75.81</v>
      </c>
      <c r="AM192" s="2">
        <v>0</v>
      </c>
      <c r="AN192" s="2">
        <v>0</v>
      </c>
      <c r="AO192" s="2">
        <v>0</v>
      </c>
      <c r="AP192" s="2">
        <v>0</v>
      </c>
      <c r="AQ192" s="2">
        <v>0</v>
      </c>
      <c r="AR192" s="2">
        <v>0</v>
      </c>
      <c r="AS192" s="2">
        <v>0</v>
      </c>
      <c r="AT192" s="2">
        <v>0</v>
      </c>
      <c r="AU192" s="2">
        <v>0</v>
      </c>
      <c r="AV192" s="2">
        <v>1</v>
      </c>
      <c r="AW192" s="2">
        <v>1</v>
      </c>
      <c r="AX192" s="2"/>
      <c r="AY192" s="2"/>
      <c r="AZ192" s="2">
        <v>1</v>
      </c>
      <c r="BA192" s="2">
        <v>1</v>
      </c>
      <c r="BB192" s="2">
        <v>1</v>
      </c>
      <c r="BC192" s="2">
        <v>1</v>
      </c>
      <c r="BD192" s="2" t="s">
        <v>3</v>
      </c>
      <c r="BE192" s="2" t="s">
        <v>3</v>
      </c>
      <c r="BF192" s="2" t="s">
        <v>3</v>
      </c>
      <c r="BG192" s="2" t="s">
        <v>3</v>
      </c>
      <c r="BH192" s="2">
        <v>3</v>
      </c>
      <c r="BI192" s="2">
        <v>2</v>
      </c>
      <c r="BJ192" s="2" t="s">
        <v>252</v>
      </c>
      <c r="BK192" s="2"/>
      <c r="BL192" s="2"/>
      <c r="BM192" s="2">
        <v>1618</v>
      </c>
      <c r="BN192" s="2">
        <v>0</v>
      </c>
      <c r="BO192" s="2" t="s">
        <v>3</v>
      </c>
      <c r="BP192" s="2">
        <v>0</v>
      </c>
      <c r="BQ192" s="2">
        <v>201</v>
      </c>
      <c r="BR192" s="2">
        <v>0</v>
      </c>
      <c r="BS192" s="2">
        <v>1</v>
      </c>
      <c r="BT192" s="2">
        <v>1</v>
      </c>
      <c r="BU192" s="2">
        <v>1</v>
      </c>
      <c r="BV192" s="2">
        <v>1</v>
      </c>
      <c r="BW192" s="2">
        <v>1</v>
      </c>
      <c r="BX192" s="2">
        <v>1</v>
      </c>
      <c r="BY192" s="2" t="s">
        <v>3</v>
      </c>
      <c r="BZ192" s="2">
        <v>0</v>
      </c>
      <c r="CA192" s="2">
        <v>0</v>
      </c>
      <c r="CB192" s="2" t="s">
        <v>3</v>
      </c>
      <c r="CC192" s="2"/>
      <c r="CD192" s="2"/>
      <c r="CE192" s="2">
        <v>1566</v>
      </c>
      <c r="CF192" s="2">
        <v>0</v>
      </c>
      <c r="CG192" s="2">
        <v>0</v>
      </c>
      <c r="CH192" s="2"/>
      <c r="CI192" s="2"/>
      <c r="CJ192" s="2"/>
      <c r="CK192" s="2"/>
      <c r="CL192" s="2"/>
      <c r="CM192" s="2">
        <v>0</v>
      </c>
      <c r="CN192" s="2" t="s">
        <v>3</v>
      </c>
      <c r="CO192" s="2">
        <v>0</v>
      </c>
      <c r="CP192" s="2">
        <f t="shared" si="171"/>
        <v>1364.58</v>
      </c>
      <c r="CQ192" s="2">
        <f t="shared" si="172"/>
        <v>75.81</v>
      </c>
      <c r="CR192" s="2">
        <f t="shared" si="196"/>
        <v>0</v>
      </c>
      <c r="CS192" s="2">
        <f t="shared" si="197"/>
        <v>0</v>
      </c>
      <c r="CT192" s="2">
        <f t="shared" si="173"/>
        <v>0</v>
      </c>
      <c r="CU192" s="2">
        <f t="shared" si="174"/>
        <v>0</v>
      </c>
      <c r="CV192" s="2">
        <f t="shared" si="175"/>
        <v>0</v>
      </c>
      <c r="CW192" s="2">
        <f t="shared" si="176"/>
        <v>0</v>
      </c>
      <c r="CX192" s="2">
        <f t="shared" si="177"/>
        <v>0</v>
      </c>
      <c r="CY192" s="2">
        <f t="shared" si="198"/>
        <v>0</v>
      </c>
      <c r="CZ192" s="2">
        <f t="shared" si="199"/>
        <v>0</v>
      </c>
      <c r="DA192" s="2"/>
      <c r="DB192" s="2"/>
      <c r="DC192" s="2" t="s">
        <v>3</v>
      </c>
      <c r="DD192" s="2" t="s">
        <v>3</v>
      </c>
      <c r="DE192" s="2" t="s">
        <v>3</v>
      </c>
      <c r="DF192" s="2" t="s">
        <v>3</v>
      </c>
      <c r="DG192" s="2" t="s">
        <v>3</v>
      </c>
      <c r="DH192" s="2" t="s">
        <v>3</v>
      </c>
      <c r="DI192" s="2" t="s">
        <v>3</v>
      </c>
      <c r="DJ192" s="2" t="s">
        <v>3</v>
      </c>
      <c r="DK192" s="2" t="s">
        <v>3</v>
      </c>
      <c r="DL192" s="2" t="s">
        <v>3</v>
      </c>
      <c r="DM192" s="2" t="s">
        <v>3</v>
      </c>
      <c r="DN192" s="2">
        <v>0</v>
      </c>
      <c r="DO192" s="2">
        <v>0</v>
      </c>
      <c r="DP192" s="2">
        <v>1</v>
      </c>
      <c r="DQ192" s="2">
        <v>1</v>
      </c>
      <c r="DR192" s="2"/>
      <c r="DS192" s="2"/>
      <c r="DT192" s="2"/>
      <c r="DU192" s="2">
        <v>1010</v>
      </c>
      <c r="DV192" s="2" t="s">
        <v>251</v>
      </c>
      <c r="DW192" s="2" t="s">
        <v>251</v>
      </c>
      <c r="DX192" s="2">
        <v>1</v>
      </c>
      <c r="DY192" s="2"/>
      <c r="DZ192" s="2" t="s">
        <v>3</v>
      </c>
      <c r="EA192" s="2" t="s">
        <v>3</v>
      </c>
      <c r="EB192" s="2" t="s">
        <v>3</v>
      </c>
      <c r="EC192" s="2" t="s">
        <v>3</v>
      </c>
      <c r="ED192" s="2"/>
      <c r="EE192" s="2">
        <v>57042987</v>
      </c>
      <c r="EF192" s="2">
        <v>201</v>
      </c>
      <c r="EG192" s="2" t="s">
        <v>253</v>
      </c>
      <c r="EH192" s="2">
        <v>0</v>
      </c>
      <c r="EI192" s="2" t="s">
        <v>3</v>
      </c>
      <c r="EJ192" s="2">
        <v>2</v>
      </c>
      <c r="EK192" s="2">
        <v>1618</v>
      </c>
      <c r="EL192" s="2" t="s">
        <v>254</v>
      </c>
      <c r="EM192" s="2" t="s">
        <v>255</v>
      </c>
      <c r="EN192" s="2"/>
      <c r="EO192" s="2" t="s">
        <v>3</v>
      </c>
      <c r="EP192" s="2"/>
      <c r="EQ192" s="2">
        <v>0</v>
      </c>
      <c r="ER192" s="2">
        <v>75.81</v>
      </c>
      <c r="ES192" s="2">
        <v>75.81</v>
      </c>
      <c r="ET192" s="2">
        <v>0</v>
      </c>
      <c r="EU192" s="2">
        <v>0</v>
      </c>
      <c r="EV192" s="2">
        <v>0</v>
      </c>
      <c r="EW192" s="2">
        <v>0</v>
      </c>
      <c r="EX192" s="2">
        <v>0</v>
      </c>
      <c r="EY192" s="2">
        <v>0</v>
      </c>
      <c r="EZ192" s="2"/>
      <c r="FA192" s="2"/>
      <c r="FB192" s="2"/>
      <c r="FC192" s="2"/>
      <c r="FD192" s="2"/>
      <c r="FE192" s="2"/>
      <c r="FF192" s="2"/>
      <c r="FG192" s="2"/>
      <c r="FH192" s="2"/>
      <c r="FI192" s="2"/>
      <c r="FJ192" s="2"/>
      <c r="FK192" s="2"/>
      <c r="FL192" s="2"/>
      <c r="FM192" s="2"/>
      <c r="FN192" s="2"/>
      <c r="FO192" s="2"/>
      <c r="FP192" s="2"/>
      <c r="FQ192" s="2">
        <v>0</v>
      </c>
      <c r="FR192" s="2">
        <v>0</v>
      </c>
      <c r="FS192" s="2">
        <v>0</v>
      </c>
      <c r="FT192" s="2"/>
      <c r="FU192" s="2"/>
      <c r="FV192" s="2"/>
      <c r="FW192" s="2"/>
      <c r="FX192" s="2">
        <v>0</v>
      </c>
      <c r="FY192" s="2">
        <v>0</v>
      </c>
      <c r="FZ192" s="2"/>
      <c r="GA192" s="2" t="s">
        <v>3</v>
      </c>
      <c r="GB192" s="2"/>
      <c r="GC192" s="2"/>
      <c r="GD192" s="2">
        <v>1</v>
      </c>
      <c r="GE192" s="2"/>
      <c r="GF192" s="2">
        <v>-498617114</v>
      </c>
      <c r="GG192" s="2">
        <v>2</v>
      </c>
      <c r="GH192" s="2">
        <v>1</v>
      </c>
      <c r="GI192" s="2">
        <v>-2</v>
      </c>
      <c r="GJ192" s="2">
        <v>0</v>
      </c>
      <c r="GK192" s="2">
        <v>0</v>
      </c>
      <c r="GL192" s="2">
        <f t="shared" si="178"/>
        <v>0</v>
      </c>
      <c r="GM192" s="2">
        <f t="shared" si="179"/>
        <v>1364.58</v>
      </c>
      <c r="GN192" s="2">
        <f t="shared" si="180"/>
        <v>0</v>
      </c>
      <c r="GO192" s="2">
        <f t="shared" si="181"/>
        <v>1364.58</v>
      </c>
      <c r="GP192" s="2">
        <f t="shared" si="182"/>
        <v>0</v>
      </c>
      <c r="GQ192" s="2"/>
      <c r="GR192" s="2">
        <v>0</v>
      </c>
      <c r="GS192" s="2">
        <v>3</v>
      </c>
      <c r="GT192" s="2">
        <v>0</v>
      </c>
      <c r="GU192" s="2" t="s">
        <v>3</v>
      </c>
      <c r="GV192" s="2">
        <f t="shared" si="183"/>
        <v>0</v>
      </c>
      <c r="GW192" s="2">
        <v>1</v>
      </c>
      <c r="GX192" s="2">
        <f t="shared" si="184"/>
        <v>0</v>
      </c>
      <c r="GY192" s="2"/>
      <c r="GZ192" s="2"/>
      <c r="HA192" s="2">
        <v>0</v>
      </c>
      <c r="HB192" s="2">
        <v>0</v>
      </c>
      <c r="HC192" s="2">
        <f t="shared" si="185"/>
        <v>0</v>
      </c>
      <c r="HD192" s="2"/>
      <c r="HE192" s="2" t="s">
        <v>3</v>
      </c>
      <c r="HF192" s="2" t="s">
        <v>3</v>
      </c>
      <c r="HG192" s="2"/>
      <c r="HH192" s="2"/>
      <c r="HI192" s="2"/>
      <c r="HJ192" s="2"/>
      <c r="HK192" s="2"/>
      <c r="HL192" s="2"/>
      <c r="HM192" s="2" t="s">
        <v>3</v>
      </c>
      <c r="HN192" s="2" t="s">
        <v>3</v>
      </c>
      <c r="HO192" s="2" t="s">
        <v>3</v>
      </c>
      <c r="HP192" s="2" t="s">
        <v>3</v>
      </c>
      <c r="HQ192" s="2" t="s">
        <v>3</v>
      </c>
      <c r="HR192" s="2"/>
      <c r="HS192" s="2">
        <v>0</v>
      </c>
      <c r="HT192" s="2"/>
      <c r="HU192" s="2"/>
      <c r="HV192" s="2"/>
      <c r="HW192" s="2"/>
      <c r="HX192" s="2"/>
      <c r="HY192" s="2"/>
      <c r="HZ192" s="2"/>
      <c r="IA192" s="2"/>
      <c r="IB192" s="2"/>
      <c r="IC192" s="2"/>
      <c r="ID192" s="2"/>
      <c r="IE192" s="2"/>
      <c r="IF192" s="2"/>
      <c r="IG192" s="2"/>
      <c r="IH192" s="2"/>
      <c r="II192" s="2"/>
      <c r="IJ192" s="2"/>
      <c r="IK192" s="2">
        <v>0</v>
      </c>
      <c r="IL192" s="2"/>
      <c r="IM192" s="2"/>
      <c r="IN192" s="2"/>
      <c r="IO192" s="2"/>
      <c r="IP192" s="2"/>
      <c r="IQ192" s="2"/>
      <c r="IR192" s="2"/>
      <c r="IS192" s="2"/>
      <c r="IT192" s="2"/>
      <c r="IU192" s="2"/>
    </row>
    <row r="193" spans="1:255" x14ac:dyDescent="0.25">
      <c r="A193" s="3">
        <v>17</v>
      </c>
      <c r="B193" s="3">
        <v>1</v>
      </c>
      <c r="E193" s="3" t="s">
        <v>256</v>
      </c>
      <c r="F193" s="3" t="s">
        <v>249</v>
      </c>
      <c r="G193" s="3" t="s">
        <v>257</v>
      </c>
      <c r="H193" s="3" t="s">
        <v>251</v>
      </c>
      <c r="I193" s="3">
        <v>18</v>
      </c>
      <c r="J193" s="3">
        <v>0</v>
      </c>
      <c r="K193" s="3">
        <v>18</v>
      </c>
      <c r="O193" s="3">
        <f t="shared" si="159"/>
        <v>84522.09</v>
      </c>
      <c r="P193" s="3">
        <f t="shared" si="160"/>
        <v>84522.09</v>
      </c>
      <c r="Q193" s="3">
        <f t="shared" si="186"/>
        <v>0</v>
      </c>
      <c r="R193" s="3">
        <f t="shared" si="187"/>
        <v>0</v>
      </c>
      <c r="S193" s="3">
        <f t="shared" si="161"/>
        <v>0</v>
      </c>
      <c r="T193" s="3">
        <f t="shared" si="162"/>
        <v>0</v>
      </c>
      <c r="U193" s="3">
        <f t="shared" si="163"/>
        <v>0</v>
      </c>
      <c r="V193" s="3">
        <f t="shared" si="164"/>
        <v>0</v>
      </c>
      <c r="W193" s="3">
        <f t="shared" si="165"/>
        <v>0</v>
      </c>
      <c r="X193" s="3">
        <f t="shared" si="188"/>
        <v>0</v>
      </c>
      <c r="Y193" s="3">
        <f t="shared" si="189"/>
        <v>0</v>
      </c>
      <c r="AA193" s="3">
        <v>57014140</v>
      </c>
      <c r="AB193" s="3">
        <f t="shared" si="166"/>
        <v>75.81</v>
      </c>
      <c r="AC193" s="3">
        <f t="shared" si="190"/>
        <v>75.81</v>
      </c>
      <c r="AD193" s="3">
        <f t="shared" si="191"/>
        <v>0</v>
      </c>
      <c r="AE193" s="3">
        <f t="shared" si="192"/>
        <v>0</v>
      </c>
      <c r="AF193" s="3">
        <f t="shared" si="193"/>
        <v>0</v>
      </c>
      <c r="AG193" s="3">
        <f t="shared" si="168"/>
        <v>0</v>
      </c>
      <c r="AH193" s="3">
        <f t="shared" si="194"/>
        <v>0</v>
      </c>
      <c r="AI193" s="3">
        <f t="shared" si="195"/>
        <v>0</v>
      </c>
      <c r="AJ193" s="3">
        <f t="shared" si="170"/>
        <v>0</v>
      </c>
      <c r="AK193" s="3">
        <v>75.81</v>
      </c>
      <c r="AL193" s="3">
        <v>75.81</v>
      </c>
      <c r="AM193" s="3">
        <v>0</v>
      </c>
      <c r="AN193" s="3">
        <v>0</v>
      </c>
      <c r="AO193" s="3">
        <v>0</v>
      </c>
      <c r="AP193" s="3">
        <v>0</v>
      </c>
      <c r="AQ193" s="3">
        <v>0</v>
      </c>
      <c r="AR193" s="3">
        <v>0</v>
      </c>
      <c r="AS193" s="3">
        <v>0</v>
      </c>
      <c r="AT193" s="3">
        <v>0</v>
      </c>
      <c r="AU193" s="3">
        <v>0</v>
      </c>
      <c r="AV193" s="3">
        <v>1</v>
      </c>
      <c r="AW193" s="3">
        <v>1</v>
      </c>
      <c r="AZ193" s="3">
        <v>1</v>
      </c>
      <c r="BA193" s="3">
        <v>1</v>
      </c>
      <c r="BB193" s="3">
        <v>1</v>
      </c>
      <c r="BC193" s="3">
        <v>61.94</v>
      </c>
      <c r="BD193" s="3" t="s">
        <v>3</v>
      </c>
      <c r="BE193" s="3" t="s">
        <v>3</v>
      </c>
      <c r="BF193" s="3" t="s">
        <v>3</v>
      </c>
      <c r="BG193" s="3" t="s">
        <v>3</v>
      </c>
      <c r="BH193" s="3">
        <v>3</v>
      </c>
      <c r="BI193" s="3">
        <v>2</v>
      </c>
      <c r="BJ193" s="3" t="s">
        <v>252</v>
      </c>
      <c r="BM193" s="3">
        <v>1618</v>
      </c>
      <c r="BN193" s="3">
        <v>0</v>
      </c>
      <c r="BO193" s="3" t="s">
        <v>249</v>
      </c>
      <c r="BP193" s="3">
        <v>1</v>
      </c>
      <c r="BQ193" s="3">
        <v>201</v>
      </c>
      <c r="BR193" s="3">
        <v>0</v>
      </c>
      <c r="BS193" s="3">
        <v>1</v>
      </c>
      <c r="BT193" s="3">
        <v>1</v>
      </c>
      <c r="BU193" s="3">
        <v>1</v>
      </c>
      <c r="BV193" s="3">
        <v>1</v>
      </c>
      <c r="BW193" s="3">
        <v>1</v>
      </c>
      <c r="BX193" s="3">
        <v>1</v>
      </c>
      <c r="BY193" s="3" t="s">
        <v>3</v>
      </c>
      <c r="BZ193" s="3">
        <v>0</v>
      </c>
      <c r="CA193" s="3">
        <v>0</v>
      </c>
      <c r="CB193" s="3" t="s">
        <v>3</v>
      </c>
      <c r="CE193" s="3">
        <v>1566</v>
      </c>
      <c r="CF193" s="3">
        <v>0</v>
      </c>
      <c r="CG193" s="3">
        <v>0</v>
      </c>
      <c r="CM193" s="3">
        <v>0</v>
      </c>
      <c r="CN193" s="3" t="s">
        <v>3</v>
      </c>
      <c r="CO193" s="3">
        <v>0</v>
      </c>
      <c r="CP193" s="3">
        <f t="shared" si="171"/>
        <v>84522.09</v>
      </c>
      <c r="CQ193" s="3">
        <f t="shared" si="172"/>
        <v>4695.67</v>
      </c>
      <c r="CR193" s="3">
        <f t="shared" si="196"/>
        <v>0</v>
      </c>
      <c r="CS193" s="3">
        <f t="shared" si="197"/>
        <v>0</v>
      </c>
      <c r="CT193" s="3">
        <f t="shared" si="173"/>
        <v>0</v>
      </c>
      <c r="CU193" s="3">
        <f t="shared" si="174"/>
        <v>0</v>
      </c>
      <c r="CV193" s="3">
        <f t="shared" si="175"/>
        <v>0</v>
      </c>
      <c r="CW193" s="3">
        <f t="shared" si="176"/>
        <v>0</v>
      </c>
      <c r="CX193" s="3">
        <f t="shared" si="177"/>
        <v>0</v>
      </c>
      <c r="CY193" s="3">
        <f t="shared" si="198"/>
        <v>0</v>
      </c>
      <c r="CZ193" s="3">
        <f t="shared" si="199"/>
        <v>0</v>
      </c>
      <c r="DC193" s="3" t="s">
        <v>3</v>
      </c>
      <c r="DD193" s="3" t="s">
        <v>3</v>
      </c>
      <c r="DE193" s="3" t="s">
        <v>3</v>
      </c>
      <c r="DF193" s="3" t="s">
        <v>3</v>
      </c>
      <c r="DG193" s="3" t="s">
        <v>3</v>
      </c>
      <c r="DH193" s="3" t="s">
        <v>3</v>
      </c>
      <c r="DI193" s="3" t="s">
        <v>3</v>
      </c>
      <c r="DJ193" s="3" t="s">
        <v>3</v>
      </c>
      <c r="DK193" s="3" t="s">
        <v>3</v>
      </c>
      <c r="DL193" s="3" t="s">
        <v>3</v>
      </c>
      <c r="DM193" s="3" t="s">
        <v>3</v>
      </c>
      <c r="DN193" s="3">
        <v>0</v>
      </c>
      <c r="DO193" s="3">
        <v>0</v>
      </c>
      <c r="DP193" s="3">
        <v>1</v>
      </c>
      <c r="DQ193" s="3">
        <v>1</v>
      </c>
      <c r="DU193" s="3">
        <v>1010</v>
      </c>
      <c r="DV193" s="3" t="s">
        <v>251</v>
      </c>
      <c r="DW193" s="3" t="s">
        <v>251</v>
      </c>
      <c r="DX193" s="3">
        <v>1</v>
      </c>
      <c r="DZ193" s="3" t="s">
        <v>3</v>
      </c>
      <c r="EA193" s="3" t="s">
        <v>3</v>
      </c>
      <c r="EB193" s="3" t="s">
        <v>3</v>
      </c>
      <c r="EC193" s="3" t="s">
        <v>3</v>
      </c>
      <c r="EE193" s="3">
        <v>57042987</v>
      </c>
      <c r="EF193" s="3">
        <v>201</v>
      </c>
      <c r="EG193" s="3" t="s">
        <v>253</v>
      </c>
      <c r="EH193" s="3">
        <v>0</v>
      </c>
      <c r="EI193" s="3" t="s">
        <v>3</v>
      </c>
      <c r="EJ193" s="3">
        <v>2</v>
      </c>
      <c r="EK193" s="3">
        <v>1618</v>
      </c>
      <c r="EL193" s="3" t="s">
        <v>254</v>
      </c>
      <c r="EM193" s="3" t="s">
        <v>255</v>
      </c>
      <c r="EO193" s="3" t="s">
        <v>3</v>
      </c>
      <c r="EQ193" s="3">
        <v>0</v>
      </c>
      <c r="ER193" s="3">
        <v>75.81</v>
      </c>
      <c r="ES193" s="3">
        <v>75.81</v>
      </c>
      <c r="ET193" s="3">
        <v>0</v>
      </c>
      <c r="EU193" s="3">
        <v>0</v>
      </c>
      <c r="EV193" s="3">
        <v>0</v>
      </c>
      <c r="EW193" s="3">
        <v>0</v>
      </c>
      <c r="EX193" s="3">
        <v>0</v>
      </c>
      <c r="EY193" s="3">
        <v>0</v>
      </c>
      <c r="FQ193" s="3">
        <v>0</v>
      </c>
      <c r="FR193" s="3">
        <v>0</v>
      </c>
      <c r="FS193" s="3">
        <v>0</v>
      </c>
      <c r="FX193" s="3">
        <v>0</v>
      </c>
      <c r="FY193" s="3">
        <v>0</v>
      </c>
      <c r="GA193" s="3" t="s">
        <v>3</v>
      </c>
      <c r="GD193" s="3">
        <v>1</v>
      </c>
      <c r="GF193" s="3">
        <v>-498617114</v>
      </c>
      <c r="GG193" s="3">
        <v>2</v>
      </c>
      <c r="GH193" s="3">
        <v>1</v>
      </c>
      <c r="GI193" s="3">
        <v>2</v>
      </c>
      <c r="GJ193" s="3">
        <v>0</v>
      </c>
      <c r="GK193" s="3">
        <v>0</v>
      </c>
      <c r="GL193" s="3">
        <f t="shared" si="178"/>
        <v>0</v>
      </c>
      <c r="GM193" s="3">
        <f t="shared" si="179"/>
        <v>84522.09</v>
      </c>
      <c r="GN193" s="3">
        <f t="shared" si="180"/>
        <v>0</v>
      </c>
      <c r="GO193" s="3">
        <f t="shared" si="181"/>
        <v>84522.09</v>
      </c>
      <c r="GP193" s="3">
        <f t="shared" si="182"/>
        <v>0</v>
      </c>
      <c r="GR193" s="3">
        <v>0</v>
      </c>
      <c r="GS193" s="3">
        <v>3</v>
      </c>
      <c r="GT193" s="3">
        <v>0</v>
      </c>
      <c r="GU193" s="3" t="s">
        <v>3</v>
      </c>
      <c r="GV193" s="3">
        <f t="shared" si="183"/>
        <v>0</v>
      </c>
      <c r="GW193" s="3">
        <v>1</v>
      </c>
      <c r="GX193" s="3">
        <f t="shared" si="184"/>
        <v>0</v>
      </c>
      <c r="HA193" s="3">
        <v>0</v>
      </c>
      <c r="HB193" s="3">
        <v>0</v>
      </c>
      <c r="HC193" s="3">
        <f t="shared" si="185"/>
        <v>0</v>
      </c>
      <c r="HE193" s="3" t="s">
        <v>3</v>
      </c>
      <c r="HF193" s="3" t="s">
        <v>3</v>
      </c>
      <c r="HM193" s="3" t="s">
        <v>3</v>
      </c>
      <c r="HN193" s="3" t="s">
        <v>3</v>
      </c>
      <c r="HO193" s="3" t="s">
        <v>3</v>
      </c>
      <c r="HP193" s="3" t="s">
        <v>3</v>
      </c>
      <c r="HQ193" s="3" t="s">
        <v>3</v>
      </c>
      <c r="HS193" s="3">
        <v>0</v>
      </c>
      <c r="IK193" s="3">
        <v>0</v>
      </c>
    </row>
    <row r="194" spans="1:255" x14ac:dyDescent="0.25">
      <c r="A194" s="2">
        <v>17</v>
      </c>
      <c r="B194" s="2">
        <v>1</v>
      </c>
      <c r="C194" s="2"/>
      <c r="D194" s="2"/>
      <c r="E194" s="2" t="s">
        <v>258</v>
      </c>
      <c r="F194" s="2" t="s">
        <v>249</v>
      </c>
      <c r="G194" s="2" t="s">
        <v>259</v>
      </c>
      <c r="H194" s="2" t="s">
        <v>251</v>
      </c>
      <c r="I194" s="2">
        <v>2</v>
      </c>
      <c r="J194" s="2">
        <v>0</v>
      </c>
      <c r="K194" s="2">
        <v>2</v>
      </c>
      <c r="L194" s="2"/>
      <c r="M194" s="2"/>
      <c r="N194" s="2"/>
      <c r="O194" s="2">
        <f t="shared" si="159"/>
        <v>151.62</v>
      </c>
      <c r="P194" s="2">
        <f t="shared" si="160"/>
        <v>151.62</v>
      </c>
      <c r="Q194" s="2">
        <f t="shared" si="186"/>
        <v>0</v>
      </c>
      <c r="R194" s="2">
        <f t="shared" si="187"/>
        <v>0</v>
      </c>
      <c r="S194" s="2">
        <f t="shared" si="161"/>
        <v>0</v>
      </c>
      <c r="T194" s="2">
        <f t="shared" si="162"/>
        <v>0</v>
      </c>
      <c r="U194" s="2">
        <f t="shared" si="163"/>
        <v>0</v>
      </c>
      <c r="V194" s="2">
        <f t="shared" si="164"/>
        <v>0</v>
      </c>
      <c r="W194" s="2">
        <f t="shared" si="165"/>
        <v>0</v>
      </c>
      <c r="X194" s="2">
        <f t="shared" si="188"/>
        <v>0</v>
      </c>
      <c r="Y194" s="2">
        <f t="shared" si="189"/>
        <v>0</v>
      </c>
      <c r="Z194" s="2"/>
      <c r="AA194" s="2">
        <v>57014138</v>
      </c>
      <c r="AB194" s="2">
        <f t="shared" si="166"/>
        <v>75.81</v>
      </c>
      <c r="AC194" s="2">
        <f t="shared" si="190"/>
        <v>75.81</v>
      </c>
      <c r="AD194" s="2">
        <f t="shared" si="191"/>
        <v>0</v>
      </c>
      <c r="AE194" s="2">
        <f t="shared" si="192"/>
        <v>0</v>
      </c>
      <c r="AF194" s="2">
        <f t="shared" si="193"/>
        <v>0</v>
      </c>
      <c r="AG194" s="2">
        <f t="shared" si="168"/>
        <v>0</v>
      </c>
      <c r="AH194" s="2">
        <f t="shared" si="194"/>
        <v>0</v>
      </c>
      <c r="AI194" s="2">
        <f t="shared" si="195"/>
        <v>0</v>
      </c>
      <c r="AJ194" s="2">
        <f t="shared" si="170"/>
        <v>0</v>
      </c>
      <c r="AK194" s="2">
        <v>75.81</v>
      </c>
      <c r="AL194" s="2">
        <v>75.81</v>
      </c>
      <c r="AM194" s="2">
        <v>0</v>
      </c>
      <c r="AN194" s="2">
        <v>0</v>
      </c>
      <c r="AO194" s="2">
        <v>0</v>
      </c>
      <c r="AP194" s="2">
        <v>0</v>
      </c>
      <c r="AQ194" s="2">
        <v>0</v>
      </c>
      <c r="AR194" s="2">
        <v>0</v>
      </c>
      <c r="AS194" s="2">
        <v>0</v>
      </c>
      <c r="AT194" s="2">
        <v>0</v>
      </c>
      <c r="AU194" s="2">
        <v>0</v>
      </c>
      <c r="AV194" s="2">
        <v>1</v>
      </c>
      <c r="AW194" s="2">
        <v>1</v>
      </c>
      <c r="AX194" s="2"/>
      <c r="AY194" s="2"/>
      <c r="AZ194" s="2">
        <v>1</v>
      </c>
      <c r="BA194" s="2">
        <v>1</v>
      </c>
      <c r="BB194" s="2">
        <v>1</v>
      </c>
      <c r="BC194" s="2">
        <v>1</v>
      </c>
      <c r="BD194" s="2" t="s">
        <v>3</v>
      </c>
      <c r="BE194" s="2" t="s">
        <v>3</v>
      </c>
      <c r="BF194" s="2" t="s">
        <v>3</v>
      </c>
      <c r="BG194" s="2" t="s">
        <v>3</v>
      </c>
      <c r="BH194" s="2">
        <v>3</v>
      </c>
      <c r="BI194" s="2">
        <v>2</v>
      </c>
      <c r="BJ194" s="2" t="s">
        <v>252</v>
      </c>
      <c r="BK194" s="2"/>
      <c r="BL194" s="2"/>
      <c r="BM194" s="2">
        <v>1618</v>
      </c>
      <c r="BN194" s="2">
        <v>0</v>
      </c>
      <c r="BO194" s="2" t="s">
        <v>3</v>
      </c>
      <c r="BP194" s="2">
        <v>0</v>
      </c>
      <c r="BQ194" s="2">
        <v>201</v>
      </c>
      <c r="BR194" s="2">
        <v>0</v>
      </c>
      <c r="BS194" s="2">
        <v>1</v>
      </c>
      <c r="BT194" s="2">
        <v>1</v>
      </c>
      <c r="BU194" s="2">
        <v>1</v>
      </c>
      <c r="BV194" s="2">
        <v>1</v>
      </c>
      <c r="BW194" s="2">
        <v>1</v>
      </c>
      <c r="BX194" s="2">
        <v>1</v>
      </c>
      <c r="BY194" s="2" t="s">
        <v>3</v>
      </c>
      <c r="BZ194" s="2">
        <v>0</v>
      </c>
      <c r="CA194" s="2">
        <v>0</v>
      </c>
      <c r="CB194" s="2" t="s">
        <v>3</v>
      </c>
      <c r="CC194" s="2"/>
      <c r="CD194" s="2"/>
      <c r="CE194" s="2">
        <v>1566</v>
      </c>
      <c r="CF194" s="2">
        <v>0</v>
      </c>
      <c r="CG194" s="2">
        <v>0</v>
      </c>
      <c r="CH194" s="2"/>
      <c r="CI194" s="2"/>
      <c r="CJ194" s="2"/>
      <c r="CK194" s="2"/>
      <c r="CL194" s="2"/>
      <c r="CM194" s="2">
        <v>0</v>
      </c>
      <c r="CN194" s="2" t="s">
        <v>3</v>
      </c>
      <c r="CO194" s="2">
        <v>0</v>
      </c>
      <c r="CP194" s="2">
        <f t="shared" si="171"/>
        <v>151.62</v>
      </c>
      <c r="CQ194" s="2">
        <f t="shared" si="172"/>
        <v>75.81</v>
      </c>
      <c r="CR194" s="2">
        <f t="shared" si="196"/>
        <v>0</v>
      </c>
      <c r="CS194" s="2">
        <f t="shared" si="197"/>
        <v>0</v>
      </c>
      <c r="CT194" s="2">
        <f t="shared" si="173"/>
        <v>0</v>
      </c>
      <c r="CU194" s="2">
        <f t="shared" si="174"/>
        <v>0</v>
      </c>
      <c r="CV194" s="2">
        <f t="shared" si="175"/>
        <v>0</v>
      </c>
      <c r="CW194" s="2">
        <f t="shared" si="176"/>
        <v>0</v>
      </c>
      <c r="CX194" s="2">
        <f t="shared" si="177"/>
        <v>0</v>
      </c>
      <c r="CY194" s="2">
        <f t="shared" si="198"/>
        <v>0</v>
      </c>
      <c r="CZ194" s="2">
        <f t="shared" si="199"/>
        <v>0</v>
      </c>
      <c r="DA194" s="2"/>
      <c r="DB194" s="2"/>
      <c r="DC194" s="2" t="s">
        <v>3</v>
      </c>
      <c r="DD194" s="2" t="s">
        <v>3</v>
      </c>
      <c r="DE194" s="2" t="s">
        <v>3</v>
      </c>
      <c r="DF194" s="2" t="s">
        <v>3</v>
      </c>
      <c r="DG194" s="2" t="s">
        <v>3</v>
      </c>
      <c r="DH194" s="2" t="s">
        <v>3</v>
      </c>
      <c r="DI194" s="2" t="s">
        <v>3</v>
      </c>
      <c r="DJ194" s="2" t="s">
        <v>3</v>
      </c>
      <c r="DK194" s="2" t="s">
        <v>3</v>
      </c>
      <c r="DL194" s="2" t="s">
        <v>3</v>
      </c>
      <c r="DM194" s="2" t="s">
        <v>3</v>
      </c>
      <c r="DN194" s="2">
        <v>0</v>
      </c>
      <c r="DO194" s="2">
        <v>0</v>
      </c>
      <c r="DP194" s="2">
        <v>1</v>
      </c>
      <c r="DQ194" s="2">
        <v>1</v>
      </c>
      <c r="DR194" s="2"/>
      <c r="DS194" s="2"/>
      <c r="DT194" s="2"/>
      <c r="DU194" s="2">
        <v>1010</v>
      </c>
      <c r="DV194" s="2" t="s">
        <v>251</v>
      </c>
      <c r="DW194" s="2" t="s">
        <v>251</v>
      </c>
      <c r="DX194" s="2">
        <v>1</v>
      </c>
      <c r="DY194" s="2"/>
      <c r="DZ194" s="2" t="s">
        <v>3</v>
      </c>
      <c r="EA194" s="2" t="s">
        <v>3</v>
      </c>
      <c r="EB194" s="2" t="s">
        <v>3</v>
      </c>
      <c r="EC194" s="2" t="s">
        <v>3</v>
      </c>
      <c r="ED194" s="2"/>
      <c r="EE194" s="2">
        <v>57042987</v>
      </c>
      <c r="EF194" s="2">
        <v>201</v>
      </c>
      <c r="EG194" s="2" t="s">
        <v>253</v>
      </c>
      <c r="EH194" s="2">
        <v>0</v>
      </c>
      <c r="EI194" s="2" t="s">
        <v>3</v>
      </c>
      <c r="EJ194" s="2">
        <v>2</v>
      </c>
      <c r="EK194" s="2">
        <v>1618</v>
      </c>
      <c r="EL194" s="2" t="s">
        <v>254</v>
      </c>
      <c r="EM194" s="2" t="s">
        <v>255</v>
      </c>
      <c r="EN194" s="2"/>
      <c r="EO194" s="2" t="s">
        <v>3</v>
      </c>
      <c r="EP194" s="2"/>
      <c r="EQ194" s="2">
        <v>0</v>
      </c>
      <c r="ER194" s="2">
        <v>75.81</v>
      </c>
      <c r="ES194" s="2">
        <v>75.81</v>
      </c>
      <c r="ET194" s="2">
        <v>0</v>
      </c>
      <c r="EU194" s="2">
        <v>0</v>
      </c>
      <c r="EV194" s="2">
        <v>0</v>
      </c>
      <c r="EW194" s="2">
        <v>0</v>
      </c>
      <c r="EX194" s="2">
        <v>0</v>
      </c>
      <c r="EY194" s="2">
        <v>0</v>
      </c>
      <c r="EZ194" s="2"/>
      <c r="FA194" s="2"/>
      <c r="FB194" s="2"/>
      <c r="FC194" s="2"/>
      <c r="FD194" s="2"/>
      <c r="FE194" s="2"/>
      <c r="FF194" s="2"/>
      <c r="FG194" s="2"/>
      <c r="FH194" s="2"/>
      <c r="FI194" s="2"/>
      <c r="FJ194" s="2"/>
      <c r="FK194" s="2"/>
      <c r="FL194" s="2"/>
      <c r="FM194" s="2"/>
      <c r="FN194" s="2"/>
      <c r="FO194" s="2"/>
      <c r="FP194" s="2"/>
      <c r="FQ194" s="2">
        <v>0</v>
      </c>
      <c r="FR194" s="2">
        <v>0</v>
      </c>
      <c r="FS194" s="2">
        <v>0</v>
      </c>
      <c r="FT194" s="2"/>
      <c r="FU194" s="2"/>
      <c r="FV194" s="2"/>
      <c r="FW194" s="2"/>
      <c r="FX194" s="2">
        <v>0</v>
      </c>
      <c r="FY194" s="2">
        <v>0</v>
      </c>
      <c r="FZ194" s="2"/>
      <c r="GA194" s="2" t="s">
        <v>3</v>
      </c>
      <c r="GB194" s="2"/>
      <c r="GC194" s="2"/>
      <c r="GD194" s="2">
        <v>1</v>
      </c>
      <c r="GE194" s="2"/>
      <c r="GF194" s="2">
        <v>-1628717318</v>
      </c>
      <c r="GG194" s="2">
        <v>2</v>
      </c>
      <c r="GH194" s="2">
        <v>1</v>
      </c>
      <c r="GI194" s="2">
        <v>-2</v>
      </c>
      <c r="GJ194" s="2">
        <v>0</v>
      </c>
      <c r="GK194" s="2">
        <v>0</v>
      </c>
      <c r="GL194" s="2">
        <f t="shared" si="178"/>
        <v>0</v>
      </c>
      <c r="GM194" s="2">
        <f t="shared" si="179"/>
        <v>151.62</v>
      </c>
      <c r="GN194" s="2">
        <f t="shared" si="180"/>
        <v>0</v>
      </c>
      <c r="GO194" s="2">
        <f t="shared" si="181"/>
        <v>151.62</v>
      </c>
      <c r="GP194" s="2">
        <f t="shared" si="182"/>
        <v>0</v>
      </c>
      <c r="GQ194" s="2"/>
      <c r="GR194" s="2">
        <v>0</v>
      </c>
      <c r="GS194" s="2">
        <v>3</v>
      </c>
      <c r="GT194" s="2">
        <v>0</v>
      </c>
      <c r="GU194" s="2" t="s">
        <v>3</v>
      </c>
      <c r="GV194" s="2">
        <f t="shared" si="183"/>
        <v>0</v>
      </c>
      <c r="GW194" s="2">
        <v>1</v>
      </c>
      <c r="GX194" s="2">
        <f t="shared" si="184"/>
        <v>0</v>
      </c>
      <c r="GY194" s="2"/>
      <c r="GZ194" s="2"/>
      <c r="HA194" s="2">
        <v>0</v>
      </c>
      <c r="HB194" s="2">
        <v>0</v>
      </c>
      <c r="HC194" s="2">
        <f t="shared" si="185"/>
        <v>0</v>
      </c>
      <c r="HD194" s="2"/>
      <c r="HE194" s="2" t="s">
        <v>3</v>
      </c>
      <c r="HF194" s="2" t="s">
        <v>3</v>
      </c>
      <c r="HG194" s="2"/>
      <c r="HH194" s="2"/>
      <c r="HI194" s="2"/>
      <c r="HJ194" s="2"/>
      <c r="HK194" s="2"/>
      <c r="HL194" s="2"/>
      <c r="HM194" s="2" t="s">
        <v>3</v>
      </c>
      <c r="HN194" s="2" t="s">
        <v>3</v>
      </c>
      <c r="HO194" s="2" t="s">
        <v>3</v>
      </c>
      <c r="HP194" s="2" t="s">
        <v>3</v>
      </c>
      <c r="HQ194" s="2" t="s">
        <v>3</v>
      </c>
      <c r="HR194" s="2"/>
      <c r="HS194" s="2">
        <v>0</v>
      </c>
      <c r="HT194" s="2"/>
      <c r="HU194" s="2"/>
      <c r="HV194" s="2"/>
      <c r="HW194" s="2"/>
      <c r="HX194" s="2"/>
      <c r="HY194" s="2"/>
      <c r="HZ194" s="2"/>
      <c r="IA194" s="2"/>
      <c r="IB194" s="2"/>
      <c r="IC194" s="2"/>
      <c r="ID194" s="2"/>
      <c r="IE194" s="2"/>
      <c r="IF194" s="2"/>
      <c r="IG194" s="2"/>
      <c r="IH194" s="2"/>
      <c r="II194" s="2"/>
      <c r="IJ194" s="2"/>
      <c r="IK194" s="2">
        <v>0</v>
      </c>
      <c r="IL194" s="2"/>
      <c r="IM194" s="2"/>
      <c r="IN194" s="2"/>
      <c r="IO194" s="2"/>
      <c r="IP194" s="2"/>
      <c r="IQ194" s="2"/>
      <c r="IR194" s="2"/>
      <c r="IS194" s="2"/>
      <c r="IT194" s="2"/>
      <c r="IU194" s="2"/>
    </row>
    <row r="195" spans="1:255" x14ac:dyDescent="0.25">
      <c r="A195" s="3">
        <v>17</v>
      </c>
      <c r="B195" s="3">
        <v>1</v>
      </c>
      <c r="E195" s="3" t="s">
        <v>258</v>
      </c>
      <c r="F195" s="3" t="s">
        <v>249</v>
      </c>
      <c r="G195" s="3" t="s">
        <v>259</v>
      </c>
      <c r="H195" s="3" t="s">
        <v>251</v>
      </c>
      <c r="I195" s="3">
        <v>2</v>
      </c>
      <c r="J195" s="3">
        <v>0</v>
      </c>
      <c r="K195" s="3">
        <v>2</v>
      </c>
      <c r="O195" s="3">
        <f t="shared" si="159"/>
        <v>9391.34</v>
      </c>
      <c r="P195" s="3">
        <f t="shared" si="160"/>
        <v>9391.34</v>
      </c>
      <c r="Q195" s="3">
        <f t="shared" si="186"/>
        <v>0</v>
      </c>
      <c r="R195" s="3">
        <f t="shared" si="187"/>
        <v>0</v>
      </c>
      <c r="S195" s="3">
        <f t="shared" si="161"/>
        <v>0</v>
      </c>
      <c r="T195" s="3">
        <f t="shared" si="162"/>
        <v>0</v>
      </c>
      <c r="U195" s="3">
        <f t="shared" si="163"/>
        <v>0</v>
      </c>
      <c r="V195" s="3">
        <f t="shared" si="164"/>
        <v>0</v>
      </c>
      <c r="W195" s="3">
        <f t="shared" si="165"/>
        <v>0</v>
      </c>
      <c r="X195" s="3">
        <f t="shared" si="188"/>
        <v>0</v>
      </c>
      <c r="Y195" s="3">
        <f t="shared" si="189"/>
        <v>0</v>
      </c>
      <c r="AA195" s="3">
        <v>57014140</v>
      </c>
      <c r="AB195" s="3">
        <f t="shared" si="166"/>
        <v>75.81</v>
      </c>
      <c r="AC195" s="3">
        <f t="shared" si="190"/>
        <v>75.81</v>
      </c>
      <c r="AD195" s="3">
        <f t="shared" si="191"/>
        <v>0</v>
      </c>
      <c r="AE195" s="3">
        <f t="shared" si="192"/>
        <v>0</v>
      </c>
      <c r="AF195" s="3">
        <f t="shared" si="193"/>
        <v>0</v>
      </c>
      <c r="AG195" s="3">
        <f t="shared" si="168"/>
        <v>0</v>
      </c>
      <c r="AH195" s="3">
        <f t="shared" si="194"/>
        <v>0</v>
      </c>
      <c r="AI195" s="3">
        <f t="shared" si="195"/>
        <v>0</v>
      </c>
      <c r="AJ195" s="3">
        <f t="shared" si="170"/>
        <v>0</v>
      </c>
      <c r="AK195" s="3">
        <v>75.81</v>
      </c>
      <c r="AL195" s="3">
        <v>75.81</v>
      </c>
      <c r="AM195" s="3">
        <v>0</v>
      </c>
      <c r="AN195" s="3">
        <v>0</v>
      </c>
      <c r="AO195" s="3">
        <v>0</v>
      </c>
      <c r="AP195" s="3">
        <v>0</v>
      </c>
      <c r="AQ195" s="3">
        <v>0</v>
      </c>
      <c r="AR195" s="3">
        <v>0</v>
      </c>
      <c r="AS195" s="3">
        <v>0</v>
      </c>
      <c r="AT195" s="3">
        <v>0</v>
      </c>
      <c r="AU195" s="3">
        <v>0</v>
      </c>
      <c r="AV195" s="3">
        <v>1</v>
      </c>
      <c r="AW195" s="3">
        <v>1</v>
      </c>
      <c r="AZ195" s="3">
        <v>1</v>
      </c>
      <c r="BA195" s="3">
        <v>1</v>
      </c>
      <c r="BB195" s="3">
        <v>1</v>
      </c>
      <c r="BC195" s="3">
        <v>61.94</v>
      </c>
      <c r="BD195" s="3" t="s">
        <v>3</v>
      </c>
      <c r="BE195" s="3" t="s">
        <v>3</v>
      </c>
      <c r="BF195" s="3" t="s">
        <v>3</v>
      </c>
      <c r="BG195" s="3" t="s">
        <v>3</v>
      </c>
      <c r="BH195" s="3">
        <v>3</v>
      </c>
      <c r="BI195" s="3">
        <v>2</v>
      </c>
      <c r="BJ195" s="3" t="s">
        <v>252</v>
      </c>
      <c r="BM195" s="3">
        <v>1618</v>
      </c>
      <c r="BN195" s="3">
        <v>0</v>
      </c>
      <c r="BO195" s="3" t="s">
        <v>249</v>
      </c>
      <c r="BP195" s="3">
        <v>1</v>
      </c>
      <c r="BQ195" s="3">
        <v>201</v>
      </c>
      <c r="BR195" s="3">
        <v>0</v>
      </c>
      <c r="BS195" s="3">
        <v>1</v>
      </c>
      <c r="BT195" s="3">
        <v>1</v>
      </c>
      <c r="BU195" s="3">
        <v>1</v>
      </c>
      <c r="BV195" s="3">
        <v>1</v>
      </c>
      <c r="BW195" s="3">
        <v>1</v>
      </c>
      <c r="BX195" s="3">
        <v>1</v>
      </c>
      <c r="BY195" s="3" t="s">
        <v>3</v>
      </c>
      <c r="BZ195" s="3">
        <v>0</v>
      </c>
      <c r="CA195" s="3">
        <v>0</v>
      </c>
      <c r="CB195" s="3" t="s">
        <v>3</v>
      </c>
      <c r="CE195" s="3">
        <v>1566</v>
      </c>
      <c r="CF195" s="3">
        <v>0</v>
      </c>
      <c r="CG195" s="3">
        <v>0</v>
      </c>
      <c r="CM195" s="3">
        <v>0</v>
      </c>
      <c r="CN195" s="3" t="s">
        <v>3</v>
      </c>
      <c r="CO195" s="3">
        <v>0</v>
      </c>
      <c r="CP195" s="3">
        <f t="shared" si="171"/>
        <v>9391.34</v>
      </c>
      <c r="CQ195" s="3">
        <f t="shared" si="172"/>
        <v>4695.67</v>
      </c>
      <c r="CR195" s="3">
        <f t="shared" si="196"/>
        <v>0</v>
      </c>
      <c r="CS195" s="3">
        <f t="shared" si="197"/>
        <v>0</v>
      </c>
      <c r="CT195" s="3">
        <f t="shared" si="173"/>
        <v>0</v>
      </c>
      <c r="CU195" s="3">
        <f t="shared" si="174"/>
        <v>0</v>
      </c>
      <c r="CV195" s="3">
        <f t="shared" si="175"/>
        <v>0</v>
      </c>
      <c r="CW195" s="3">
        <f t="shared" si="176"/>
        <v>0</v>
      </c>
      <c r="CX195" s="3">
        <f t="shared" si="177"/>
        <v>0</v>
      </c>
      <c r="CY195" s="3">
        <f t="shared" si="198"/>
        <v>0</v>
      </c>
      <c r="CZ195" s="3">
        <f t="shared" si="199"/>
        <v>0</v>
      </c>
      <c r="DC195" s="3" t="s">
        <v>3</v>
      </c>
      <c r="DD195" s="3" t="s">
        <v>3</v>
      </c>
      <c r="DE195" s="3" t="s">
        <v>3</v>
      </c>
      <c r="DF195" s="3" t="s">
        <v>3</v>
      </c>
      <c r="DG195" s="3" t="s">
        <v>3</v>
      </c>
      <c r="DH195" s="3" t="s">
        <v>3</v>
      </c>
      <c r="DI195" s="3" t="s">
        <v>3</v>
      </c>
      <c r="DJ195" s="3" t="s">
        <v>3</v>
      </c>
      <c r="DK195" s="3" t="s">
        <v>3</v>
      </c>
      <c r="DL195" s="3" t="s">
        <v>3</v>
      </c>
      <c r="DM195" s="3" t="s">
        <v>3</v>
      </c>
      <c r="DN195" s="3">
        <v>0</v>
      </c>
      <c r="DO195" s="3">
        <v>0</v>
      </c>
      <c r="DP195" s="3">
        <v>1</v>
      </c>
      <c r="DQ195" s="3">
        <v>1</v>
      </c>
      <c r="DU195" s="3">
        <v>1010</v>
      </c>
      <c r="DV195" s="3" t="s">
        <v>251</v>
      </c>
      <c r="DW195" s="3" t="s">
        <v>251</v>
      </c>
      <c r="DX195" s="3">
        <v>1</v>
      </c>
      <c r="DZ195" s="3" t="s">
        <v>3</v>
      </c>
      <c r="EA195" s="3" t="s">
        <v>3</v>
      </c>
      <c r="EB195" s="3" t="s">
        <v>3</v>
      </c>
      <c r="EC195" s="3" t="s">
        <v>3</v>
      </c>
      <c r="EE195" s="3">
        <v>57042987</v>
      </c>
      <c r="EF195" s="3">
        <v>201</v>
      </c>
      <c r="EG195" s="3" t="s">
        <v>253</v>
      </c>
      <c r="EH195" s="3">
        <v>0</v>
      </c>
      <c r="EI195" s="3" t="s">
        <v>3</v>
      </c>
      <c r="EJ195" s="3">
        <v>2</v>
      </c>
      <c r="EK195" s="3">
        <v>1618</v>
      </c>
      <c r="EL195" s="3" t="s">
        <v>254</v>
      </c>
      <c r="EM195" s="3" t="s">
        <v>255</v>
      </c>
      <c r="EO195" s="3" t="s">
        <v>3</v>
      </c>
      <c r="EQ195" s="3">
        <v>0</v>
      </c>
      <c r="ER195" s="3">
        <v>75.81</v>
      </c>
      <c r="ES195" s="3">
        <v>75.81</v>
      </c>
      <c r="ET195" s="3">
        <v>0</v>
      </c>
      <c r="EU195" s="3">
        <v>0</v>
      </c>
      <c r="EV195" s="3">
        <v>0</v>
      </c>
      <c r="EW195" s="3">
        <v>0</v>
      </c>
      <c r="EX195" s="3">
        <v>0</v>
      </c>
      <c r="EY195" s="3">
        <v>0</v>
      </c>
      <c r="FQ195" s="3">
        <v>0</v>
      </c>
      <c r="FR195" s="3">
        <v>0</v>
      </c>
      <c r="FS195" s="3">
        <v>0</v>
      </c>
      <c r="FX195" s="3">
        <v>0</v>
      </c>
      <c r="FY195" s="3">
        <v>0</v>
      </c>
      <c r="GA195" s="3" t="s">
        <v>3</v>
      </c>
      <c r="GD195" s="3">
        <v>1</v>
      </c>
      <c r="GF195" s="3">
        <v>-1628717318</v>
      </c>
      <c r="GG195" s="3">
        <v>2</v>
      </c>
      <c r="GH195" s="3">
        <v>1</v>
      </c>
      <c r="GI195" s="3">
        <v>2</v>
      </c>
      <c r="GJ195" s="3">
        <v>0</v>
      </c>
      <c r="GK195" s="3">
        <v>0</v>
      </c>
      <c r="GL195" s="3">
        <f t="shared" si="178"/>
        <v>0</v>
      </c>
      <c r="GM195" s="3">
        <f t="shared" si="179"/>
        <v>9391.34</v>
      </c>
      <c r="GN195" s="3">
        <f t="shared" si="180"/>
        <v>0</v>
      </c>
      <c r="GO195" s="3">
        <f t="shared" si="181"/>
        <v>9391.34</v>
      </c>
      <c r="GP195" s="3">
        <f t="shared" si="182"/>
        <v>0</v>
      </c>
      <c r="GR195" s="3">
        <v>0</v>
      </c>
      <c r="GS195" s="3">
        <v>3</v>
      </c>
      <c r="GT195" s="3">
        <v>0</v>
      </c>
      <c r="GU195" s="3" t="s">
        <v>3</v>
      </c>
      <c r="GV195" s="3">
        <f t="shared" si="183"/>
        <v>0</v>
      </c>
      <c r="GW195" s="3">
        <v>1</v>
      </c>
      <c r="GX195" s="3">
        <f t="shared" si="184"/>
        <v>0</v>
      </c>
      <c r="HA195" s="3">
        <v>0</v>
      </c>
      <c r="HB195" s="3">
        <v>0</v>
      </c>
      <c r="HC195" s="3">
        <f t="shared" si="185"/>
        <v>0</v>
      </c>
      <c r="HE195" s="3" t="s">
        <v>3</v>
      </c>
      <c r="HF195" s="3" t="s">
        <v>3</v>
      </c>
      <c r="HM195" s="3" t="s">
        <v>3</v>
      </c>
      <c r="HN195" s="3" t="s">
        <v>3</v>
      </c>
      <c r="HO195" s="3" t="s">
        <v>3</v>
      </c>
      <c r="HP195" s="3" t="s">
        <v>3</v>
      </c>
      <c r="HQ195" s="3" t="s">
        <v>3</v>
      </c>
      <c r="HS195" s="3">
        <v>0</v>
      </c>
      <c r="IK195" s="3">
        <v>0</v>
      </c>
    </row>
    <row r="196" spans="1:255" x14ac:dyDescent="0.25">
      <c r="A196" s="2">
        <v>17</v>
      </c>
      <c r="B196" s="2">
        <v>1</v>
      </c>
      <c r="C196" s="2"/>
      <c r="D196" s="2"/>
      <c r="E196" s="2" t="s">
        <v>260</v>
      </c>
      <c r="F196" s="2" t="s">
        <v>249</v>
      </c>
      <c r="G196" s="2" t="s">
        <v>261</v>
      </c>
      <c r="H196" s="2" t="s">
        <v>251</v>
      </c>
      <c r="I196" s="2">
        <v>4</v>
      </c>
      <c r="J196" s="2">
        <v>0</v>
      </c>
      <c r="K196" s="2">
        <v>4</v>
      </c>
      <c r="L196" s="2"/>
      <c r="M196" s="2"/>
      <c r="N196" s="2"/>
      <c r="O196" s="2">
        <f t="shared" si="159"/>
        <v>303.24</v>
      </c>
      <c r="P196" s="2">
        <f t="shared" si="160"/>
        <v>303.24</v>
      </c>
      <c r="Q196" s="2">
        <f t="shared" si="186"/>
        <v>0</v>
      </c>
      <c r="R196" s="2">
        <f t="shared" si="187"/>
        <v>0</v>
      </c>
      <c r="S196" s="2">
        <f t="shared" si="161"/>
        <v>0</v>
      </c>
      <c r="T196" s="2">
        <f t="shared" si="162"/>
        <v>0</v>
      </c>
      <c r="U196" s="2">
        <f t="shared" si="163"/>
        <v>0</v>
      </c>
      <c r="V196" s="2">
        <f t="shared" si="164"/>
        <v>0</v>
      </c>
      <c r="W196" s="2">
        <f t="shared" si="165"/>
        <v>0</v>
      </c>
      <c r="X196" s="2">
        <f t="shared" si="188"/>
        <v>0</v>
      </c>
      <c r="Y196" s="2">
        <f t="shared" si="189"/>
        <v>0</v>
      </c>
      <c r="Z196" s="2"/>
      <c r="AA196" s="2">
        <v>57014138</v>
      </c>
      <c r="AB196" s="2">
        <f t="shared" si="166"/>
        <v>75.81</v>
      </c>
      <c r="AC196" s="2">
        <f t="shared" si="190"/>
        <v>75.81</v>
      </c>
      <c r="AD196" s="2">
        <f t="shared" si="191"/>
        <v>0</v>
      </c>
      <c r="AE196" s="2">
        <f t="shared" si="192"/>
        <v>0</v>
      </c>
      <c r="AF196" s="2">
        <f t="shared" si="193"/>
        <v>0</v>
      </c>
      <c r="AG196" s="2">
        <f t="shared" si="168"/>
        <v>0</v>
      </c>
      <c r="AH196" s="2">
        <f t="shared" si="194"/>
        <v>0</v>
      </c>
      <c r="AI196" s="2">
        <f t="shared" si="195"/>
        <v>0</v>
      </c>
      <c r="AJ196" s="2">
        <f t="shared" si="170"/>
        <v>0</v>
      </c>
      <c r="AK196" s="2">
        <v>75.81</v>
      </c>
      <c r="AL196" s="2">
        <v>75.81</v>
      </c>
      <c r="AM196" s="2">
        <v>0</v>
      </c>
      <c r="AN196" s="2">
        <v>0</v>
      </c>
      <c r="AO196" s="2">
        <v>0</v>
      </c>
      <c r="AP196" s="2">
        <v>0</v>
      </c>
      <c r="AQ196" s="2">
        <v>0</v>
      </c>
      <c r="AR196" s="2">
        <v>0</v>
      </c>
      <c r="AS196" s="2">
        <v>0</v>
      </c>
      <c r="AT196" s="2">
        <v>0</v>
      </c>
      <c r="AU196" s="2">
        <v>0</v>
      </c>
      <c r="AV196" s="2">
        <v>1</v>
      </c>
      <c r="AW196" s="2">
        <v>1</v>
      </c>
      <c r="AX196" s="2"/>
      <c r="AY196" s="2"/>
      <c r="AZ196" s="2">
        <v>1</v>
      </c>
      <c r="BA196" s="2">
        <v>1</v>
      </c>
      <c r="BB196" s="2">
        <v>1</v>
      </c>
      <c r="BC196" s="2">
        <v>1</v>
      </c>
      <c r="BD196" s="2" t="s">
        <v>3</v>
      </c>
      <c r="BE196" s="2" t="s">
        <v>3</v>
      </c>
      <c r="BF196" s="2" t="s">
        <v>3</v>
      </c>
      <c r="BG196" s="2" t="s">
        <v>3</v>
      </c>
      <c r="BH196" s="2">
        <v>3</v>
      </c>
      <c r="BI196" s="2">
        <v>2</v>
      </c>
      <c r="BJ196" s="2" t="s">
        <v>252</v>
      </c>
      <c r="BK196" s="2"/>
      <c r="BL196" s="2"/>
      <c r="BM196" s="2">
        <v>1618</v>
      </c>
      <c r="BN196" s="2">
        <v>0</v>
      </c>
      <c r="BO196" s="2" t="s">
        <v>3</v>
      </c>
      <c r="BP196" s="2">
        <v>0</v>
      </c>
      <c r="BQ196" s="2">
        <v>201</v>
      </c>
      <c r="BR196" s="2">
        <v>0</v>
      </c>
      <c r="BS196" s="2">
        <v>1</v>
      </c>
      <c r="BT196" s="2">
        <v>1</v>
      </c>
      <c r="BU196" s="2">
        <v>1</v>
      </c>
      <c r="BV196" s="2">
        <v>1</v>
      </c>
      <c r="BW196" s="2">
        <v>1</v>
      </c>
      <c r="BX196" s="2">
        <v>1</v>
      </c>
      <c r="BY196" s="2" t="s">
        <v>3</v>
      </c>
      <c r="BZ196" s="2">
        <v>0</v>
      </c>
      <c r="CA196" s="2">
        <v>0</v>
      </c>
      <c r="CB196" s="2" t="s">
        <v>3</v>
      </c>
      <c r="CC196" s="2"/>
      <c r="CD196" s="2"/>
      <c r="CE196" s="2">
        <v>1566</v>
      </c>
      <c r="CF196" s="2">
        <v>0</v>
      </c>
      <c r="CG196" s="2">
        <v>0</v>
      </c>
      <c r="CH196" s="2"/>
      <c r="CI196" s="2"/>
      <c r="CJ196" s="2"/>
      <c r="CK196" s="2"/>
      <c r="CL196" s="2"/>
      <c r="CM196" s="2">
        <v>0</v>
      </c>
      <c r="CN196" s="2" t="s">
        <v>3</v>
      </c>
      <c r="CO196" s="2">
        <v>0</v>
      </c>
      <c r="CP196" s="2">
        <f t="shared" si="171"/>
        <v>303.24</v>
      </c>
      <c r="CQ196" s="2">
        <f t="shared" si="172"/>
        <v>75.81</v>
      </c>
      <c r="CR196" s="2">
        <f t="shared" si="196"/>
        <v>0</v>
      </c>
      <c r="CS196" s="2">
        <f t="shared" si="197"/>
        <v>0</v>
      </c>
      <c r="CT196" s="2">
        <f t="shared" si="173"/>
        <v>0</v>
      </c>
      <c r="CU196" s="2">
        <f t="shared" si="174"/>
        <v>0</v>
      </c>
      <c r="CV196" s="2">
        <f t="shared" si="175"/>
        <v>0</v>
      </c>
      <c r="CW196" s="2">
        <f t="shared" si="176"/>
        <v>0</v>
      </c>
      <c r="CX196" s="2">
        <f t="shared" si="177"/>
        <v>0</v>
      </c>
      <c r="CY196" s="2">
        <f t="shared" si="198"/>
        <v>0</v>
      </c>
      <c r="CZ196" s="2">
        <f t="shared" si="199"/>
        <v>0</v>
      </c>
      <c r="DA196" s="2"/>
      <c r="DB196" s="2"/>
      <c r="DC196" s="2" t="s">
        <v>3</v>
      </c>
      <c r="DD196" s="2" t="s">
        <v>3</v>
      </c>
      <c r="DE196" s="2" t="s">
        <v>3</v>
      </c>
      <c r="DF196" s="2" t="s">
        <v>3</v>
      </c>
      <c r="DG196" s="2" t="s">
        <v>3</v>
      </c>
      <c r="DH196" s="2" t="s">
        <v>3</v>
      </c>
      <c r="DI196" s="2" t="s">
        <v>3</v>
      </c>
      <c r="DJ196" s="2" t="s">
        <v>3</v>
      </c>
      <c r="DK196" s="2" t="s">
        <v>3</v>
      </c>
      <c r="DL196" s="2" t="s">
        <v>3</v>
      </c>
      <c r="DM196" s="2" t="s">
        <v>3</v>
      </c>
      <c r="DN196" s="2">
        <v>0</v>
      </c>
      <c r="DO196" s="2">
        <v>0</v>
      </c>
      <c r="DP196" s="2">
        <v>1</v>
      </c>
      <c r="DQ196" s="2">
        <v>1</v>
      </c>
      <c r="DR196" s="2"/>
      <c r="DS196" s="2"/>
      <c r="DT196" s="2"/>
      <c r="DU196" s="2">
        <v>1010</v>
      </c>
      <c r="DV196" s="2" t="s">
        <v>251</v>
      </c>
      <c r="DW196" s="2" t="s">
        <v>251</v>
      </c>
      <c r="DX196" s="2">
        <v>1</v>
      </c>
      <c r="DY196" s="2"/>
      <c r="DZ196" s="2" t="s">
        <v>3</v>
      </c>
      <c r="EA196" s="2" t="s">
        <v>3</v>
      </c>
      <c r="EB196" s="2" t="s">
        <v>3</v>
      </c>
      <c r="EC196" s="2" t="s">
        <v>3</v>
      </c>
      <c r="ED196" s="2"/>
      <c r="EE196" s="2">
        <v>57042987</v>
      </c>
      <c r="EF196" s="2">
        <v>201</v>
      </c>
      <c r="EG196" s="2" t="s">
        <v>253</v>
      </c>
      <c r="EH196" s="2">
        <v>0</v>
      </c>
      <c r="EI196" s="2" t="s">
        <v>3</v>
      </c>
      <c r="EJ196" s="2">
        <v>2</v>
      </c>
      <c r="EK196" s="2">
        <v>1618</v>
      </c>
      <c r="EL196" s="2" t="s">
        <v>254</v>
      </c>
      <c r="EM196" s="2" t="s">
        <v>255</v>
      </c>
      <c r="EN196" s="2"/>
      <c r="EO196" s="2" t="s">
        <v>3</v>
      </c>
      <c r="EP196" s="2"/>
      <c r="EQ196" s="2">
        <v>0</v>
      </c>
      <c r="ER196" s="2">
        <v>75.81</v>
      </c>
      <c r="ES196" s="2">
        <v>75.81</v>
      </c>
      <c r="ET196" s="2">
        <v>0</v>
      </c>
      <c r="EU196" s="2">
        <v>0</v>
      </c>
      <c r="EV196" s="2">
        <v>0</v>
      </c>
      <c r="EW196" s="2">
        <v>0</v>
      </c>
      <c r="EX196" s="2">
        <v>0</v>
      </c>
      <c r="EY196" s="2">
        <v>0</v>
      </c>
      <c r="EZ196" s="2"/>
      <c r="FA196" s="2"/>
      <c r="FB196" s="2"/>
      <c r="FC196" s="2"/>
      <c r="FD196" s="2"/>
      <c r="FE196" s="2"/>
      <c r="FF196" s="2"/>
      <c r="FG196" s="2"/>
      <c r="FH196" s="2"/>
      <c r="FI196" s="2"/>
      <c r="FJ196" s="2"/>
      <c r="FK196" s="2"/>
      <c r="FL196" s="2"/>
      <c r="FM196" s="2"/>
      <c r="FN196" s="2"/>
      <c r="FO196" s="2"/>
      <c r="FP196" s="2"/>
      <c r="FQ196" s="2">
        <v>0</v>
      </c>
      <c r="FR196" s="2">
        <v>0</v>
      </c>
      <c r="FS196" s="2">
        <v>0</v>
      </c>
      <c r="FT196" s="2"/>
      <c r="FU196" s="2"/>
      <c r="FV196" s="2"/>
      <c r="FW196" s="2"/>
      <c r="FX196" s="2">
        <v>0</v>
      </c>
      <c r="FY196" s="2">
        <v>0</v>
      </c>
      <c r="FZ196" s="2"/>
      <c r="GA196" s="2" t="s">
        <v>3</v>
      </c>
      <c r="GB196" s="2"/>
      <c r="GC196" s="2"/>
      <c r="GD196" s="2">
        <v>1</v>
      </c>
      <c r="GE196" s="2"/>
      <c r="GF196" s="2">
        <v>-1477750417</v>
      </c>
      <c r="GG196" s="2">
        <v>2</v>
      </c>
      <c r="GH196" s="2">
        <v>1</v>
      </c>
      <c r="GI196" s="2">
        <v>-2</v>
      </c>
      <c r="GJ196" s="2">
        <v>0</v>
      </c>
      <c r="GK196" s="2">
        <v>0</v>
      </c>
      <c r="GL196" s="2">
        <f t="shared" si="178"/>
        <v>0</v>
      </c>
      <c r="GM196" s="2">
        <f t="shared" si="179"/>
        <v>303.24</v>
      </c>
      <c r="GN196" s="2">
        <f t="shared" si="180"/>
        <v>0</v>
      </c>
      <c r="GO196" s="2">
        <f t="shared" si="181"/>
        <v>303.24</v>
      </c>
      <c r="GP196" s="2">
        <f t="shared" si="182"/>
        <v>0</v>
      </c>
      <c r="GQ196" s="2"/>
      <c r="GR196" s="2">
        <v>0</v>
      </c>
      <c r="GS196" s="2">
        <v>3</v>
      </c>
      <c r="GT196" s="2">
        <v>0</v>
      </c>
      <c r="GU196" s="2" t="s">
        <v>3</v>
      </c>
      <c r="GV196" s="2">
        <f t="shared" si="183"/>
        <v>0</v>
      </c>
      <c r="GW196" s="2">
        <v>1</v>
      </c>
      <c r="GX196" s="2">
        <f t="shared" si="184"/>
        <v>0</v>
      </c>
      <c r="GY196" s="2"/>
      <c r="GZ196" s="2"/>
      <c r="HA196" s="2">
        <v>0</v>
      </c>
      <c r="HB196" s="2">
        <v>0</v>
      </c>
      <c r="HC196" s="2">
        <f t="shared" si="185"/>
        <v>0</v>
      </c>
      <c r="HD196" s="2"/>
      <c r="HE196" s="2" t="s">
        <v>3</v>
      </c>
      <c r="HF196" s="2" t="s">
        <v>3</v>
      </c>
      <c r="HG196" s="2"/>
      <c r="HH196" s="2"/>
      <c r="HI196" s="2"/>
      <c r="HJ196" s="2"/>
      <c r="HK196" s="2"/>
      <c r="HL196" s="2"/>
      <c r="HM196" s="2" t="s">
        <v>3</v>
      </c>
      <c r="HN196" s="2" t="s">
        <v>3</v>
      </c>
      <c r="HO196" s="2" t="s">
        <v>3</v>
      </c>
      <c r="HP196" s="2" t="s">
        <v>3</v>
      </c>
      <c r="HQ196" s="2" t="s">
        <v>3</v>
      </c>
      <c r="HR196" s="2"/>
      <c r="HS196" s="2">
        <v>0</v>
      </c>
      <c r="HT196" s="2"/>
      <c r="HU196" s="2"/>
      <c r="HV196" s="2"/>
      <c r="HW196" s="2"/>
      <c r="HX196" s="2"/>
      <c r="HY196" s="2"/>
      <c r="HZ196" s="2"/>
      <c r="IA196" s="2"/>
      <c r="IB196" s="2"/>
      <c r="IC196" s="2"/>
      <c r="ID196" s="2"/>
      <c r="IE196" s="2"/>
      <c r="IF196" s="2"/>
      <c r="IG196" s="2"/>
      <c r="IH196" s="2"/>
      <c r="II196" s="2"/>
      <c r="IJ196" s="2"/>
      <c r="IK196" s="2">
        <v>0</v>
      </c>
      <c r="IL196" s="2"/>
      <c r="IM196" s="2"/>
      <c r="IN196" s="2"/>
      <c r="IO196" s="2"/>
      <c r="IP196" s="2"/>
      <c r="IQ196" s="2"/>
      <c r="IR196" s="2"/>
      <c r="IS196" s="2"/>
      <c r="IT196" s="2"/>
      <c r="IU196" s="2"/>
    </row>
    <row r="197" spans="1:255" x14ac:dyDescent="0.25">
      <c r="A197" s="3">
        <v>17</v>
      </c>
      <c r="B197" s="3">
        <v>1</v>
      </c>
      <c r="E197" s="3" t="s">
        <v>260</v>
      </c>
      <c r="F197" s="3" t="s">
        <v>249</v>
      </c>
      <c r="G197" s="3" t="s">
        <v>261</v>
      </c>
      <c r="H197" s="3" t="s">
        <v>251</v>
      </c>
      <c r="I197" s="3">
        <v>4</v>
      </c>
      <c r="J197" s="3">
        <v>0</v>
      </c>
      <c r="K197" s="3">
        <v>4</v>
      </c>
      <c r="O197" s="3">
        <f t="shared" si="159"/>
        <v>18782.689999999999</v>
      </c>
      <c r="P197" s="3">
        <f t="shared" si="160"/>
        <v>18782.689999999999</v>
      </c>
      <c r="Q197" s="3">
        <f t="shared" si="186"/>
        <v>0</v>
      </c>
      <c r="R197" s="3">
        <f t="shared" si="187"/>
        <v>0</v>
      </c>
      <c r="S197" s="3">
        <f t="shared" si="161"/>
        <v>0</v>
      </c>
      <c r="T197" s="3">
        <f t="shared" si="162"/>
        <v>0</v>
      </c>
      <c r="U197" s="3">
        <f t="shared" si="163"/>
        <v>0</v>
      </c>
      <c r="V197" s="3">
        <f t="shared" si="164"/>
        <v>0</v>
      </c>
      <c r="W197" s="3">
        <f t="shared" si="165"/>
        <v>0</v>
      </c>
      <c r="X197" s="3">
        <f t="shared" si="188"/>
        <v>0</v>
      </c>
      <c r="Y197" s="3">
        <f t="shared" si="189"/>
        <v>0</v>
      </c>
      <c r="AA197" s="3">
        <v>57014140</v>
      </c>
      <c r="AB197" s="3">
        <f t="shared" si="166"/>
        <v>75.81</v>
      </c>
      <c r="AC197" s="3">
        <f t="shared" si="190"/>
        <v>75.81</v>
      </c>
      <c r="AD197" s="3">
        <f t="shared" si="191"/>
        <v>0</v>
      </c>
      <c r="AE197" s="3">
        <f t="shared" si="192"/>
        <v>0</v>
      </c>
      <c r="AF197" s="3">
        <f t="shared" si="193"/>
        <v>0</v>
      </c>
      <c r="AG197" s="3">
        <f t="shared" si="168"/>
        <v>0</v>
      </c>
      <c r="AH197" s="3">
        <f t="shared" si="194"/>
        <v>0</v>
      </c>
      <c r="AI197" s="3">
        <f t="shared" si="195"/>
        <v>0</v>
      </c>
      <c r="AJ197" s="3">
        <f t="shared" si="170"/>
        <v>0</v>
      </c>
      <c r="AK197" s="3">
        <v>75.81</v>
      </c>
      <c r="AL197" s="3">
        <v>75.81</v>
      </c>
      <c r="AM197" s="3">
        <v>0</v>
      </c>
      <c r="AN197" s="3">
        <v>0</v>
      </c>
      <c r="AO197" s="3">
        <v>0</v>
      </c>
      <c r="AP197" s="3">
        <v>0</v>
      </c>
      <c r="AQ197" s="3">
        <v>0</v>
      </c>
      <c r="AR197" s="3">
        <v>0</v>
      </c>
      <c r="AS197" s="3">
        <v>0</v>
      </c>
      <c r="AT197" s="3">
        <v>0</v>
      </c>
      <c r="AU197" s="3">
        <v>0</v>
      </c>
      <c r="AV197" s="3">
        <v>1</v>
      </c>
      <c r="AW197" s="3">
        <v>1</v>
      </c>
      <c r="AZ197" s="3">
        <v>1</v>
      </c>
      <c r="BA197" s="3">
        <v>1</v>
      </c>
      <c r="BB197" s="3">
        <v>1</v>
      </c>
      <c r="BC197" s="3">
        <v>61.94</v>
      </c>
      <c r="BD197" s="3" t="s">
        <v>3</v>
      </c>
      <c r="BE197" s="3" t="s">
        <v>3</v>
      </c>
      <c r="BF197" s="3" t="s">
        <v>3</v>
      </c>
      <c r="BG197" s="3" t="s">
        <v>3</v>
      </c>
      <c r="BH197" s="3">
        <v>3</v>
      </c>
      <c r="BI197" s="3">
        <v>2</v>
      </c>
      <c r="BJ197" s="3" t="s">
        <v>252</v>
      </c>
      <c r="BM197" s="3">
        <v>1618</v>
      </c>
      <c r="BN197" s="3">
        <v>0</v>
      </c>
      <c r="BO197" s="3" t="s">
        <v>249</v>
      </c>
      <c r="BP197" s="3">
        <v>1</v>
      </c>
      <c r="BQ197" s="3">
        <v>201</v>
      </c>
      <c r="BR197" s="3">
        <v>0</v>
      </c>
      <c r="BS197" s="3">
        <v>1</v>
      </c>
      <c r="BT197" s="3">
        <v>1</v>
      </c>
      <c r="BU197" s="3">
        <v>1</v>
      </c>
      <c r="BV197" s="3">
        <v>1</v>
      </c>
      <c r="BW197" s="3">
        <v>1</v>
      </c>
      <c r="BX197" s="3">
        <v>1</v>
      </c>
      <c r="BY197" s="3" t="s">
        <v>3</v>
      </c>
      <c r="BZ197" s="3">
        <v>0</v>
      </c>
      <c r="CA197" s="3">
        <v>0</v>
      </c>
      <c r="CB197" s="3" t="s">
        <v>3</v>
      </c>
      <c r="CE197" s="3">
        <v>1566</v>
      </c>
      <c r="CF197" s="3">
        <v>0</v>
      </c>
      <c r="CG197" s="3">
        <v>0</v>
      </c>
      <c r="CM197" s="3">
        <v>0</v>
      </c>
      <c r="CN197" s="3" t="s">
        <v>3</v>
      </c>
      <c r="CO197" s="3">
        <v>0</v>
      </c>
      <c r="CP197" s="3">
        <f t="shared" si="171"/>
        <v>18782.689999999999</v>
      </c>
      <c r="CQ197" s="3">
        <f t="shared" si="172"/>
        <v>4695.67</v>
      </c>
      <c r="CR197" s="3">
        <f t="shared" si="196"/>
        <v>0</v>
      </c>
      <c r="CS197" s="3">
        <f t="shared" si="197"/>
        <v>0</v>
      </c>
      <c r="CT197" s="3">
        <f t="shared" si="173"/>
        <v>0</v>
      </c>
      <c r="CU197" s="3">
        <f t="shared" si="174"/>
        <v>0</v>
      </c>
      <c r="CV197" s="3">
        <f t="shared" si="175"/>
        <v>0</v>
      </c>
      <c r="CW197" s="3">
        <f t="shared" si="176"/>
        <v>0</v>
      </c>
      <c r="CX197" s="3">
        <f t="shared" si="177"/>
        <v>0</v>
      </c>
      <c r="CY197" s="3">
        <f t="shared" si="198"/>
        <v>0</v>
      </c>
      <c r="CZ197" s="3">
        <f t="shared" si="199"/>
        <v>0</v>
      </c>
      <c r="DC197" s="3" t="s">
        <v>3</v>
      </c>
      <c r="DD197" s="3" t="s">
        <v>3</v>
      </c>
      <c r="DE197" s="3" t="s">
        <v>3</v>
      </c>
      <c r="DF197" s="3" t="s">
        <v>3</v>
      </c>
      <c r="DG197" s="3" t="s">
        <v>3</v>
      </c>
      <c r="DH197" s="3" t="s">
        <v>3</v>
      </c>
      <c r="DI197" s="3" t="s">
        <v>3</v>
      </c>
      <c r="DJ197" s="3" t="s">
        <v>3</v>
      </c>
      <c r="DK197" s="3" t="s">
        <v>3</v>
      </c>
      <c r="DL197" s="3" t="s">
        <v>3</v>
      </c>
      <c r="DM197" s="3" t="s">
        <v>3</v>
      </c>
      <c r="DN197" s="3">
        <v>0</v>
      </c>
      <c r="DO197" s="3">
        <v>0</v>
      </c>
      <c r="DP197" s="3">
        <v>1</v>
      </c>
      <c r="DQ197" s="3">
        <v>1</v>
      </c>
      <c r="DU197" s="3">
        <v>1010</v>
      </c>
      <c r="DV197" s="3" t="s">
        <v>251</v>
      </c>
      <c r="DW197" s="3" t="s">
        <v>251</v>
      </c>
      <c r="DX197" s="3">
        <v>1</v>
      </c>
      <c r="DZ197" s="3" t="s">
        <v>3</v>
      </c>
      <c r="EA197" s="3" t="s">
        <v>3</v>
      </c>
      <c r="EB197" s="3" t="s">
        <v>3</v>
      </c>
      <c r="EC197" s="3" t="s">
        <v>3</v>
      </c>
      <c r="EE197" s="3">
        <v>57042987</v>
      </c>
      <c r="EF197" s="3">
        <v>201</v>
      </c>
      <c r="EG197" s="3" t="s">
        <v>253</v>
      </c>
      <c r="EH197" s="3">
        <v>0</v>
      </c>
      <c r="EI197" s="3" t="s">
        <v>3</v>
      </c>
      <c r="EJ197" s="3">
        <v>2</v>
      </c>
      <c r="EK197" s="3">
        <v>1618</v>
      </c>
      <c r="EL197" s="3" t="s">
        <v>254</v>
      </c>
      <c r="EM197" s="3" t="s">
        <v>255</v>
      </c>
      <c r="EO197" s="3" t="s">
        <v>3</v>
      </c>
      <c r="EQ197" s="3">
        <v>0</v>
      </c>
      <c r="ER197" s="3">
        <v>75.81</v>
      </c>
      <c r="ES197" s="3">
        <v>75.81</v>
      </c>
      <c r="ET197" s="3">
        <v>0</v>
      </c>
      <c r="EU197" s="3">
        <v>0</v>
      </c>
      <c r="EV197" s="3">
        <v>0</v>
      </c>
      <c r="EW197" s="3">
        <v>0</v>
      </c>
      <c r="EX197" s="3">
        <v>0</v>
      </c>
      <c r="EY197" s="3">
        <v>0</v>
      </c>
      <c r="FQ197" s="3">
        <v>0</v>
      </c>
      <c r="FR197" s="3">
        <v>0</v>
      </c>
      <c r="FS197" s="3">
        <v>0</v>
      </c>
      <c r="FX197" s="3">
        <v>0</v>
      </c>
      <c r="FY197" s="3">
        <v>0</v>
      </c>
      <c r="GA197" s="3" t="s">
        <v>3</v>
      </c>
      <c r="GD197" s="3">
        <v>1</v>
      </c>
      <c r="GF197" s="3">
        <v>-1477750417</v>
      </c>
      <c r="GG197" s="3">
        <v>2</v>
      </c>
      <c r="GH197" s="3">
        <v>1</v>
      </c>
      <c r="GI197" s="3">
        <v>2</v>
      </c>
      <c r="GJ197" s="3">
        <v>0</v>
      </c>
      <c r="GK197" s="3">
        <v>0</v>
      </c>
      <c r="GL197" s="3">
        <f t="shared" si="178"/>
        <v>0</v>
      </c>
      <c r="GM197" s="3">
        <f t="shared" si="179"/>
        <v>18782.689999999999</v>
      </c>
      <c r="GN197" s="3">
        <f t="shared" si="180"/>
        <v>0</v>
      </c>
      <c r="GO197" s="3">
        <f t="shared" si="181"/>
        <v>18782.689999999999</v>
      </c>
      <c r="GP197" s="3">
        <f t="shared" si="182"/>
        <v>0</v>
      </c>
      <c r="GR197" s="3">
        <v>0</v>
      </c>
      <c r="GS197" s="3">
        <v>3</v>
      </c>
      <c r="GT197" s="3">
        <v>0</v>
      </c>
      <c r="GU197" s="3" t="s">
        <v>3</v>
      </c>
      <c r="GV197" s="3">
        <f t="shared" si="183"/>
        <v>0</v>
      </c>
      <c r="GW197" s="3">
        <v>1</v>
      </c>
      <c r="GX197" s="3">
        <f t="shared" si="184"/>
        <v>0</v>
      </c>
      <c r="HA197" s="3">
        <v>0</v>
      </c>
      <c r="HB197" s="3">
        <v>0</v>
      </c>
      <c r="HC197" s="3">
        <f t="shared" si="185"/>
        <v>0</v>
      </c>
      <c r="HE197" s="3" t="s">
        <v>3</v>
      </c>
      <c r="HF197" s="3" t="s">
        <v>3</v>
      </c>
      <c r="HM197" s="3" t="s">
        <v>3</v>
      </c>
      <c r="HN197" s="3" t="s">
        <v>3</v>
      </c>
      <c r="HO197" s="3" t="s">
        <v>3</v>
      </c>
      <c r="HP197" s="3" t="s">
        <v>3</v>
      </c>
      <c r="HQ197" s="3" t="s">
        <v>3</v>
      </c>
      <c r="HS197" s="3">
        <v>0</v>
      </c>
      <c r="IK197" s="3">
        <v>0</v>
      </c>
    </row>
    <row r="198" spans="1:255" x14ac:dyDescent="0.25">
      <c r="A198" s="2">
        <v>17</v>
      </c>
      <c r="B198" s="2">
        <v>1</v>
      </c>
      <c r="C198" s="2"/>
      <c r="D198" s="2"/>
      <c r="E198" s="2" t="s">
        <v>262</v>
      </c>
      <c r="F198" s="2" t="s">
        <v>249</v>
      </c>
      <c r="G198" s="2" t="s">
        <v>263</v>
      </c>
      <c r="H198" s="2" t="s">
        <v>251</v>
      </c>
      <c r="I198" s="2">
        <v>1</v>
      </c>
      <c r="J198" s="2">
        <v>0</v>
      </c>
      <c r="K198" s="2">
        <v>1</v>
      </c>
      <c r="L198" s="2"/>
      <c r="M198" s="2"/>
      <c r="N198" s="2"/>
      <c r="O198" s="2">
        <f t="shared" si="159"/>
        <v>75.81</v>
      </c>
      <c r="P198" s="2">
        <f t="shared" si="160"/>
        <v>75.81</v>
      </c>
      <c r="Q198" s="2">
        <f t="shared" si="186"/>
        <v>0</v>
      </c>
      <c r="R198" s="2">
        <f t="shared" si="187"/>
        <v>0</v>
      </c>
      <c r="S198" s="2">
        <f t="shared" si="161"/>
        <v>0</v>
      </c>
      <c r="T198" s="2">
        <f t="shared" si="162"/>
        <v>0</v>
      </c>
      <c r="U198" s="2">
        <f t="shared" si="163"/>
        <v>0</v>
      </c>
      <c r="V198" s="2">
        <f t="shared" si="164"/>
        <v>0</v>
      </c>
      <c r="W198" s="2">
        <f t="shared" si="165"/>
        <v>0</v>
      </c>
      <c r="X198" s="2">
        <f t="shared" si="188"/>
        <v>0</v>
      </c>
      <c r="Y198" s="2">
        <f t="shared" si="189"/>
        <v>0</v>
      </c>
      <c r="Z198" s="2"/>
      <c r="AA198" s="2">
        <v>57014138</v>
      </c>
      <c r="AB198" s="2">
        <f t="shared" si="166"/>
        <v>75.81</v>
      </c>
      <c r="AC198" s="2">
        <f t="shared" si="190"/>
        <v>75.81</v>
      </c>
      <c r="AD198" s="2">
        <f t="shared" si="191"/>
        <v>0</v>
      </c>
      <c r="AE198" s="2">
        <f t="shared" si="192"/>
        <v>0</v>
      </c>
      <c r="AF198" s="2">
        <f t="shared" si="193"/>
        <v>0</v>
      </c>
      <c r="AG198" s="2">
        <f t="shared" si="168"/>
        <v>0</v>
      </c>
      <c r="AH198" s="2">
        <f t="shared" si="194"/>
        <v>0</v>
      </c>
      <c r="AI198" s="2">
        <f t="shared" si="195"/>
        <v>0</v>
      </c>
      <c r="AJ198" s="2">
        <f t="shared" si="170"/>
        <v>0</v>
      </c>
      <c r="AK198" s="2">
        <v>75.81</v>
      </c>
      <c r="AL198" s="2">
        <v>75.81</v>
      </c>
      <c r="AM198" s="2">
        <v>0</v>
      </c>
      <c r="AN198" s="2">
        <v>0</v>
      </c>
      <c r="AO198" s="2">
        <v>0</v>
      </c>
      <c r="AP198" s="2">
        <v>0</v>
      </c>
      <c r="AQ198" s="2">
        <v>0</v>
      </c>
      <c r="AR198" s="2">
        <v>0</v>
      </c>
      <c r="AS198" s="2">
        <v>0</v>
      </c>
      <c r="AT198" s="2">
        <v>0</v>
      </c>
      <c r="AU198" s="2">
        <v>0</v>
      </c>
      <c r="AV198" s="2">
        <v>1</v>
      </c>
      <c r="AW198" s="2">
        <v>1</v>
      </c>
      <c r="AX198" s="2"/>
      <c r="AY198" s="2"/>
      <c r="AZ198" s="2">
        <v>1</v>
      </c>
      <c r="BA198" s="2">
        <v>1</v>
      </c>
      <c r="BB198" s="2">
        <v>1</v>
      </c>
      <c r="BC198" s="2">
        <v>1</v>
      </c>
      <c r="BD198" s="2" t="s">
        <v>3</v>
      </c>
      <c r="BE198" s="2" t="s">
        <v>3</v>
      </c>
      <c r="BF198" s="2" t="s">
        <v>3</v>
      </c>
      <c r="BG198" s="2" t="s">
        <v>3</v>
      </c>
      <c r="BH198" s="2">
        <v>3</v>
      </c>
      <c r="BI198" s="2">
        <v>2</v>
      </c>
      <c r="BJ198" s="2" t="s">
        <v>252</v>
      </c>
      <c r="BK198" s="2"/>
      <c r="BL198" s="2"/>
      <c r="BM198" s="2">
        <v>1618</v>
      </c>
      <c r="BN198" s="2">
        <v>0</v>
      </c>
      <c r="BO198" s="2" t="s">
        <v>3</v>
      </c>
      <c r="BP198" s="2">
        <v>0</v>
      </c>
      <c r="BQ198" s="2">
        <v>201</v>
      </c>
      <c r="BR198" s="2">
        <v>0</v>
      </c>
      <c r="BS198" s="2">
        <v>1</v>
      </c>
      <c r="BT198" s="2">
        <v>1</v>
      </c>
      <c r="BU198" s="2">
        <v>1</v>
      </c>
      <c r="BV198" s="2">
        <v>1</v>
      </c>
      <c r="BW198" s="2">
        <v>1</v>
      </c>
      <c r="BX198" s="2">
        <v>1</v>
      </c>
      <c r="BY198" s="2" t="s">
        <v>3</v>
      </c>
      <c r="BZ198" s="2">
        <v>0</v>
      </c>
      <c r="CA198" s="2">
        <v>0</v>
      </c>
      <c r="CB198" s="2" t="s">
        <v>3</v>
      </c>
      <c r="CC198" s="2"/>
      <c r="CD198" s="2"/>
      <c r="CE198" s="2">
        <v>1566</v>
      </c>
      <c r="CF198" s="2">
        <v>0</v>
      </c>
      <c r="CG198" s="2">
        <v>0</v>
      </c>
      <c r="CH198" s="2"/>
      <c r="CI198" s="2"/>
      <c r="CJ198" s="2"/>
      <c r="CK198" s="2"/>
      <c r="CL198" s="2"/>
      <c r="CM198" s="2">
        <v>0</v>
      </c>
      <c r="CN198" s="2" t="s">
        <v>3</v>
      </c>
      <c r="CO198" s="2">
        <v>0</v>
      </c>
      <c r="CP198" s="2">
        <f t="shared" si="171"/>
        <v>75.81</v>
      </c>
      <c r="CQ198" s="2">
        <f t="shared" si="172"/>
        <v>75.81</v>
      </c>
      <c r="CR198" s="2">
        <f t="shared" si="196"/>
        <v>0</v>
      </c>
      <c r="CS198" s="2">
        <f t="shared" si="197"/>
        <v>0</v>
      </c>
      <c r="CT198" s="2">
        <f t="shared" si="173"/>
        <v>0</v>
      </c>
      <c r="CU198" s="2">
        <f t="shared" si="174"/>
        <v>0</v>
      </c>
      <c r="CV198" s="2">
        <f t="shared" si="175"/>
        <v>0</v>
      </c>
      <c r="CW198" s="2">
        <f t="shared" si="176"/>
        <v>0</v>
      </c>
      <c r="CX198" s="2">
        <f t="shared" si="177"/>
        <v>0</v>
      </c>
      <c r="CY198" s="2">
        <f t="shared" si="198"/>
        <v>0</v>
      </c>
      <c r="CZ198" s="2">
        <f t="shared" si="199"/>
        <v>0</v>
      </c>
      <c r="DA198" s="2"/>
      <c r="DB198" s="2"/>
      <c r="DC198" s="2" t="s">
        <v>3</v>
      </c>
      <c r="DD198" s="2" t="s">
        <v>3</v>
      </c>
      <c r="DE198" s="2" t="s">
        <v>3</v>
      </c>
      <c r="DF198" s="2" t="s">
        <v>3</v>
      </c>
      <c r="DG198" s="2" t="s">
        <v>3</v>
      </c>
      <c r="DH198" s="2" t="s">
        <v>3</v>
      </c>
      <c r="DI198" s="2" t="s">
        <v>3</v>
      </c>
      <c r="DJ198" s="2" t="s">
        <v>3</v>
      </c>
      <c r="DK198" s="2" t="s">
        <v>3</v>
      </c>
      <c r="DL198" s="2" t="s">
        <v>3</v>
      </c>
      <c r="DM198" s="2" t="s">
        <v>3</v>
      </c>
      <c r="DN198" s="2">
        <v>0</v>
      </c>
      <c r="DO198" s="2">
        <v>0</v>
      </c>
      <c r="DP198" s="2">
        <v>1</v>
      </c>
      <c r="DQ198" s="2">
        <v>1</v>
      </c>
      <c r="DR198" s="2"/>
      <c r="DS198" s="2"/>
      <c r="DT198" s="2"/>
      <c r="DU198" s="2">
        <v>1010</v>
      </c>
      <c r="DV198" s="2" t="s">
        <v>251</v>
      </c>
      <c r="DW198" s="2" t="s">
        <v>251</v>
      </c>
      <c r="DX198" s="2">
        <v>1</v>
      </c>
      <c r="DY198" s="2"/>
      <c r="DZ198" s="2" t="s">
        <v>3</v>
      </c>
      <c r="EA198" s="2" t="s">
        <v>3</v>
      </c>
      <c r="EB198" s="2" t="s">
        <v>3</v>
      </c>
      <c r="EC198" s="2" t="s">
        <v>3</v>
      </c>
      <c r="ED198" s="2"/>
      <c r="EE198" s="2">
        <v>57042987</v>
      </c>
      <c r="EF198" s="2">
        <v>201</v>
      </c>
      <c r="EG198" s="2" t="s">
        <v>253</v>
      </c>
      <c r="EH198" s="2">
        <v>0</v>
      </c>
      <c r="EI198" s="2" t="s">
        <v>3</v>
      </c>
      <c r="EJ198" s="2">
        <v>2</v>
      </c>
      <c r="EK198" s="2">
        <v>1618</v>
      </c>
      <c r="EL198" s="2" t="s">
        <v>254</v>
      </c>
      <c r="EM198" s="2" t="s">
        <v>255</v>
      </c>
      <c r="EN198" s="2"/>
      <c r="EO198" s="2" t="s">
        <v>3</v>
      </c>
      <c r="EP198" s="2"/>
      <c r="EQ198" s="2">
        <v>0</v>
      </c>
      <c r="ER198" s="2">
        <v>75.81</v>
      </c>
      <c r="ES198" s="2">
        <v>75.81</v>
      </c>
      <c r="ET198" s="2">
        <v>0</v>
      </c>
      <c r="EU198" s="2">
        <v>0</v>
      </c>
      <c r="EV198" s="2">
        <v>0</v>
      </c>
      <c r="EW198" s="2">
        <v>0</v>
      </c>
      <c r="EX198" s="2">
        <v>0</v>
      </c>
      <c r="EY198" s="2">
        <v>0</v>
      </c>
      <c r="EZ198" s="2"/>
      <c r="FA198" s="2"/>
      <c r="FB198" s="2"/>
      <c r="FC198" s="2"/>
      <c r="FD198" s="2"/>
      <c r="FE198" s="2"/>
      <c r="FF198" s="2"/>
      <c r="FG198" s="2"/>
      <c r="FH198" s="2"/>
      <c r="FI198" s="2"/>
      <c r="FJ198" s="2"/>
      <c r="FK198" s="2"/>
      <c r="FL198" s="2"/>
      <c r="FM198" s="2"/>
      <c r="FN198" s="2"/>
      <c r="FO198" s="2"/>
      <c r="FP198" s="2"/>
      <c r="FQ198" s="2">
        <v>0</v>
      </c>
      <c r="FR198" s="2">
        <v>0</v>
      </c>
      <c r="FS198" s="2">
        <v>0</v>
      </c>
      <c r="FT198" s="2"/>
      <c r="FU198" s="2"/>
      <c r="FV198" s="2"/>
      <c r="FW198" s="2"/>
      <c r="FX198" s="2">
        <v>0</v>
      </c>
      <c r="FY198" s="2">
        <v>0</v>
      </c>
      <c r="FZ198" s="2"/>
      <c r="GA198" s="2" t="s">
        <v>3</v>
      </c>
      <c r="GB198" s="2"/>
      <c r="GC198" s="2"/>
      <c r="GD198" s="2">
        <v>1</v>
      </c>
      <c r="GE198" s="2"/>
      <c r="GF198" s="2">
        <v>-672317331</v>
      </c>
      <c r="GG198" s="2">
        <v>2</v>
      </c>
      <c r="GH198" s="2">
        <v>1</v>
      </c>
      <c r="GI198" s="2">
        <v>-2</v>
      </c>
      <c r="GJ198" s="2">
        <v>0</v>
      </c>
      <c r="GK198" s="2">
        <v>0</v>
      </c>
      <c r="GL198" s="2">
        <f t="shared" si="178"/>
        <v>0</v>
      </c>
      <c r="GM198" s="2">
        <f t="shared" si="179"/>
        <v>75.81</v>
      </c>
      <c r="GN198" s="2">
        <f t="shared" si="180"/>
        <v>0</v>
      </c>
      <c r="GO198" s="2">
        <f t="shared" si="181"/>
        <v>75.81</v>
      </c>
      <c r="GP198" s="2">
        <f t="shared" si="182"/>
        <v>0</v>
      </c>
      <c r="GQ198" s="2"/>
      <c r="GR198" s="2">
        <v>0</v>
      </c>
      <c r="GS198" s="2">
        <v>3</v>
      </c>
      <c r="GT198" s="2">
        <v>0</v>
      </c>
      <c r="GU198" s="2" t="s">
        <v>3</v>
      </c>
      <c r="GV198" s="2">
        <f t="shared" si="183"/>
        <v>0</v>
      </c>
      <c r="GW198" s="2">
        <v>1</v>
      </c>
      <c r="GX198" s="2">
        <f t="shared" si="184"/>
        <v>0</v>
      </c>
      <c r="GY198" s="2"/>
      <c r="GZ198" s="2"/>
      <c r="HA198" s="2">
        <v>0</v>
      </c>
      <c r="HB198" s="2">
        <v>0</v>
      </c>
      <c r="HC198" s="2">
        <f t="shared" si="185"/>
        <v>0</v>
      </c>
      <c r="HD198" s="2"/>
      <c r="HE198" s="2" t="s">
        <v>3</v>
      </c>
      <c r="HF198" s="2" t="s">
        <v>3</v>
      </c>
      <c r="HG198" s="2"/>
      <c r="HH198" s="2"/>
      <c r="HI198" s="2"/>
      <c r="HJ198" s="2"/>
      <c r="HK198" s="2"/>
      <c r="HL198" s="2"/>
      <c r="HM198" s="2" t="s">
        <v>3</v>
      </c>
      <c r="HN198" s="2" t="s">
        <v>3</v>
      </c>
      <c r="HO198" s="2" t="s">
        <v>3</v>
      </c>
      <c r="HP198" s="2" t="s">
        <v>3</v>
      </c>
      <c r="HQ198" s="2" t="s">
        <v>3</v>
      </c>
      <c r="HR198" s="2"/>
      <c r="HS198" s="2">
        <v>0</v>
      </c>
      <c r="HT198" s="2"/>
      <c r="HU198" s="2"/>
      <c r="HV198" s="2"/>
      <c r="HW198" s="2"/>
      <c r="HX198" s="2"/>
      <c r="HY198" s="2"/>
      <c r="HZ198" s="2"/>
      <c r="IA198" s="2"/>
      <c r="IB198" s="2"/>
      <c r="IC198" s="2"/>
      <c r="ID198" s="2"/>
      <c r="IE198" s="2"/>
      <c r="IF198" s="2"/>
      <c r="IG198" s="2"/>
      <c r="IH198" s="2"/>
      <c r="II198" s="2"/>
      <c r="IJ198" s="2"/>
      <c r="IK198" s="2">
        <v>0</v>
      </c>
      <c r="IL198" s="2"/>
      <c r="IM198" s="2"/>
      <c r="IN198" s="2"/>
      <c r="IO198" s="2"/>
      <c r="IP198" s="2"/>
      <c r="IQ198" s="2"/>
      <c r="IR198" s="2"/>
      <c r="IS198" s="2"/>
      <c r="IT198" s="2"/>
      <c r="IU198" s="2"/>
    </row>
    <row r="199" spans="1:255" x14ac:dyDescent="0.25">
      <c r="A199" s="3">
        <v>17</v>
      </c>
      <c r="B199" s="3">
        <v>1</v>
      </c>
      <c r="E199" s="3" t="s">
        <v>262</v>
      </c>
      <c r="F199" s="3" t="s">
        <v>249</v>
      </c>
      <c r="G199" s="3" t="s">
        <v>263</v>
      </c>
      <c r="H199" s="3" t="s">
        <v>251</v>
      </c>
      <c r="I199" s="3">
        <v>1</v>
      </c>
      <c r="J199" s="3">
        <v>0</v>
      </c>
      <c r="K199" s="3">
        <v>1</v>
      </c>
      <c r="O199" s="3">
        <f t="shared" si="159"/>
        <v>4695.67</v>
      </c>
      <c r="P199" s="3">
        <f t="shared" si="160"/>
        <v>4695.67</v>
      </c>
      <c r="Q199" s="3">
        <f t="shared" si="186"/>
        <v>0</v>
      </c>
      <c r="R199" s="3">
        <f t="shared" si="187"/>
        <v>0</v>
      </c>
      <c r="S199" s="3">
        <f t="shared" si="161"/>
        <v>0</v>
      </c>
      <c r="T199" s="3">
        <f t="shared" si="162"/>
        <v>0</v>
      </c>
      <c r="U199" s="3">
        <f t="shared" si="163"/>
        <v>0</v>
      </c>
      <c r="V199" s="3">
        <f t="shared" si="164"/>
        <v>0</v>
      </c>
      <c r="W199" s="3">
        <f t="shared" si="165"/>
        <v>0</v>
      </c>
      <c r="X199" s="3">
        <f t="shared" si="188"/>
        <v>0</v>
      </c>
      <c r="Y199" s="3">
        <f t="shared" si="189"/>
        <v>0</v>
      </c>
      <c r="AA199" s="3">
        <v>57014140</v>
      </c>
      <c r="AB199" s="3">
        <f t="shared" si="166"/>
        <v>75.81</v>
      </c>
      <c r="AC199" s="3">
        <f t="shared" si="190"/>
        <v>75.81</v>
      </c>
      <c r="AD199" s="3">
        <f t="shared" si="191"/>
        <v>0</v>
      </c>
      <c r="AE199" s="3">
        <f t="shared" si="192"/>
        <v>0</v>
      </c>
      <c r="AF199" s="3">
        <f t="shared" si="193"/>
        <v>0</v>
      </c>
      <c r="AG199" s="3">
        <f t="shared" si="168"/>
        <v>0</v>
      </c>
      <c r="AH199" s="3">
        <f t="shared" si="194"/>
        <v>0</v>
      </c>
      <c r="AI199" s="3">
        <f t="shared" si="195"/>
        <v>0</v>
      </c>
      <c r="AJ199" s="3">
        <f t="shared" si="170"/>
        <v>0</v>
      </c>
      <c r="AK199" s="3">
        <v>75.81</v>
      </c>
      <c r="AL199" s="3">
        <v>75.81</v>
      </c>
      <c r="AM199" s="3">
        <v>0</v>
      </c>
      <c r="AN199" s="3">
        <v>0</v>
      </c>
      <c r="AO199" s="3">
        <v>0</v>
      </c>
      <c r="AP199" s="3">
        <v>0</v>
      </c>
      <c r="AQ199" s="3">
        <v>0</v>
      </c>
      <c r="AR199" s="3">
        <v>0</v>
      </c>
      <c r="AS199" s="3">
        <v>0</v>
      </c>
      <c r="AT199" s="3">
        <v>0</v>
      </c>
      <c r="AU199" s="3">
        <v>0</v>
      </c>
      <c r="AV199" s="3">
        <v>1</v>
      </c>
      <c r="AW199" s="3">
        <v>1</v>
      </c>
      <c r="AZ199" s="3">
        <v>1</v>
      </c>
      <c r="BA199" s="3">
        <v>1</v>
      </c>
      <c r="BB199" s="3">
        <v>1</v>
      </c>
      <c r="BC199" s="3">
        <v>61.94</v>
      </c>
      <c r="BD199" s="3" t="s">
        <v>3</v>
      </c>
      <c r="BE199" s="3" t="s">
        <v>3</v>
      </c>
      <c r="BF199" s="3" t="s">
        <v>3</v>
      </c>
      <c r="BG199" s="3" t="s">
        <v>3</v>
      </c>
      <c r="BH199" s="3">
        <v>3</v>
      </c>
      <c r="BI199" s="3">
        <v>2</v>
      </c>
      <c r="BJ199" s="3" t="s">
        <v>252</v>
      </c>
      <c r="BM199" s="3">
        <v>1618</v>
      </c>
      <c r="BN199" s="3">
        <v>0</v>
      </c>
      <c r="BO199" s="3" t="s">
        <v>249</v>
      </c>
      <c r="BP199" s="3">
        <v>1</v>
      </c>
      <c r="BQ199" s="3">
        <v>201</v>
      </c>
      <c r="BR199" s="3">
        <v>0</v>
      </c>
      <c r="BS199" s="3">
        <v>1</v>
      </c>
      <c r="BT199" s="3">
        <v>1</v>
      </c>
      <c r="BU199" s="3">
        <v>1</v>
      </c>
      <c r="BV199" s="3">
        <v>1</v>
      </c>
      <c r="BW199" s="3">
        <v>1</v>
      </c>
      <c r="BX199" s="3">
        <v>1</v>
      </c>
      <c r="BY199" s="3" t="s">
        <v>3</v>
      </c>
      <c r="BZ199" s="3">
        <v>0</v>
      </c>
      <c r="CA199" s="3">
        <v>0</v>
      </c>
      <c r="CB199" s="3" t="s">
        <v>3</v>
      </c>
      <c r="CE199" s="3">
        <v>1566</v>
      </c>
      <c r="CF199" s="3">
        <v>0</v>
      </c>
      <c r="CG199" s="3">
        <v>0</v>
      </c>
      <c r="CM199" s="3">
        <v>0</v>
      </c>
      <c r="CN199" s="3" t="s">
        <v>3</v>
      </c>
      <c r="CO199" s="3">
        <v>0</v>
      </c>
      <c r="CP199" s="3">
        <f t="shared" si="171"/>
        <v>4695.67</v>
      </c>
      <c r="CQ199" s="3">
        <f t="shared" si="172"/>
        <v>4695.67</v>
      </c>
      <c r="CR199" s="3">
        <f t="shared" si="196"/>
        <v>0</v>
      </c>
      <c r="CS199" s="3">
        <f t="shared" si="197"/>
        <v>0</v>
      </c>
      <c r="CT199" s="3">
        <f t="shared" si="173"/>
        <v>0</v>
      </c>
      <c r="CU199" s="3">
        <f t="shared" si="174"/>
        <v>0</v>
      </c>
      <c r="CV199" s="3">
        <f t="shared" si="175"/>
        <v>0</v>
      </c>
      <c r="CW199" s="3">
        <f t="shared" si="176"/>
        <v>0</v>
      </c>
      <c r="CX199" s="3">
        <f t="shared" si="177"/>
        <v>0</v>
      </c>
      <c r="CY199" s="3">
        <f t="shared" si="198"/>
        <v>0</v>
      </c>
      <c r="CZ199" s="3">
        <f t="shared" si="199"/>
        <v>0</v>
      </c>
      <c r="DC199" s="3" t="s">
        <v>3</v>
      </c>
      <c r="DD199" s="3" t="s">
        <v>3</v>
      </c>
      <c r="DE199" s="3" t="s">
        <v>3</v>
      </c>
      <c r="DF199" s="3" t="s">
        <v>3</v>
      </c>
      <c r="DG199" s="3" t="s">
        <v>3</v>
      </c>
      <c r="DH199" s="3" t="s">
        <v>3</v>
      </c>
      <c r="DI199" s="3" t="s">
        <v>3</v>
      </c>
      <c r="DJ199" s="3" t="s">
        <v>3</v>
      </c>
      <c r="DK199" s="3" t="s">
        <v>3</v>
      </c>
      <c r="DL199" s="3" t="s">
        <v>3</v>
      </c>
      <c r="DM199" s="3" t="s">
        <v>3</v>
      </c>
      <c r="DN199" s="3">
        <v>0</v>
      </c>
      <c r="DO199" s="3">
        <v>0</v>
      </c>
      <c r="DP199" s="3">
        <v>1</v>
      </c>
      <c r="DQ199" s="3">
        <v>1</v>
      </c>
      <c r="DU199" s="3">
        <v>1010</v>
      </c>
      <c r="DV199" s="3" t="s">
        <v>251</v>
      </c>
      <c r="DW199" s="3" t="s">
        <v>251</v>
      </c>
      <c r="DX199" s="3">
        <v>1</v>
      </c>
      <c r="DZ199" s="3" t="s">
        <v>3</v>
      </c>
      <c r="EA199" s="3" t="s">
        <v>3</v>
      </c>
      <c r="EB199" s="3" t="s">
        <v>3</v>
      </c>
      <c r="EC199" s="3" t="s">
        <v>3</v>
      </c>
      <c r="EE199" s="3">
        <v>57042987</v>
      </c>
      <c r="EF199" s="3">
        <v>201</v>
      </c>
      <c r="EG199" s="3" t="s">
        <v>253</v>
      </c>
      <c r="EH199" s="3">
        <v>0</v>
      </c>
      <c r="EI199" s="3" t="s">
        <v>3</v>
      </c>
      <c r="EJ199" s="3">
        <v>2</v>
      </c>
      <c r="EK199" s="3">
        <v>1618</v>
      </c>
      <c r="EL199" s="3" t="s">
        <v>254</v>
      </c>
      <c r="EM199" s="3" t="s">
        <v>255</v>
      </c>
      <c r="EO199" s="3" t="s">
        <v>3</v>
      </c>
      <c r="EQ199" s="3">
        <v>0</v>
      </c>
      <c r="ER199" s="3">
        <v>75.81</v>
      </c>
      <c r="ES199" s="3">
        <v>75.81</v>
      </c>
      <c r="ET199" s="3">
        <v>0</v>
      </c>
      <c r="EU199" s="3">
        <v>0</v>
      </c>
      <c r="EV199" s="3">
        <v>0</v>
      </c>
      <c r="EW199" s="3">
        <v>0</v>
      </c>
      <c r="EX199" s="3">
        <v>0</v>
      </c>
      <c r="EY199" s="3">
        <v>0</v>
      </c>
      <c r="FQ199" s="3">
        <v>0</v>
      </c>
      <c r="FR199" s="3">
        <v>0</v>
      </c>
      <c r="FS199" s="3">
        <v>0</v>
      </c>
      <c r="FX199" s="3">
        <v>0</v>
      </c>
      <c r="FY199" s="3">
        <v>0</v>
      </c>
      <c r="GA199" s="3" t="s">
        <v>3</v>
      </c>
      <c r="GD199" s="3">
        <v>1</v>
      </c>
      <c r="GF199" s="3">
        <v>-672317331</v>
      </c>
      <c r="GG199" s="3">
        <v>2</v>
      </c>
      <c r="GH199" s="3">
        <v>1</v>
      </c>
      <c r="GI199" s="3">
        <v>2</v>
      </c>
      <c r="GJ199" s="3">
        <v>0</v>
      </c>
      <c r="GK199" s="3">
        <v>0</v>
      </c>
      <c r="GL199" s="3">
        <f t="shared" si="178"/>
        <v>0</v>
      </c>
      <c r="GM199" s="3">
        <f t="shared" si="179"/>
        <v>4695.67</v>
      </c>
      <c r="GN199" s="3">
        <f t="shared" si="180"/>
        <v>0</v>
      </c>
      <c r="GO199" s="3">
        <f t="shared" si="181"/>
        <v>4695.67</v>
      </c>
      <c r="GP199" s="3">
        <f t="shared" si="182"/>
        <v>0</v>
      </c>
      <c r="GR199" s="3">
        <v>0</v>
      </c>
      <c r="GS199" s="3">
        <v>3</v>
      </c>
      <c r="GT199" s="3">
        <v>0</v>
      </c>
      <c r="GU199" s="3" t="s">
        <v>3</v>
      </c>
      <c r="GV199" s="3">
        <f t="shared" si="183"/>
        <v>0</v>
      </c>
      <c r="GW199" s="3">
        <v>1</v>
      </c>
      <c r="GX199" s="3">
        <f t="shared" si="184"/>
        <v>0</v>
      </c>
      <c r="HA199" s="3">
        <v>0</v>
      </c>
      <c r="HB199" s="3">
        <v>0</v>
      </c>
      <c r="HC199" s="3">
        <f t="shared" si="185"/>
        <v>0</v>
      </c>
      <c r="HE199" s="3" t="s">
        <v>3</v>
      </c>
      <c r="HF199" s="3" t="s">
        <v>3</v>
      </c>
      <c r="HM199" s="3" t="s">
        <v>3</v>
      </c>
      <c r="HN199" s="3" t="s">
        <v>3</v>
      </c>
      <c r="HO199" s="3" t="s">
        <v>3</v>
      </c>
      <c r="HP199" s="3" t="s">
        <v>3</v>
      </c>
      <c r="HQ199" s="3" t="s">
        <v>3</v>
      </c>
      <c r="HS199" s="3">
        <v>0</v>
      </c>
      <c r="IK199" s="3">
        <v>0</v>
      </c>
    </row>
    <row r="200" spans="1:255" x14ac:dyDescent="0.25">
      <c r="A200" s="2">
        <v>17</v>
      </c>
      <c r="B200" s="2">
        <v>1</v>
      </c>
      <c r="C200" s="2"/>
      <c r="D200" s="2"/>
      <c r="E200" s="2" t="s">
        <v>264</v>
      </c>
      <c r="F200" s="2" t="s">
        <v>249</v>
      </c>
      <c r="G200" s="2" t="s">
        <v>265</v>
      </c>
      <c r="H200" s="2" t="s">
        <v>251</v>
      </c>
      <c r="I200" s="2">
        <v>1</v>
      </c>
      <c r="J200" s="2">
        <v>0</v>
      </c>
      <c r="K200" s="2">
        <v>1</v>
      </c>
      <c r="L200" s="2"/>
      <c r="M200" s="2"/>
      <c r="N200" s="2"/>
      <c r="O200" s="2">
        <f t="shared" si="159"/>
        <v>75.81</v>
      </c>
      <c r="P200" s="2">
        <f t="shared" si="160"/>
        <v>75.81</v>
      </c>
      <c r="Q200" s="2">
        <f t="shared" si="186"/>
        <v>0</v>
      </c>
      <c r="R200" s="2">
        <f t="shared" si="187"/>
        <v>0</v>
      </c>
      <c r="S200" s="2">
        <f t="shared" si="161"/>
        <v>0</v>
      </c>
      <c r="T200" s="2">
        <f t="shared" si="162"/>
        <v>0</v>
      </c>
      <c r="U200" s="2">
        <f t="shared" si="163"/>
        <v>0</v>
      </c>
      <c r="V200" s="2">
        <f t="shared" si="164"/>
        <v>0</v>
      </c>
      <c r="W200" s="2">
        <f t="shared" si="165"/>
        <v>0</v>
      </c>
      <c r="X200" s="2">
        <f t="shared" si="188"/>
        <v>0</v>
      </c>
      <c r="Y200" s="2">
        <f t="shared" si="189"/>
        <v>0</v>
      </c>
      <c r="Z200" s="2"/>
      <c r="AA200" s="2">
        <v>57014138</v>
      </c>
      <c r="AB200" s="2">
        <f t="shared" si="166"/>
        <v>75.81</v>
      </c>
      <c r="AC200" s="2">
        <f t="shared" si="190"/>
        <v>75.81</v>
      </c>
      <c r="AD200" s="2">
        <f t="shared" si="191"/>
        <v>0</v>
      </c>
      <c r="AE200" s="2">
        <f t="shared" si="192"/>
        <v>0</v>
      </c>
      <c r="AF200" s="2">
        <f t="shared" si="193"/>
        <v>0</v>
      </c>
      <c r="AG200" s="2">
        <f t="shared" si="168"/>
        <v>0</v>
      </c>
      <c r="AH200" s="2">
        <f t="shared" si="194"/>
        <v>0</v>
      </c>
      <c r="AI200" s="2">
        <f t="shared" si="195"/>
        <v>0</v>
      </c>
      <c r="AJ200" s="2">
        <f t="shared" si="170"/>
        <v>0</v>
      </c>
      <c r="AK200" s="2">
        <v>75.81</v>
      </c>
      <c r="AL200" s="2">
        <v>75.81</v>
      </c>
      <c r="AM200" s="2">
        <v>0</v>
      </c>
      <c r="AN200" s="2">
        <v>0</v>
      </c>
      <c r="AO200" s="2">
        <v>0</v>
      </c>
      <c r="AP200" s="2">
        <v>0</v>
      </c>
      <c r="AQ200" s="2">
        <v>0</v>
      </c>
      <c r="AR200" s="2">
        <v>0</v>
      </c>
      <c r="AS200" s="2">
        <v>0</v>
      </c>
      <c r="AT200" s="2">
        <v>0</v>
      </c>
      <c r="AU200" s="2">
        <v>0</v>
      </c>
      <c r="AV200" s="2">
        <v>1</v>
      </c>
      <c r="AW200" s="2">
        <v>1</v>
      </c>
      <c r="AX200" s="2"/>
      <c r="AY200" s="2"/>
      <c r="AZ200" s="2">
        <v>1</v>
      </c>
      <c r="BA200" s="2">
        <v>1</v>
      </c>
      <c r="BB200" s="2">
        <v>1</v>
      </c>
      <c r="BC200" s="2">
        <v>1</v>
      </c>
      <c r="BD200" s="2" t="s">
        <v>3</v>
      </c>
      <c r="BE200" s="2" t="s">
        <v>3</v>
      </c>
      <c r="BF200" s="2" t="s">
        <v>3</v>
      </c>
      <c r="BG200" s="2" t="s">
        <v>3</v>
      </c>
      <c r="BH200" s="2">
        <v>3</v>
      </c>
      <c r="BI200" s="2">
        <v>2</v>
      </c>
      <c r="BJ200" s="2" t="s">
        <v>252</v>
      </c>
      <c r="BK200" s="2"/>
      <c r="BL200" s="2"/>
      <c r="BM200" s="2">
        <v>1618</v>
      </c>
      <c r="BN200" s="2">
        <v>0</v>
      </c>
      <c r="BO200" s="2" t="s">
        <v>3</v>
      </c>
      <c r="BP200" s="2">
        <v>0</v>
      </c>
      <c r="BQ200" s="2">
        <v>201</v>
      </c>
      <c r="BR200" s="2">
        <v>0</v>
      </c>
      <c r="BS200" s="2">
        <v>1</v>
      </c>
      <c r="BT200" s="2">
        <v>1</v>
      </c>
      <c r="BU200" s="2">
        <v>1</v>
      </c>
      <c r="BV200" s="2">
        <v>1</v>
      </c>
      <c r="BW200" s="2">
        <v>1</v>
      </c>
      <c r="BX200" s="2">
        <v>1</v>
      </c>
      <c r="BY200" s="2" t="s">
        <v>3</v>
      </c>
      <c r="BZ200" s="2">
        <v>0</v>
      </c>
      <c r="CA200" s="2">
        <v>0</v>
      </c>
      <c r="CB200" s="2" t="s">
        <v>3</v>
      </c>
      <c r="CC200" s="2"/>
      <c r="CD200" s="2"/>
      <c r="CE200" s="2">
        <v>1566</v>
      </c>
      <c r="CF200" s="2">
        <v>0</v>
      </c>
      <c r="CG200" s="2">
        <v>0</v>
      </c>
      <c r="CH200" s="2"/>
      <c r="CI200" s="2"/>
      <c r="CJ200" s="2"/>
      <c r="CK200" s="2"/>
      <c r="CL200" s="2"/>
      <c r="CM200" s="2">
        <v>0</v>
      </c>
      <c r="CN200" s="2" t="s">
        <v>3</v>
      </c>
      <c r="CO200" s="2">
        <v>0</v>
      </c>
      <c r="CP200" s="2">
        <f t="shared" si="171"/>
        <v>75.81</v>
      </c>
      <c r="CQ200" s="2">
        <f t="shared" si="172"/>
        <v>75.81</v>
      </c>
      <c r="CR200" s="2">
        <f t="shared" si="196"/>
        <v>0</v>
      </c>
      <c r="CS200" s="2">
        <f t="shared" si="197"/>
        <v>0</v>
      </c>
      <c r="CT200" s="2">
        <f t="shared" si="173"/>
        <v>0</v>
      </c>
      <c r="CU200" s="2">
        <f t="shared" si="174"/>
        <v>0</v>
      </c>
      <c r="CV200" s="2">
        <f t="shared" si="175"/>
        <v>0</v>
      </c>
      <c r="CW200" s="2">
        <f t="shared" si="176"/>
        <v>0</v>
      </c>
      <c r="CX200" s="2">
        <f t="shared" si="177"/>
        <v>0</v>
      </c>
      <c r="CY200" s="2">
        <f t="shared" si="198"/>
        <v>0</v>
      </c>
      <c r="CZ200" s="2">
        <f t="shared" si="199"/>
        <v>0</v>
      </c>
      <c r="DA200" s="2"/>
      <c r="DB200" s="2"/>
      <c r="DC200" s="2" t="s">
        <v>3</v>
      </c>
      <c r="DD200" s="2" t="s">
        <v>3</v>
      </c>
      <c r="DE200" s="2" t="s">
        <v>3</v>
      </c>
      <c r="DF200" s="2" t="s">
        <v>3</v>
      </c>
      <c r="DG200" s="2" t="s">
        <v>3</v>
      </c>
      <c r="DH200" s="2" t="s">
        <v>3</v>
      </c>
      <c r="DI200" s="2" t="s">
        <v>3</v>
      </c>
      <c r="DJ200" s="2" t="s">
        <v>3</v>
      </c>
      <c r="DK200" s="2" t="s">
        <v>3</v>
      </c>
      <c r="DL200" s="2" t="s">
        <v>3</v>
      </c>
      <c r="DM200" s="2" t="s">
        <v>3</v>
      </c>
      <c r="DN200" s="2">
        <v>0</v>
      </c>
      <c r="DO200" s="2">
        <v>0</v>
      </c>
      <c r="DP200" s="2">
        <v>1</v>
      </c>
      <c r="DQ200" s="2">
        <v>1</v>
      </c>
      <c r="DR200" s="2"/>
      <c r="DS200" s="2"/>
      <c r="DT200" s="2"/>
      <c r="DU200" s="2">
        <v>1010</v>
      </c>
      <c r="DV200" s="2" t="s">
        <v>251</v>
      </c>
      <c r="DW200" s="2" t="s">
        <v>251</v>
      </c>
      <c r="DX200" s="2">
        <v>1</v>
      </c>
      <c r="DY200" s="2"/>
      <c r="DZ200" s="2" t="s">
        <v>3</v>
      </c>
      <c r="EA200" s="2" t="s">
        <v>3</v>
      </c>
      <c r="EB200" s="2" t="s">
        <v>3</v>
      </c>
      <c r="EC200" s="2" t="s">
        <v>3</v>
      </c>
      <c r="ED200" s="2"/>
      <c r="EE200" s="2">
        <v>57042987</v>
      </c>
      <c r="EF200" s="2">
        <v>201</v>
      </c>
      <c r="EG200" s="2" t="s">
        <v>253</v>
      </c>
      <c r="EH200" s="2">
        <v>0</v>
      </c>
      <c r="EI200" s="2" t="s">
        <v>3</v>
      </c>
      <c r="EJ200" s="2">
        <v>2</v>
      </c>
      <c r="EK200" s="2">
        <v>1618</v>
      </c>
      <c r="EL200" s="2" t="s">
        <v>254</v>
      </c>
      <c r="EM200" s="2" t="s">
        <v>255</v>
      </c>
      <c r="EN200" s="2"/>
      <c r="EO200" s="2" t="s">
        <v>3</v>
      </c>
      <c r="EP200" s="2"/>
      <c r="EQ200" s="2">
        <v>0</v>
      </c>
      <c r="ER200" s="2">
        <v>75.81</v>
      </c>
      <c r="ES200" s="2">
        <v>75.81</v>
      </c>
      <c r="ET200" s="2">
        <v>0</v>
      </c>
      <c r="EU200" s="2">
        <v>0</v>
      </c>
      <c r="EV200" s="2">
        <v>0</v>
      </c>
      <c r="EW200" s="2">
        <v>0</v>
      </c>
      <c r="EX200" s="2">
        <v>0</v>
      </c>
      <c r="EY200" s="2">
        <v>0</v>
      </c>
      <c r="EZ200" s="2"/>
      <c r="FA200" s="2"/>
      <c r="FB200" s="2"/>
      <c r="FC200" s="2"/>
      <c r="FD200" s="2"/>
      <c r="FE200" s="2"/>
      <c r="FF200" s="2"/>
      <c r="FG200" s="2"/>
      <c r="FH200" s="2"/>
      <c r="FI200" s="2"/>
      <c r="FJ200" s="2"/>
      <c r="FK200" s="2"/>
      <c r="FL200" s="2"/>
      <c r="FM200" s="2"/>
      <c r="FN200" s="2"/>
      <c r="FO200" s="2"/>
      <c r="FP200" s="2"/>
      <c r="FQ200" s="2">
        <v>0</v>
      </c>
      <c r="FR200" s="2">
        <v>0</v>
      </c>
      <c r="FS200" s="2">
        <v>0</v>
      </c>
      <c r="FT200" s="2"/>
      <c r="FU200" s="2"/>
      <c r="FV200" s="2"/>
      <c r="FW200" s="2"/>
      <c r="FX200" s="2">
        <v>0</v>
      </c>
      <c r="FY200" s="2">
        <v>0</v>
      </c>
      <c r="FZ200" s="2"/>
      <c r="GA200" s="2" t="s">
        <v>3</v>
      </c>
      <c r="GB200" s="2"/>
      <c r="GC200" s="2"/>
      <c r="GD200" s="2">
        <v>1</v>
      </c>
      <c r="GE200" s="2"/>
      <c r="GF200" s="2">
        <v>-520631599</v>
      </c>
      <c r="GG200" s="2">
        <v>2</v>
      </c>
      <c r="GH200" s="2">
        <v>1</v>
      </c>
      <c r="GI200" s="2">
        <v>-2</v>
      </c>
      <c r="GJ200" s="2">
        <v>0</v>
      </c>
      <c r="GK200" s="2">
        <v>0</v>
      </c>
      <c r="GL200" s="2">
        <f t="shared" si="178"/>
        <v>0</v>
      </c>
      <c r="GM200" s="2">
        <f t="shared" si="179"/>
        <v>75.81</v>
      </c>
      <c r="GN200" s="2">
        <f t="shared" si="180"/>
        <v>0</v>
      </c>
      <c r="GO200" s="2">
        <f t="shared" si="181"/>
        <v>75.81</v>
      </c>
      <c r="GP200" s="2">
        <f t="shared" si="182"/>
        <v>0</v>
      </c>
      <c r="GQ200" s="2"/>
      <c r="GR200" s="2">
        <v>0</v>
      </c>
      <c r="GS200" s="2">
        <v>3</v>
      </c>
      <c r="GT200" s="2">
        <v>0</v>
      </c>
      <c r="GU200" s="2" t="s">
        <v>3</v>
      </c>
      <c r="GV200" s="2">
        <f t="shared" si="183"/>
        <v>0</v>
      </c>
      <c r="GW200" s="2">
        <v>1</v>
      </c>
      <c r="GX200" s="2">
        <f t="shared" si="184"/>
        <v>0</v>
      </c>
      <c r="GY200" s="2"/>
      <c r="GZ200" s="2"/>
      <c r="HA200" s="2">
        <v>0</v>
      </c>
      <c r="HB200" s="2">
        <v>0</v>
      </c>
      <c r="HC200" s="2">
        <f t="shared" si="185"/>
        <v>0</v>
      </c>
      <c r="HD200" s="2"/>
      <c r="HE200" s="2" t="s">
        <v>3</v>
      </c>
      <c r="HF200" s="2" t="s">
        <v>3</v>
      </c>
      <c r="HG200" s="2"/>
      <c r="HH200" s="2"/>
      <c r="HI200" s="2"/>
      <c r="HJ200" s="2"/>
      <c r="HK200" s="2"/>
      <c r="HL200" s="2"/>
      <c r="HM200" s="2" t="s">
        <v>3</v>
      </c>
      <c r="HN200" s="2" t="s">
        <v>3</v>
      </c>
      <c r="HO200" s="2" t="s">
        <v>3</v>
      </c>
      <c r="HP200" s="2" t="s">
        <v>3</v>
      </c>
      <c r="HQ200" s="2" t="s">
        <v>3</v>
      </c>
      <c r="HR200" s="2"/>
      <c r="HS200" s="2">
        <v>0</v>
      </c>
      <c r="HT200" s="2"/>
      <c r="HU200" s="2"/>
      <c r="HV200" s="2"/>
      <c r="HW200" s="2"/>
      <c r="HX200" s="2"/>
      <c r="HY200" s="2"/>
      <c r="HZ200" s="2"/>
      <c r="IA200" s="2"/>
      <c r="IB200" s="2"/>
      <c r="IC200" s="2"/>
      <c r="ID200" s="2"/>
      <c r="IE200" s="2"/>
      <c r="IF200" s="2"/>
      <c r="IG200" s="2"/>
      <c r="IH200" s="2"/>
      <c r="II200" s="2"/>
      <c r="IJ200" s="2"/>
      <c r="IK200" s="2">
        <v>0</v>
      </c>
      <c r="IL200" s="2"/>
      <c r="IM200" s="2"/>
      <c r="IN200" s="2"/>
      <c r="IO200" s="2"/>
      <c r="IP200" s="2"/>
      <c r="IQ200" s="2"/>
      <c r="IR200" s="2"/>
      <c r="IS200" s="2"/>
      <c r="IT200" s="2"/>
      <c r="IU200" s="2"/>
    </row>
    <row r="201" spans="1:255" x14ac:dyDescent="0.25">
      <c r="A201" s="3">
        <v>17</v>
      </c>
      <c r="B201" s="3">
        <v>1</v>
      </c>
      <c r="E201" s="3" t="s">
        <v>264</v>
      </c>
      <c r="F201" s="3" t="s">
        <v>249</v>
      </c>
      <c r="G201" s="3" t="s">
        <v>265</v>
      </c>
      <c r="H201" s="3" t="s">
        <v>251</v>
      </c>
      <c r="I201" s="3">
        <v>1</v>
      </c>
      <c r="J201" s="3">
        <v>0</v>
      </c>
      <c r="K201" s="3">
        <v>1</v>
      </c>
      <c r="O201" s="3">
        <f t="shared" si="159"/>
        <v>4695.67</v>
      </c>
      <c r="P201" s="3">
        <f t="shared" si="160"/>
        <v>4695.67</v>
      </c>
      <c r="Q201" s="3">
        <f t="shared" si="186"/>
        <v>0</v>
      </c>
      <c r="R201" s="3">
        <f t="shared" si="187"/>
        <v>0</v>
      </c>
      <c r="S201" s="3">
        <f t="shared" si="161"/>
        <v>0</v>
      </c>
      <c r="T201" s="3">
        <f t="shared" si="162"/>
        <v>0</v>
      </c>
      <c r="U201" s="3">
        <f t="shared" si="163"/>
        <v>0</v>
      </c>
      <c r="V201" s="3">
        <f t="shared" si="164"/>
        <v>0</v>
      </c>
      <c r="W201" s="3">
        <f t="shared" si="165"/>
        <v>0</v>
      </c>
      <c r="X201" s="3">
        <f t="shared" si="188"/>
        <v>0</v>
      </c>
      <c r="Y201" s="3">
        <f t="shared" si="189"/>
        <v>0</v>
      </c>
      <c r="AA201" s="3">
        <v>57014140</v>
      </c>
      <c r="AB201" s="3">
        <f t="shared" si="166"/>
        <v>75.81</v>
      </c>
      <c r="AC201" s="3">
        <f t="shared" si="190"/>
        <v>75.81</v>
      </c>
      <c r="AD201" s="3">
        <f t="shared" si="191"/>
        <v>0</v>
      </c>
      <c r="AE201" s="3">
        <f t="shared" si="192"/>
        <v>0</v>
      </c>
      <c r="AF201" s="3">
        <f t="shared" si="193"/>
        <v>0</v>
      </c>
      <c r="AG201" s="3">
        <f t="shared" si="168"/>
        <v>0</v>
      </c>
      <c r="AH201" s="3">
        <f t="shared" si="194"/>
        <v>0</v>
      </c>
      <c r="AI201" s="3">
        <f t="shared" si="195"/>
        <v>0</v>
      </c>
      <c r="AJ201" s="3">
        <f t="shared" si="170"/>
        <v>0</v>
      </c>
      <c r="AK201" s="3">
        <v>75.81</v>
      </c>
      <c r="AL201" s="3">
        <v>75.81</v>
      </c>
      <c r="AM201" s="3">
        <v>0</v>
      </c>
      <c r="AN201" s="3">
        <v>0</v>
      </c>
      <c r="AO201" s="3">
        <v>0</v>
      </c>
      <c r="AP201" s="3">
        <v>0</v>
      </c>
      <c r="AQ201" s="3">
        <v>0</v>
      </c>
      <c r="AR201" s="3">
        <v>0</v>
      </c>
      <c r="AS201" s="3">
        <v>0</v>
      </c>
      <c r="AT201" s="3">
        <v>0</v>
      </c>
      <c r="AU201" s="3">
        <v>0</v>
      </c>
      <c r="AV201" s="3">
        <v>1</v>
      </c>
      <c r="AW201" s="3">
        <v>1</v>
      </c>
      <c r="AZ201" s="3">
        <v>1</v>
      </c>
      <c r="BA201" s="3">
        <v>1</v>
      </c>
      <c r="BB201" s="3">
        <v>1</v>
      </c>
      <c r="BC201" s="3">
        <v>61.94</v>
      </c>
      <c r="BD201" s="3" t="s">
        <v>3</v>
      </c>
      <c r="BE201" s="3" t="s">
        <v>3</v>
      </c>
      <c r="BF201" s="3" t="s">
        <v>3</v>
      </c>
      <c r="BG201" s="3" t="s">
        <v>3</v>
      </c>
      <c r="BH201" s="3">
        <v>3</v>
      </c>
      <c r="BI201" s="3">
        <v>2</v>
      </c>
      <c r="BJ201" s="3" t="s">
        <v>252</v>
      </c>
      <c r="BM201" s="3">
        <v>1618</v>
      </c>
      <c r="BN201" s="3">
        <v>0</v>
      </c>
      <c r="BO201" s="3" t="s">
        <v>249</v>
      </c>
      <c r="BP201" s="3">
        <v>1</v>
      </c>
      <c r="BQ201" s="3">
        <v>201</v>
      </c>
      <c r="BR201" s="3">
        <v>0</v>
      </c>
      <c r="BS201" s="3">
        <v>1</v>
      </c>
      <c r="BT201" s="3">
        <v>1</v>
      </c>
      <c r="BU201" s="3">
        <v>1</v>
      </c>
      <c r="BV201" s="3">
        <v>1</v>
      </c>
      <c r="BW201" s="3">
        <v>1</v>
      </c>
      <c r="BX201" s="3">
        <v>1</v>
      </c>
      <c r="BY201" s="3" t="s">
        <v>3</v>
      </c>
      <c r="BZ201" s="3">
        <v>0</v>
      </c>
      <c r="CA201" s="3">
        <v>0</v>
      </c>
      <c r="CB201" s="3" t="s">
        <v>3</v>
      </c>
      <c r="CE201" s="3">
        <v>1566</v>
      </c>
      <c r="CF201" s="3">
        <v>0</v>
      </c>
      <c r="CG201" s="3">
        <v>0</v>
      </c>
      <c r="CM201" s="3">
        <v>0</v>
      </c>
      <c r="CN201" s="3" t="s">
        <v>3</v>
      </c>
      <c r="CO201" s="3">
        <v>0</v>
      </c>
      <c r="CP201" s="3">
        <f t="shared" si="171"/>
        <v>4695.67</v>
      </c>
      <c r="CQ201" s="3">
        <f t="shared" si="172"/>
        <v>4695.67</v>
      </c>
      <c r="CR201" s="3">
        <f t="shared" si="196"/>
        <v>0</v>
      </c>
      <c r="CS201" s="3">
        <f t="shared" si="197"/>
        <v>0</v>
      </c>
      <c r="CT201" s="3">
        <f t="shared" si="173"/>
        <v>0</v>
      </c>
      <c r="CU201" s="3">
        <f t="shared" si="174"/>
        <v>0</v>
      </c>
      <c r="CV201" s="3">
        <f t="shared" si="175"/>
        <v>0</v>
      </c>
      <c r="CW201" s="3">
        <f t="shared" si="176"/>
        <v>0</v>
      </c>
      <c r="CX201" s="3">
        <f t="shared" si="177"/>
        <v>0</v>
      </c>
      <c r="CY201" s="3">
        <f t="shared" si="198"/>
        <v>0</v>
      </c>
      <c r="CZ201" s="3">
        <f t="shared" si="199"/>
        <v>0</v>
      </c>
      <c r="DC201" s="3" t="s">
        <v>3</v>
      </c>
      <c r="DD201" s="3" t="s">
        <v>3</v>
      </c>
      <c r="DE201" s="3" t="s">
        <v>3</v>
      </c>
      <c r="DF201" s="3" t="s">
        <v>3</v>
      </c>
      <c r="DG201" s="3" t="s">
        <v>3</v>
      </c>
      <c r="DH201" s="3" t="s">
        <v>3</v>
      </c>
      <c r="DI201" s="3" t="s">
        <v>3</v>
      </c>
      <c r="DJ201" s="3" t="s">
        <v>3</v>
      </c>
      <c r="DK201" s="3" t="s">
        <v>3</v>
      </c>
      <c r="DL201" s="3" t="s">
        <v>3</v>
      </c>
      <c r="DM201" s="3" t="s">
        <v>3</v>
      </c>
      <c r="DN201" s="3">
        <v>0</v>
      </c>
      <c r="DO201" s="3">
        <v>0</v>
      </c>
      <c r="DP201" s="3">
        <v>1</v>
      </c>
      <c r="DQ201" s="3">
        <v>1</v>
      </c>
      <c r="DU201" s="3">
        <v>1010</v>
      </c>
      <c r="DV201" s="3" t="s">
        <v>251</v>
      </c>
      <c r="DW201" s="3" t="s">
        <v>251</v>
      </c>
      <c r="DX201" s="3">
        <v>1</v>
      </c>
      <c r="DZ201" s="3" t="s">
        <v>3</v>
      </c>
      <c r="EA201" s="3" t="s">
        <v>3</v>
      </c>
      <c r="EB201" s="3" t="s">
        <v>3</v>
      </c>
      <c r="EC201" s="3" t="s">
        <v>3</v>
      </c>
      <c r="EE201" s="3">
        <v>57042987</v>
      </c>
      <c r="EF201" s="3">
        <v>201</v>
      </c>
      <c r="EG201" s="3" t="s">
        <v>253</v>
      </c>
      <c r="EH201" s="3">
        <v>0</v>
      </c>
      <c r="EI201" s="3" t="s">
        <v>3</v>
      </c>
      <c r="EJ201" s="3">
        <v>2</v>
      </c>
      <c r="EK201" s="3">
        <v>1618</v>
      </c>
      <c r="EL201" s="3" t="s">
        <v>254</v>
      </c>
      <c r="EM201" s="3" t="s">
        <v>255</v>
      </c>
      <c r="EO201" s="3" t="s">
        <v>3</v>
      </c>
      <c r="EQ201" s="3">
        <v>0</v>
      </c>
      <c r="ER201" s="3">
        <v>75.81</v>
      </c>
      <c r="ES201" s="3">
        <v>75.81</v>
      </c>
      <c r="ET201" s="3">
        <v>0</v>
      </c>
      <c r="EU201" s="3">
        <v>0</v>
      </c>
      <c r="EV201" s="3">
        <v>0</v>
      </c>
      <c r="EW201" s="3">
        <v>0</v>
      </c>
      <c r="EX201" s="3">
        <v>0</v>
      </c>
      <c r="EY201" s="3">
        <v>0</v>
      </c>
      <c r="FQ201" s="3">
        <v>0</v>
      </c>
      <c r="FR201" s="3">
        <v>0</v>
      </c>
      <c r="FS201" s="3">
        <v>0</v>
      </c>
      <c r="FX201" s="3">
        <v>0</v>
      </c>
      <c r="FY201" s="3">
        <v>0</v>
      </c>
      <c r="GA201" s="3" t="s">
        <v>3</v>
      </c>
      <c r="GD201" s="3">
        <v>1</v>
      </c>
      <c r="GF201" s="3">
        <v>-520631599</v>
      </c>
      <c r="GG201" s="3">
        <v>2</v>
      </c>
      <c r="GH201" s="3">
        <v>1</v>
      </c>
      <c r="GI201" s="3">
        <v>2</v>
      </c>
      <c r="GJ201" s="3">
        <v>0</v>
      </c>
      <c r="GK201" s="3">
        <v>0</v>
      </c>
      <c r="GL201" s="3">
        <f t="shared" si="178"/>
        <v>0</v>
      </c>
      <c r="GM201" s="3">
        <f t="shared" si="179"/>
        <v>4695.67</v>
      </c>
      <c r="GN201" s="3">
        <f t="shared" si="180"/>
        <v>0</v>
      </c>
      <c r="GO201" s="3">
        <f t="shared" si="181"/>
        <v>4695.67</v>
      </c>
      <c r="GP201" s="3">
        <f t="shared" si="182"/>
        <v>0</v>
      </c>
      <c r="GR201" s="3">
        <v>0</v>
      </c>
      <c r="GS201" s="3">
        <v>3</v>
      </c>
      <c r="GT201" s="3">
        <v>0</v>
      </c>
      <c r="GU201" s="3" t="s">
        <v>3</v>
      </c>
      <c r="GV201" s="3">
        <f t="shared" si="183"/>
        <v>0</v>
      </c>
      <c r="GW201" s="3">
        <v>1</v>
      </c>
      <c r="GX201" s="3">
        <f t="shared" si="184"/>
        <v>0</v>
      </c>
      <c r="HA201" s="3">
        <v>0</v>
      </c>
      <c r="HB201" s="3">
        <v>0</v>
      </c>
      <c r="HC201" s="3">
        <f t="shared" si="185"/>
        <v>0</v>
      </c>
      <c r="HE201" s="3" t="s">
        <v>3</v>
      </c>
      <c r="HF201" s="3" t="s">
        <v>3</v>
      </c>
      <c r="HM201" s="3" t="s">
        <v>3</v>
      </c>
      <c r="HN201" s="3" t="s">
        <v>3</v>
      </c>
      <c r="HO201" s="3" t="s">
        <v>3</v>
      </c>
      <c r="HP201" s="3" t="s">
        <v>3</v>
      </c>
      <c r="HQ201" s="3" t="s">
        <v>3</v>
      </c>
      <c r="HS201" s="3">
        <v>0</v>
      </c>
      <c r="IK201" s="3">
        <v>0</v>
      </c>
    </row>
    <row r="202" spans="1:255" x14ac:dyDescent="0.25">
      <c r="A202" s="2">
        <v>17</v>
      </c>
      <c r="B202" s="2">
        <v>1</v>
      </c>
      <c r="C202" s="2"/>
      <c r="D202" s="2"/>
      <c r="E202" s="2" t="s">
        <v>266</v>
      </c>
      <c r="F202" s="2" t="s">
        <v>249</v>
      </c>
      <c r="G202" s="2" t="s">
        <v>267</v>
      </c>
      <c r="H202" s="2" t="s">
        <v>251</v>
      </c>
      <c r="I202" s="2">
        <v>1</v>
      </c>
      <c r="J202" s="2">
        <v>0</v>
      </c>
      <c r="K202" s="2">
        <v>1</v>
      </c>
      <c r="L202" s="2"/>
      <c r="M202" s="2"/>
      <c r="N202" s="2"/>
      <c r="O202" s="2">
        <f t="shared" si="159"/>
        <v>75.81</v>
      </c>
      <c r="P202" s="2">
        <f t="shared" si="160"/>
        <v>75.81</v>
      </c>
      <c r="Q202" s="2">
        <f t="shared" si="186"/>
        <v>0</v>
      </c>
      <c r="R202" s="2">
        <f t="shared" si="187"/>
        <v>0</v>
      </c>
      <c r="S202" s="2">
        <f t="shared" si="161"/>
        <v>0</v>
      </c>
      <c r="T202" s="2">
        <f t="shared" si="162"/>
        <v>0</v>
      </c>
      <c r="U202" s="2">
        <f t="shared" si="163"/>
        <v>0</v>
      </c>
      <c r="V202" s="2">
        <f t="shared" si="164"/>
        <v>0</v>
      </c>
      <c r="W202" s="2">
        <f t="shared" si="165"/>
        <v>0</v>
      </c>
      <c r="X202" s="2">
        <f t="shared" si="188"/>
        <v>0</v>
      </c>
      <c r="Y202" s="2">
        <f t="shared" si="189"/>
        <v>0</v>
      </c>
      <c r="Z202" s="2"/>
      <c r="AA202" s="2">
        <v>57014138</v>
      </c>
      <c r="AB202" s="2">
        <f t="shared" si="166"/>
        <v>75.81</v>
      </c>
      <c r="AC202" s="2">
        <f t="shared" si="190"/>
        <v>75.81</v>
      </c>
      <c r="AD202" s="2">
        <f t="shared" si="191"/>
        <v>0</v>
      </c>
      <c r="AE202" s="2">
        <f t="shared" si="192"/>
        <v>0</v>
      </c>
      <c r="AF202" s="2">
        <f t="shared" si="193"/>
        <v>0</v>
      </c>
      <c r="AG202" s="2">
        <f t="shared" si="168"/>
        <v>0</v>
      </c>
      <c r="AH202" s="2">
        <f t="shared" si="194"/>
        <v>0</v>
      </c>
      <c r="AI202" s="2">
        <f t="shared" si="195"/>
        <v>0</v>
      </c>
      <c r="AJ202" s="2">
        <f t="shared" si="170"/>
        <v>0</v>
      </c>
      <c r="AK202" s="2">
        <v>75.81</v>
      </c>
      <c r="AL202" s="2">
        <v>75.81</v>
      </c>
      <c r="AM202" s="2">
        <v>0</v>
      </c>
      <c r="AN202" s="2">
        <v>0</v>
      </c>
      <c r="AO202" s="2">
        <v>0</v>
      </c>
      <c r="AP202" s="2">
        <v>0</v>
      </c>
      <c r="AQ202" s="2">
        <v>0</v>
      </c>
      <c r="AR202" s="2">
        <v>0</v>
      </c>
      <c r="AS202" s="2">
        <v>0</v>
      </c>
      <c r="AT202" s="2">
        <v>0</v>
      </c>
      <c r="AU202" s="2">
        <v>0</v>
      </c>
      <c r="AV202" s="2">
        <v>1</v>
      </c>
      <c r="AW202" s="2">
        <v>1</v>
      </c>
      <c r="AX202" s="2"/>
      <c r="AY202" s="2"/>
      <c r="AZ202" s="2">
        <v>1</v>
      </c>
      <c r="BA202" s="2">
        <v>1</v>
      </c>
      <c r="BB202" s="2">
        <v>1</v>
      </c>
      <c r="BC202" s="2">
        <v>1</v>
      </c>
      <c r="BD202" s="2" t="s">
        <v>3</v>
      </c>
      <c r="BE202" s="2" t="s">
        <v>3</v>
      </c>
      <c r="BF202" s="2" t="s">
        <v>3</v>
      </c>
      <c r="BG202" s="2" t="s">
        <v>3</v>
      </c>
      <c r="BH202" s="2">
        <v>3</v>
      </c>
      <c r="BI202" s="2">
        <v>2</v>
      </c>
      <c r="BJ202" s="2" t="s">
        <v>252</v>
      </c>
      <c r="BK202" s="2"/>
      <c r="BL202" s="2"/>
      <c r="BM202" s="2">
        <v>1618</v>
      </c>
      <c r="BN202" s="2">
        <v>0</v>
      </c>
      <c r="BO202" s="2" t="s">
        <v>3</v>
      </c>
      <c r="BP202" s="2">
        <v>0</v>
      </c>
      <c r="BQ202" s="2">
        <v>201</v>
      </c>
      <c r="BR202" s="2">
        <v>0</v>
      </c>
      <c r="BS202" s="2">
        <v>1</v>
      </c>
      <c r="BT202" s="2">
        <v>1</v>
      </c>
      <c r="BU202" s="2">
        <v>1</v>
      </c>
      <c r="BV202" s="2">
        <v>1</v>
      </c>
      <c r="BW202" s="2">
        <v>1</v>
      </c>
      <c r="BX202" s="2">
        <v>1</v>
      </c>
      <c r="BY202" s="2" t="s">
        <v>3</v>
      </c>
      <c r="BZ202" s="2">
        <v>0</v>
      </c>
      <c r="CA202" s="2">
        <v>0</v>
      </c>
      <c r="CB202" s="2" t="s">
        <v>3</v>
      </c>
      <c r="CC202" s="2"/>
      <c r="CD202" s="2"/>
      <c r="CE202" s="2">
        <v>1566</v>
      </c>
      <c r="CF202" s="2">
        <v>0</v>
      </c>
      <c r="CG202" s="2">
        <v>0</v>
      </c>
      <c r="CH202" s="2"/>
      <c r="CI202" s="2"/>
      <c r="CJ202" s="2"/>
      <c r="CK202" s="2"/>
      <c r="CL202" s="2"/>
      <c r="CM202" s="2">
        <v>0</v>
      </c>
      <c r="CN202" s="2" t="s">
        <v>3</v>
      </c>
      <c r="CO202" s="2">
        <v>0</v>
      </c>
      <c r="CP202" s="2">
        <f t="shared" si="171"/>
        <v>75.81</v>
      </c>
      <c r="CQ202" s="2">
        <f t="shared" si="172"/>
        <v>75.81</v>
      </c>
      <c r="CR202" s="2">
        <f t="shared" si="196"/>
        <v>0</v>
      </c>
      <c r="CS202" s="2">
        <f t="shared" si="197"/>
        <v>0</v>
      </c>
      <c r="CT202" s="2">
        <f t="shared" si="173"/>
        <v>0</v>
      </c>
      <c r="CU202" s="2">
        <f t="shared" si="174"/>
        <v>0</v>
      </c>
      <c r="CV202" s="2">
        <f t="shared" si="175"/>
        <v>0</v>
      </c>
      <c r="CW202" s="2">
        <f t="shared" si="176"/>
        <v>0</v>
      </c>
      <c r="CX202" s="2">
        <f t="shared" si="177"/>
        <v>0</v>
      </c>
      <c r="CY202" s="2">
        <f t="shared" si="198"/>
        <v>0</v>
      </c>
      <c r="CZ202" s="2">
        <f t="shared" si="199"/>
        <v>0</v>
      </c>
      <c r="DA202" s="2"/>
      <c r="DB202" s="2"/>
      <c r="DC202" s="2" t="s">
        <v>3</v>
      </c>
      <c r="DD202" s="2" t="s">
        <v>3</v>
      </c>
      <c r="DE202" s="2" t="s">
        <v>3</v>
      </c>
      <c r="DF202" s="2" t="s">
        <v>3</v>
      </c>
      <c r="DG202" s="2" t="s">
        <v>3</v>
      </c>
      <c r="DH202" s="2" t="s">
        <v>3</v>
      </c>
      <c r="DI202" s="2" t="s">
        <v>3</v>
      </c>
      <c r="DJ202" s="2" t="s">
        <v>3</v>
      </c>
      <c r="DK202" s="2" t="s">
        <v>3</v>
      </c>
      <c r="DL202" s="2" t="s">
        <v>3</v>
      </c>
      <c r="DM202" s="2" t="s">
        <v>3</v>
      </c>
      <c r="DN202" s="2">
        <v>0</v>
      </c>
      <c r="DO202" s="2">
        <v>0</v>
      </c>
      <c r="DP202" s="2">
        <v>1</v>
      </c>
      <c r="DQ202" s="2">
        <v>1</v>
      </c>
      <c r="DR202" s="2"/>
      <c r="DS202" s="2"/>
      <c r="DT202" s="2"/>
      <c r="DU202" s="2">
        <v>1010</v>
      </c>
      <c r="DV202" s="2" t="s">
        <v>251</v>
      </c>
      <c r="DW202" s="2" t="s">
        <v>251</v>
      </c>
      <c r="DX202" s="2">
        <v>1</v>
      </c>
      <c r="DY202" s="2"/>
      <c r="DZ202" s="2" t="s">
        <v>3</v>
      </c>
      <c r="EA202" s="2" t="s">
        <v>3</v>
      </c>
      <c r="EB202" s="2" t="s">
        <v>3</v>
      </c>
      <c r="EC202" s="2" t="s">
        <v>3</v>
      </c>
      <c r="ED202" s="2"/>
      <c r="EE202" s="2">
        <v>57042987</v>
      </c>
      <c r="EF202" s="2">
        <v>201</v>
      </c>
      <c r="EG202" s="2" t="s">
        <v>253</v>
      </c>
      <c r="EH202" s="2">
        <v>0</v>
      </c>
      <c r="EI202" s="2" t="s">
        <v>3</v>
      </c>
      <c r="EJ202" s="2">
        <v>2</v>
      </c>
      <c r="EK202" s="2">
        <v>1618</v>
      </c>
      <c r="EL202" s="2" t="s">
        <v>254</v>
      </c>
      <c r="EM202" s="2" t="s">
        <v>255</v>
      </c>
      <c r="EN202" s="2"/>
      <c r="EO202" s="2" t="s">
        <v>3</v>
      </c>
      <c r="EP202" s="2"/>
      <c r="EQ202" s="2">
        <v>0</v>
      </c>
      <c r="ER202" s="2">
        <v>75.81</v>
      </c>
      <c r="ES202" s="2">
        <v>75.81</v>
      </c>
      <c r="ET202" s="2">
        <v>0</v>
      </c>
      <c r="EU202" s="2">
        <v>0</v>
      </c>
      <c r="EV202" s="2">
        <v>0</v>
      </c>
      <c r="EW202" s="2">
        <v>0</v>
      </c>
      <c r="EX202" s="2">
        <v>0</v>
      </c>
      <c r="EY202" s="2">
        <v>0</v>
      </c>
      <c r="EZ202" s="2"/>
      <c r="FA202" s="2"/>
      <c r="FB202" s="2"/>
      <c r="FC202" s="2"/>
      <c r="FD202" s="2"/>
      <c r="FE202" s="2"/>
      <c r="FF202" s="2"/>
      <c r="FG202" s="2"/>
      <c r="FH202" s="2"/>
      <c r="FI202" s="2"/>
      <c r="FJ202" s="2"/>
      <c r="FK202" s="2"/>
      <c r="FL202" s="2"/>
      <c r="FM202" s="2"/>
      <c r="FN202" s="2"/>
      <c r="FO202" s="2"/>
      <c r="FP202" s="2"/>
      <c r="FQ202" s="2">
        <v>0</v>
      </c>
      <c r="FR202" s="2">
        <v>0</v>
      </c>
      <c r="FS202" s="2">
        <v>0</v>
      </c>
      <c r="FT202" s="2"/>
      <c r="FU202" s="2"/>
      <c r="FV202" s="2"/>
      <c r="FW202" s="2"/>
      <c r="FX202" s="2">
        <v>0</v>
      </c>
      <c r="FY202" s="2">
        <v>0</v>
      </c>
      <c r="FZ202" s="2"/>
      <c r="GA202" s="2" t="s">
        <v>3</v>
      </c>
      <c r="GB202" s="2"/>
      <c r="GC202" s="2"/>
      <c r="GD202" s="2">
        <v>1</v>
      </c>
      <c r="GE202" s="2"/>
      <c r="GF202" s="2">
        <v>779947760</v>
      </c>
      <c r="GG202" s="2">
        <v>2</v>
      </c>
      <c r="GH202" s="2">
        <v>1</v>
      </c>
      <c r="GI202" s="2">
        <v>-2</v>
      </c>
      <c r="GJ202" s="2">
        <v>0</v>
      </c>
      <c r="GK202" s="2">
        <v>0</v>
      </c>
      <c r="GL202" s="2">
        <f t="shared" si="178"/>
        <v>0</v>
      </c>
      <c r="GM202" s="2">
        <f t="shared" si="179"/>
        <v>75.81</v>
      </c>
      <c r="GN202" s="2">
        <f t="shared" si="180"/>
        <v>0</v>
      </c>
      <c r="GO202" s="2">
        <f t="shared" si="181"/>
        <v>75.81</v>
      </c>
      <c r="GP202" s="2">
        <f t="shared" si="182"/>
        <v>0</v>
      </c>
      <c r="GQ202" s="2"/>
      <c r="GR202" s="2">
        <v>0</v>
      </c>
      <c r="GS202" s="2">
        <v>3</v>
      </c>
      <c r="GT202" s="2">
        <v>0</v>
      </c>
      <c r="GU202" s="2" t="s">
        <v>3</v>
      </c>
      <c r="GV202" s="2">
        <f t="shared" si="183"/>
        <v>0</v>
      </c>
      <c r="GW202" s="2">
        <v>1</v>
      </c>
      <c r="GX202" s="2">
        <f t="shared" si="184"/>
        <v>0</v>
      </c>
      <c r="GY202" s="2"/>
      <c r="GZ202" s="2"/>
      <c r="HA202" s="2">
        <v>0</v>
      </c>
      <c r="HB202" s="2">
        <v>0</v>
      </c>
      <c r="HC202" s="2">
        <f t="shared" si="185"/>
        <v>0</v>
      </c>
      <c r="HD202" s="2"/>
      <c r="HE202" s="2" t="s">
        <v>3</v>
      </c>
      <c r="HF202" s="2" t="s">
        <v>3</v>
      </c>
      <c r="HG202" s="2"/>
      <c r="HH202" s="2"/>
      <c r="HI202" s="2"/>
      <c r="HJ202" s="2"/>
      <c r="HK202" s="2"/>
      <c r="HL202" s="2"/>
      <c r="HM202" s="2" t="s">
        <v>3</v>
      </c>
      <c r="HN202" s="2" t="s">
        <v>3</v>
      </c>
      <c r="HO202" s="2" t="s">
        <v>3</v>
      </c>
      <c r="HP202" s="2" t="s">
        <v>3</v>
      </c>
      <c r="HQ202" s="2" t="s">
        <v>3</v>
      </c>
      <c r="HR202" s="2"/>
      <c r="HS202" s="2">
        <v>0</v>
      </c>
      <c r="HT202" s="2"/>
      <c r="HU202" s="2"/>
      <c r="HV202" s="2"/>
      <c r="HW202" s="2"/>
      <c r="HX202" s="2"/>
      <c r="HY202" s="2"/>
      <c r="HZ202" s="2"/>
      <c r="IA202" s="2"/>
      <c r="IB202" s="2"/>
      <c r="IC202" s="2"/>
      <c r="ID202" s="2"/>
      <c r="IE202" s="2"/>
      <c r="IF202" s="2"/>
      <c r="IG202" s="2"/>
      <c r="IH202" s="2"/>
      <c r="II202" s="2"/>
      <c r="IJ202" s="2"/>
      <c r="IK202" s="2">
        <v>0</v>
      </c>
      <c r="IL202" s="2"/>
      <c r="IM202" s="2"/>
      <c r="IN202" s="2"/>
      <c r="IO202" s="2"/>
      <c r="IP202" s="2"/>
      <c r="IQ202" s="2"/>
      <c r="IR202" s="2"/>
      <c r="IS202" s="2"/>
      <c r="IT202" s="2"/>
      <c r="IU202" s="2"/>
    </row>
    <row r="203" spans="1:255" x14ac:dyDescent="0.25">
      <c r="A203" s="3">
        <v>17</v>
      </c>
      <c r="B203" s="3">
        <v>1</v>
      </c>
      <c r="E203" s="3" t="s">
        <v>266</v>
      </c>
      <c r="F203" s="3" t="s">
        <v>249</v>
      </c>
      <c r="G203" s="3" t="s">
        <v>267</v>
      </c>
      <c r="H203" s="3" t="s">
        <v>251</v>
      </c>
      <c r="I203" s="3">
        <v>1</v>
      </c>
      <c r="J203" s="3">
        <v>0</v>
      </c>
      <c r="K203" s="3">
        <v>1</v>
      </c>
      <c r="O203" s="3">
        <f t="shared" si="159"/>
        <v>4695.67</v>
      </c>
      <c r="P203" s="3">
        <f t="shared" si="160"/>
        <v>4695.67</v>
      </c>
      <c r="Q203" s="3">
        <f t="shared" si="186"/>
        <v>0</v>
      </c>
      <c r="R203" s="3">
        <f t="shared" si="187"/>
        <v>0</v>
      </c>
      <c r="S203" s="3">
        <f t="shared" si="161"/>
        <v>0</v>
      </c>
      <c r="T203" s="3">
        <f t="shared" si="162"/>
        <v>0</v>
      </c>
      <c r="U203" s="3">
        <f t="shared" si="163"/>
        <v>0</v>
      </c>
      <c r="V203" s="3">
        <f t="shared" si="164"/>
        <v>0</v>
      </c>
      <c r="W203" s="3">
        <f t="shared" si="165"/>
        <v>0</v>
      </c>
      <c r="X203" s="3">
        <f t="shared" si="188"/>
        <v>0</v>
      </c>
      <c r="Y203" s="3">
        <f t="shared" si="189"/>
        <v>0</v>
      </c>
      <c r="AA203" s="3">
        <v>57014140</v>
      </c>
      <c r="AB203" s="3">
        <f t="shared" si="166"/>
        <v>75.81</v>
      </c>
      <c r="AC203" s="3">
        <f t="shared" si="190"/>
        <v>75.81</v>
      </c>
      <c r="AD203" s="3">
        <f t="shared" si="191"/>
        <v>0</v>
      </c>
      <c r="AE203" s="3">
        <f t="shared" si="192"/>
        <v>0</v>
      </c>
      <c r="AF203" s="3">
        <f t="shared" si="193"/>
        <v>0</v>
      </c>
      <c r="AG203" s="3">
        <f t="shared" si="168"/>
        <v>0</v>
      </c>
      <c r="AH203" s="3">
        <f t="shared" si="194"/>
        <v>0</v>
      </c>
      <c r="AI203" s="3">
        <f t="shared" si="195"/>
        <v>0</v>
      </c>
      <c r="AJ203" s="3">
        <f t="shared" si="170"/>
        <v>0</v>
      </c>
      <c r="AK203" s="3">
        <v>75.81</v>
      </c>
      <c r="AL203" s="3">
        <v>75.81</v>
      </c>
      <c r="AM203" s="3">
        <v>0</v>
      </c>
      <c r="AN203" s="3">
        <v>0</v>
      </c>
      <c r="AO203" s="3">
        <v>0</v>
      </c>
      <c r="AP203" s="3">
        <v>0</v>
      </c>
      <c r="AQ203" s="3">
        <v>0</v>
      </c>
      <c r="AR203" s="3">
        <v>0</v>
      </c>
      <c r="AS203" s="3">
        <v>0</v>
      </c>
      <c r="AT203" s="3">
        <v>0</v>
      </c>
      <c r="AU203" s="3">
        <v>0</v>
      </c>
      <c r="AV203" s="3">
        <v>1</v>
      </c>
      <c r="AW203" s="3">
        <v>1</v>
      </c>
      <c r="AZ203" s="3">
        <v>1</v>
      </c>
      <c r="BA203" s="3">
        <v>1</v>
      </c>
      <c r="BB203" s="3">
        <v>1</v>
      </c>
      <c r="BC203" s="3">
        <v>61.94</v>
      </c>
      <c r="BD203" s="3" t="s">
        <v>3</v>
      </c>
      <c r="BE203" s="3" t="s">
        <v>3</v>
      </c>
      <c r="BF203" s="3" t="s">
        <v>3</v>
      </c>
      <c r="BG203" s="3" t="s">
        <v>3</v>
      </c>
      <c r="BH203" s="3">
        <v>3</v>
      </c>
      <c r="BI203" s="3">
        <v>2</v>
      </c>
      <c r="BJ203" s="3" t="s">
        <v>252</v>
      </c>
      <c r="BM203" s="3">
        <v>1618</v>
      </c>
      <c r="BN203" s="3">
        <v>0</v>
      </c>
      <c r="BO203" s="3" t="s">
        <v>249</v>
      </c>
      <c r="BP203" s="3">
        <v>1</v>
      </c>
      <c r="BQ203" s="3">
        <v>201</v>
      </c>
      <c r="BR203" s="3">
        <v>0</v>
      </c>
      <c r="BS203" s="3">
        <v>1</v>
      </c>
      <c r="BT203" s="3">
        <v>1</v>
      </c>
      <c r="BU203" s="3">
        <v>1</v>
      </c>
      <c r="BV203" s="3">
        <v>1</v>
      </c>
      <c r="BW203" s="3">
        <v>1</v>
      </c>
      <c r="BX203" s="3">
        <v>1</v>
      </c>
      <c r="BY203" s="3" t="s">
        <v>3</v>
      </c>
      <c r="BZ203" s="3">
        <v>0</v>
      </c>
      <c r="CA203" s="3">
        <v>0</v>
      </c>
      <c r="CB203" s="3" t="s">
        <v>3</v>
      </c>
      <c r="CE203" s="3">
        <v>1566</v>
      </c>
      <c r="CF203" s="3">
        <v>0</v>
      </c>
      <c r="CG203" s="3">
        <v>0</v>
      </c>
      <c r="CM203" s="3">
        <v>0</v>
      </c>
      <c r="CN203" s="3" t="s">
        <v>3</v>
      </c>
      <c r="CO203" s="3">
        <v>0</v>
      </c>
      <c r="CP203" s="3">
        <f t="shared" si="171"/>
        <v>4695.67</v>
      </c>
      <c r="CQ203" s="3">
        <f t="shared" si="172"/>
        <v>4695.67</v>
      </c>
      <c r="CR203" s="3">
        <f t="shared" si="196"/>
        <v>0</v>
      </c>
      <c r="CS203" s="3">
        <f t="shared" si="197"/>
        <v>0</v>
      </c>
      <c r="CT203" s="3">
        <f t="shared" si="173"/>
        <v>0</v>
      </c>
      <c r="CU203" s="3">
        <f t="shared" si="174"/>
        <v>0</v>
      </c>
      <c r="CV203" s="3">
        <f t="shared" si="175"/>
        <v>0</v>
      </c>
      <c r="CW203" s="3">
        <f t="shared" si="176"/>
        <v>0</v>
      </c>
      <c r="CX203" s="3">
        <f t="shared" si="177"/>
        <v>0</v>
      </c>
      <c r="CY203" s="3">
        <f t="shared" si="198"/>
        <v>0</v>
      </c>
      <c r="CZ203" s="3">
        <f t="shared" si="199"/>
        <v>0</v>
      </c>
      <c r="DC203" s="3" t="s">
        <v>3</v>
      </c>
      <c r="DD203" s="3" t="s">
        <v>3</v>
      </c>
      <c r="DE203" s="3" t="s">
        <v>3</v>
      </c>
      <c r="DF203" s="3" t="s">
        <v>3</v>
      </c>
      <c r="DG203" s="3" t="s">
        <v>3</v>
      </c>
      <c r="DH203" s="3" t="s">
        <v>3</v>
      </c>
      <c r="DI203" s="3" t="s">
        <v>3</v>
      </c>
      <c r="DJ203" s="3" t="s">
        <v>3</v>
      </c>
      <c r="DK203" s="3" t="s">
        <v>3</v>
      </c>
      <c r="DL203" s="3" t="s">
        <v>3</v>
      </c>
      <c r="DM203" s="3" t="s">
        <v>3</v>
      </c>
      <c r="DN203" s="3">
        <v>0</v>
      </c>
      <c r="DO203" s="3">
        <v>0</v>
      </c>
      <c r="DP203" s="3">
        <v>1</v>
      </c>
      <c r="DQ203" s="3">
        <v>1</v>
      </c>
      <c r="DU203" s="3">
        <v>1010</v>
      </c>
      <c r="DV203" s="3" t="s">
        <v>251</v>
      </c>
      <c r="DW203" s="3" t="s">
        <v>251</v>
      </c>
      <c r="DX203" s="3">
        <v>1</v>
      </c>
      <c r="DZ203" s="3" t="s">
        <v>3</v>
      </c>
      <c r="EA203" s="3" t="s">
        <v>3</v>
      </c>
      <c r="EB203" s="3" t="s">
        <v>3</v>
      </c>
      <c r="EC203" s="3" t="s">
        <v>3</v>
      </c>
      <c r="EE203" s="3">
        <v>57042987</v>
      </c>
      <c r="EF203" s="3">
        <v>201</v>
      </c>
      <c r="EG203" s="3" t="s">
        <v>253</v>
      </c>
      <c r="EH203" s="3">
        <v>0</v>
      </c>
      <c r="EI203" s="3" t="s">
        <v>3</v>
      </c>
      <c r="EJ203" s="3">
        <v>2</v>
      </c>
      <c r="EK203" s="3">
        <v>1618</v>
      </c>
      <c r="EL203" s="3" t="s">
        <v>254</v>
      </c>
      <c r="EM203" s="3" t="s">
        <v>255</v>
      </c>
      <c r="EO203" s="3" t="s">
        <v>3</v>
      </c>
      <c r="EQ203" s="3">
        <v>0</v>
      </c>
      <c r="ER203" s="3">
        <v>75.81</v>
      </c>
      <c r="ES203" s="3">
        <v>75.81</v>
      </c>
      <c r="ET203" s="3">
        <v>0</v>
      </c>
      <c r="EU203" s="3">
        <v>0</v>
      </c>
      <c r="EV203" s="3">
        <v>0</v>
      </c>
      <c r="EW203" s="3">
        <v>0</v>
      </c>
      <c r="EX203" s="3">
        <v>0</v>
      </c>
      <c r="EY203" s="3">
        <v>0</v>
      </c>
      <c r="FQ203" s="3">
        <v>0</v>
      </c>
      <c r="FR203" s="3">
        <v>0</v>
      </c>
      <c r="FS203" s="3">
        <v>0</v>
      </c>
      <c r="FX203" s="3">
        <v>0</v>
      </c>
      <c r="FY203" s="3">
        <v>0</v>
      </c>
      <c r="GA203" s="3" t="s">
        <v>3</v>
      </c>
      <c r="GD203" s="3">
        <v>1</v>
      </c>
      <c r="GF203" s="3">
        <v>779947760</v>
      </c>
      <c r="GG203" s="3">
        <v>2</v>
      </c>
      <c r="GH203" s="3">
        <v>1</v>
      </c>
      <c r="GI203" s="3">
        <v>2</v>
      </c>
      <c r="GJ203" s="3">
        <v>0</v>
      </c>
      <c r="GK203" s="3">
        <v>0</v>
      </c>
      <c r="GL203" s="3">
        <f t="shared" si="178"/>
        <v>0</v>
      </c>
      <c r="GM203" s="3">
        <f t="shared" si="179"/>
        <v>4695.67</v>
      </c>
      <c r="GN203" s="3">
        <f t="shared" si="180"/>
        <v>0</v>
      </c>
      <c r="GO203" s="3">
        <f t="shared" si="181"/>
        <v>4695.67</v>
      </c>
      <c r="GP203" s="3">
        <f t="shared" si="182"/>
        <v>0</v>
      </c>
      <c r="GR203" s="3">
        <v>0</v>
      </c>
      <c r="GS203" s="3">
        <v>3</v>
      </c>
      <c r="GT203" s="3">
        <v>0</v>
      </c>
      <c r="GU203" s="3" t="s">
        <v>3</v>
      </c>
      <c r="GV203" s="3">
        <f t="shared" si="183"/>
        <v>0</v>
      </c>
      <c r="GW203" s="3">
        <v>1</v>
      </c>
      <c r="GX203" s="3">
        <f t="shared" si="184"/>
        <v>0</v>
      </c>
      <c r="HA203" s="3">
        <v>0</v>
      </c>
      <c r="HB203" s="3">
        <v>0</v>
      </c>
      <c r="HC203" s="3">
        <f t="shared" si="185"/>
        <v>0</v>
      </c>
      <c r="HE203" s="3" t="s">
        <v>3</v>
      </c>
      <c r="HF203" s="3" t="s">
        <v>3</v>
      </c>
      <c r="HM203" s="3" t="s">
        <v>3</v>
      </c>
      <c r="HN203" s="3" t="s">
        <v>3</v>
      </c>
      <c r="HO203" s="3" t="s">
        <v>3</v>
      </c>
      <c r="HP203" s="3" t="s">
        <v>3</v>
      </c>
      <c r="HQ203" s="3" t="s">
        <v>3</v>
      </c>
      <c r="HS203" s="3">
        <v>0</v>
      </c>
      <c r="IK203" s="3">
        <v>0</v>
      </c>
    </row>
    <row r="204" spans="1:255" x14ac:dyDescent="0.25">
      <c r="A204" s="2">
        <v>17</v>
      </c>
      <c r="B204" s="2">
        <v>1</v>
      </c>
      <c r="C204" s="2"/>
      <c r="D204" s="2"/>
      <c r="E204" s="2" t="s">
        <v>268</v>
      </c>
      <c r="F204" s="2" t="s">
        <v>249</v>
      </c>
      <c r="G204" s="2" t="s">
        <v>269</v>
      </c>
      <c r="H204" s="2" t="s">
        <v>251</v>
      </c>
      <c r="I204" s="2">
        <v>63</v>
      </c>
      <c r="J204" s="2">
        <v>0</v>
      </c>
      <c r="K204" s="2">
        <v>63</v>
      </c>
      <c r="L204" s="2"/>
      <c r="M204" s="2"/>
      <c r="N204" s="2"/>
      <c r="O204" s="2">
        <f t="shared" si="159"/>
        <v>4776.03</v>
      </c>
      <c r="P204" s="2">
        <f t="shared" si="160"/>
        <v>4776.03</v>
      </c>
      <c r="Q204" s="2">
        <f t="shared" si="186"/>
        <v>0</v>
      </c>
      <c r="R204" s="2">
        <f t="shared" si="187"/>
        <v>0</v>
      </c>
      <c r="S204" s="2">
        <f t="shared" si="161"/>
        <v>0</v>
      </c>
      <c r="T204" s="2">
        <f t="shared" si="162"/>
        <v>0</v>
      </c>
      <c r="U204" s="2">
        <f t="shared" si="163"/>
        <v>0</v>
      </c>
      <c r="V204" s="2">
        <f t="shared" si="164"/>
        <v>0</v>
      </c>
      <c r="W204" s="2">
        <f t="shared" si="165"/>
        <v>0</v>
      </c>
      <c r="X204" s="2">
        <f t="shared" si="188"/>
        <v>0</v>
      </c>
      <c r="Y204" s="2">
        <f t="shared" si="189"/>
        <v>0</v>
      </c>
      <c r="Z204" s="2"/>
      <c r="AA204" s="2">
        <v>57014138</v>
      </c>
      <c r="AB204" s="2">
        <f t="shared" si="166"/>
        <v>75.81</v>
      </c>
      <c r="AC204" s="2">
        <f t="shared" si="190"/>
        <v>75.81</v>
      </c>
      <c r="AD204" s="2">
        <f t="shared" si="191"/>
        <v>0</v>
      </c>
      <c r="AE204" s="2">
        <f t="shared" si="192"/>
        <v>0</v>
      </c>
      <c r="AF204" s="2">
        <f t="shared" si="193"/>
        <v>0</v>
      </c>
      <c r="AG204" s="2">
        <f t="shared" si="168"/>
        <v>0</v>
      </c>
      <c r="AH204" s="2">
        <f t="shared" si="194"/>
        <v>0</v>
      </c>
      <c r="AI204" s="2">
        <f t="shared" si="195"/>
        <v>0</v>
      </c>
      <c r="AJ204" s="2">
        <f t="shared" si="170"/>
        <v>0</v>
      </c>
      <c r="AK204" s="2">
        <v>75.81</v>
      </c>
      <c r="AL204" s="2">
        <v>75.81</v>
      </c>
      <c r="AM204" s="2">
        <v>0</v>
      </c>
      <c r="AN204" s="2">
        <v>0</v>
      </c>
      <c r="AO204" s="2">
        <v>0</v>
      </c>
      <c r="AP204" s="2">
        <v>0</v>
      </c>
      <c r="AQ204" s="2">
        <v>0</v>
      </c>
      <c r="AR204" s="2">
        <v>0</v>
      </c>
      <c r="AS204" s="2">
        <v>0</v>
      </c>
      <c r="AT204" s="2">
        <v>0</v>
      </c>
      <c r="AU204" s="2">
        <v>0</v>
      </c>
      <c r="AV204" s="2">
        <v>1</v>
      </c>
      <c r="AW204" s="2">
        <v>1</v>
      </c>
      <c r="AX204" s="2"/>
      <c r="AY204" s="2"/>
      <c r="AZ204" s="2">
        <v>1</v>
      </c>
      <c r="BA204" s="2">
        <v>1</v>
      </c>
      <c r="BB204" s="2">
        <v>1</v>
      </c>
      <c r="BC204" s="2">
        <v>1</v>
      </c>
      <c r="BD204" s="2" t="s">
        <v>3</v>
      </c>
      <c r="BE204" s="2" t="s">
        <v>3</v>
      </c>
      <c r="BF204" s="2" t="s">
        <v>3</v>
      </c>
      <c r="BG204" s="2" t="s">
        <v>3</v>
      </c>
      <c r="BH204" s="2">
        <v>3</v>
      </c>
      <c r="BI204" s="2">
        <v>2</v>
      </c>
      <c r="BJ204" s="2" t="s">
        <v>252</v>
      </c>
      <c r="BK204" s="2"/>
      <c r="BL204" s="2"/>
      <c r="BM204" s="2">
        <v>1618</v>
      </c>
      <c r="BN204" s="2">
        <v>0</v>
      </c>
      <c r="BO204" s="2" t="s">
        <v>3</v>
      </c>
      <c r="BP204" s="2">
        <v>0</v>
      </c>
      <c r="BQ204" s="2">
        <v>201</v>
      </c>
      <c r="BR204" s="2">
        <v>0</v>
      </c>
      <c r="BS204" s="2">
        <v>1</v>
      </c>
      <c r="BT204" s="2">
        <v>1</v>
      </c>
      <c r="BU204" s="2">
        <v>1</v>
      </c>
      <c r="BV204" s="2">
        <v>1</v>
      </c>
      <c r="BW204" s="2">
        <v>1</v>
      </c>
      <c r="BX204" s="2">
        <v>1</v>
      </c>
      <c r="BY204" s="2" t="s">
        <v>3</v>
      </c>
      <c r="BZ204" s="2">
        <v>0</v>
      </c>
      <c r="CA204" s="2">
        <v>0</v>
      </c>
      <c r="CB204" s="2" t="s">
        <v>3</v>
      </c>
      <c r="CC204" s="2"/>
      <c r="CD204" s="2"/>
      <c r="CE204" s="2">
        <v>1566</v>
      </c>
      <c r="CF204" s="2">
        <v>0</v>
      </c>
      <c r="CG204" s="2">
        <v>0</v>
      </c>
      <c r="CH204" s="2"/>
      <c r="CI204" s="2"/>
      <c r="CJ204" s="2"/>
      <c r="CK204" s="2"/>
      <c r="CL204" s="2"/>
      <c r="CM204" s="2">
        <v>0</v>
      </c>
      <c r="CN204" s="2" t="s">
        <v>3</v>
      </c>
      <c r="CO204" s="2">
        <v>0</v>
      </c>
      <c r="CP204" s="2">
        <f t="shared" si="171"/>
        <v>4776.03</v>
      </c>
      <c r="CQ204" s="2">
        <f t="shared" si="172"/>
        <v>75.81</v>
      </c>
      <c r="CR204" s="2">
        <f t="shared" si="196"/>
        <v>0</v>
      </c>
      <c r="CS204" s="2">
        <f t="shared" si="197"/>
        <v>0</v>
      </c>
      <c r="CT204" s="2">
        <f t="shared" si="173"/>
        <v>0</v>
      </c>
      <c r="CU204" s="2">
        <f t="shared" si="174"/>
        <v>0</v>
      </c>
      <c r="CV204" s="2">
        <f t="shared" si="175"/>
        <v>0</v>
      </c>
      <c r="CW204" s="2">
        <f t="shared" si="176"/>
        <v>0</v>
      </c>
      <c r="CX204" s="2">
        <f t="shared" si="177"/>
        <v>0</v>
      </c>
      <c r="CY204" s="2">
        <f t="shared" si="198"/>
        <v>0</v>
      </c>
      <c r="CZ204" s="2">
        <f t="shared" si="199"/>
        <v>0</v>
      </c>
      <c r="DA204" s="2"/>
      <c r="DB204" s="2"/>
      <c r="DC204" s="2" t="s">
        <v>3</v>
      </c>
      <c r="DD204" s="2" t="s">
        <v>3</v>
      </c>
      <c r="DE204" s="2" t="s">
        <v>3</v>
      </c>
      <c r="DF204" s="2" t="s">
        <v>3</v>
      </c>
      <c r="DG204" s="2" t="s">
        <v>3</v>
      </c>
      <c r="DH204" s="2" t="s">
        <v>3</v>
      </c>
      <c r="DI204" s="2" t="s">
        <v>3</v>
      </c>
      <c r="DJ204" s="2" t="s">
        <v>3</v>
      </c>
      <c r="DK204" s="2" t="s">
        <v>3</v>
      </c>
      <c r="DL204" s="2" t="s">
        <v>3</v>
      </c>
      <c r="DM204" s="2" t="s">
        <v>3</v>
      </c>
      <c r="DN204" s="2">
        <v>0</v>
      </c>
      <c r="DO204" s="2">
        <v>0</v>
      </c>
      <c r="DP204" s="2">
        <v>1</v>
      </c>
      <c r="DQ204" s="2">
        <v>1</v>
      </c>
      <c r="DR204" s="2"/>
      <c r="DS204" s="2"/>
      <c r="DT204" s="2"/>
      <c r="DU204" s="2">
        <v>1010</v>
      </c>
      <c r="DV204" s="2" t="s">
        <v>251</v>
      </c>
      <c r="DW204" s="2" t="s">
        <v>251</v>
      </c>
      <c r="DX204" s="2">
        <v>1</v>
      </c>
      <c r="DY204" s="2"/>
      <c r="DZ204" s="2" t="s">
        <v>3</v>
      </c>
      <c r="EA204" s="2" t="s">
        <v>3</v>
      </c>
      <c r="EB204" s="2" t="s">
        <v>3</v>
      </c>
      <c r="EC204" s="2" t="s">
        <v>3</v>
      </c>
      <c r="ED204" s="2"/>
      <c r="EE204" s="2">
        <v>57042987</v>
      </c>
      <c r="EF204" s="2">
        <v>201</v>
      </c>
      <c r="EG204" s="2" t="s">
        <v>253</v>
      </c>
      <c r="EH204" s="2">
        <v>0</v>
      </c>
      <c r="EI204" s="2" t="s">
        <v>3</v>
      </c>
      <c r="EJ204" s="2">
        <v>2</v>
      </c>
      <c r="EK204" s="2">
        <v>1618</v>
      </c>
      <c r="EL204" s="2" t="s">
        <v>254</v>
      </c>
      <c r="EM204" s="2" t="s">
        <v>255</v>
      </c>
      <c r="EN204" s="2"/>
      <c r="EO204" s="2" t="s">
        <v>3</v>
      </c>
      <c r="EP204" s="2"/>
      <c r="EQ204" s="2">
        <v>0</v>
      </c>
      <c r="ER204" s="2">
        <v>75.81</v>
      </c>
      <c r="ES204" s="2">
        <v>75.81</v>
      </c>
      <c r="ET204" s="2">
        <v>0</v>
      </c>
      <c r="EU204" s="2">
        <v>0</v>
      </c>
      <c r="EV204" s="2">
        <v>0</v>
      </c>
      <c r="EW204" s="2">
        <v>0</v>
      </c>
      <c r="EX204" s="2">
        <v>0</v>
      </c>
      <c r="EY204" s="2">
        <v>0</v>
      </c>
      <c r="EZ204" s="2"/>
      <c r="FA204" s="2"/>
      <c r="FB204" s="2"/>
      <c r="FC204" s="2"/>
      <c r="FD204" s="2"/>
      <c r="FE204" s="2"/>
      <c r="FF204" s="2"/>
      <c r="FG204" s="2"/>
      <c r="FH204" s="2"/>
      <c r="FI204" s="2"/>
      <c r="FJ204" s="2"/>
      <c r="FK204" s="2"/>
      <c r="FL204" s="2"/>
      <c r="FM204" s="2"/>
      <c r="FN204" s="2"/>
      <c r="FO204" s="2"/>
      <c r="FP204" s="2"/>
      <c r="FQ204" s="2">
        <v>0</v>
      </c>
      <c r="FR204" s="2">
        <v>0</v>
      </c>
      <c r="FS204" s="2">
        <v>0</v>
      </c>
      <c r="FT204" s="2"/>
      <c r="FU204" s="2"/>
      <c r="FV204" s="2"/>
      <c r="FW204" s="2"/>
      <c r="FX204" s="2">
        <v>0</v>
      </c>
      <c r="FY204" s="2">
        <v>0</v>
      </c>
      <c r="FZ204" s="2"/>
      <c r="GA204" s="2" t="s">
        <v>3</v>
      </c>
      <c r="GB204" s="2"/>
      <c r="GC204" s="2"/>
      <c r="GD204" s="2">
        <v>1</v>
      </c>
      <c r="GE204" s="2"/>
      <c r="GF204" s="2">
        <v>-1876728699</v>
      </c>
      <c r="GG204" s="2">
        <v>2</v>
      </c>
      <c r="GH204" s="2">
        <v>1</v>
      </c>
      <c r="GI204" s="2">
        <v>-2</v>
      </c>
      <c r="GJ204" s="2">
        <v>0</v>
      </c>
      <c r="GK204" s="2">
        <v>0</v>
      </c>
      <c r="GL204" s="2">
        <f t="shared" si="178"/>
        <v>0</v>
      </c>
      <c r="GM204" s="2">
        <f t="shared" si="179"/>
        <v>4776.03</v>
      </c>
      <c r="GN204" s="2">
        <f t="shared" si="180"/>
        <v>0</v>
      </c>
      <c r="GO204" s="2">
        <f t="shared" si="181"/>
        <v>4776.03</v>
      </c>
      <c r="GP204" s="2">
        <f t="shared" si="182"/>
        <v>0</v>
      </c>
      <c r="GQ204" s="2"/>
      <c r="GR204" s="2">
        <v>0</v>
      </c>
      <c r="GS204" s="2">
        <v>3</v>
      </c>
      <c r="GT204" s="2">
        <v>0</v>
      </c>
      <c r="GU204" s="2" t="s">
        <v>3</v>
      </c>
      <c r="GV204" s="2">
        <f t="shared" si="183"/>
        <v>0</v>
      </c>
      <c r="GW204" s="2">
        <v>1</v>
      </c>
      <c r="GX204" s="2">
        <f t="shared" si="184"/>
        <v>0</v>
      </c>
      <c r="GY204" s="2"/>
      <c r="GZ204" s="2"/>
      <c r="HA204" s="2">
        <v>0</v>
      </c>
      <c r="HB204" s="2">
        <v>0</v>
      </c>
      <c r="HC204" s="2">
        <f t="shared" si="185"/>
        <v>0</v>
      </c>
      <c r="HD204" s="2"/>
      <c r="HE204" s="2" t="s">
        <v>3</v>
      </c>
      <c r="HF204" s="2" t="s">
        <v>3</v>
      </c>
      <c r="HG204" s="2"/>
      <c r="HH204" s="2"/>
      <c r="HI204" s="2"/>
      <c r="HJ204" s="2"/>
      <c r="HK204" s="2"/>
      <c r="HL204" s="2"/>
      <c r="HM204" s="2" t="s">
        <v>3</v>
      </c>
      <c r="HN204" s="2" t="s">
        <v>3</v>
      </c>
      <c r="HO204" s="2" t="s">
        <v>3</v>
      </c>
      <c r="HP204" s="2" t="s">
        <v>3</v>
      </c>
      <c r="HQ204" s="2" t="s">
        <v>3</v>
      </c>
      <c r="HR204" s="2"/>
      <c r="HS204" s="2">
        <v>0</v>
      </c>
      <c r="HT204" s="2"/>
      <c r="HU204" s="2"/>
      <c r="HV204" s="2"/>
      <c r="HW204" s="2"/>
      <c r="HX204" s="2"/>
      <c r="HY204" s="2"/>
      <c r="HZ204" s="2"/>
      <c r="IA204" s="2"/>
      <c r="IB204" s="2"/>
      <c r="IC204" s="2"/>
      <c r="ID204" s="2"/>
      <c r="IE204" s="2"/>
      <c r="IF204" s="2"/>
      <c r="IG204" s="2"/>
      <c r="IH204" s="2"/>
      <c r="II204" s="2"/>
      <c r="IJ204" s="2"/>
      <c r="IK204" s="2">
        <v>0</v>
      </c>
      <c r="IL204" s="2"/>
      <c r="IM204" s="2"/>
      <c r="IN204" s="2"/>
      <c r="IO204" s="2"/>
      <c r="IP204" s="2"/>
      <c r="IQ204" s="2"/>
      <c r="IR204" s="2"/>
      <c r="IS204" s="2"/>
      <c r="IT204" s="2"/>
      <c r="IU204" s="2"/>
    </row>
    <row r="205" spans="1:255" x14ac:dyDescent="0.25">
      <c r="A205" s="3">
        <v>17</v>
      </c>
      <c r="B205" s="3">
        <v>1</v>
      </c>
      <c r="E205" s="3" t="s">
        <v>268</v>
      </c>
      <c r="F205" s="3" t="s">
        <v>249</v>
      </c>
      <c r="G205" s="3" t="s">
        <v>269</v>
      </c>
      <c r="H205" s="3" t="s">
        <v>251</v>
      </c>
      <c r="I205" s="3">
        <v>63</v>
      </c>
      <c r="J205" s="3">
        <v>0</v>
      </c>
      <c r="K205" s="3">
        <v>63</v>
      </c>
      <c r="O205" s="3">
        <f t="shared" si="159"/>
        <v>295827.3</v>
      </c>
      <c r="P205" s="3">
        <f t="shared" si="160"/>
        <v>295827.3</v>
      </c>
      <c r="Q205" s="3">
        <f t="shared" si="186"/>
        <v>0</v>
      </c>
      <c r="R205" s="3">
        <f t="shared" si="187"/>
        <v>0</v>
      </c>
      <c r="S205" s="3">
        <f t="shared" si="161"/>
        <v>0</v>
      </c>
      <c r="T205" s="3">
        <f t="shared" si="162"/>
        <v>0</v>
      </c>
      <c r="U205" s="3">
        <f t="shared" si="163"/>
        <v>0</v>
      </c>
      <c r="V205" s="3">
        <f t="shared" si="164"/>
        <v>0</v>
      </c>
      <c r="W205" s="3">
        <f t="shared" si="165"/>
        <v>0</v>
      </c>
      <c r="X205" s="3">
        <f t="shared" si="188"/>
        <v>0</v>
      </c>
      <c r="Y205" s="3">
        <f t="shared" si="189"/>
        <v>0</v>
      </c>
      <c r="AA205" s="3">
        <v>57014140</v>
      </c>
      <c r="AB205" s="3">
        <f t="shared" si="166"/>
        <v>75.81</v>
      </c>
      <c r="AC205" s="3">
        <f t="shared" si="190"/>
        <v>75.81</v>
      </c>
      <c r="AD205" s="3">
        <f t="shared" si="191"/>
        <v>0</v>
      </c>
      <c r="AE205" s="3">
        <f t="shared" si="192"/>
        <v>0</v>
      </c>
      <c r="AF205" s="3">
        <f t="shared" si="193"/>
        <v>0</v>
      </c>
      <c r="AG205" s="3">
        <f t="shared" si="168"/>
        <v>0</v>
      </c>
      <c r="AH205" s="3">
        <f t="shared" si="194"/>
        <v>0</v>
      </c>
      <c r="AI205" s="3">
        <f t="shared" si="195"/>
        <v>0</v>
      </c>
      <c r="AJ205" s="3">
        <f t="shared" si="170"/>
        <v>0</v>
      </c>
      <c r="AK205" s="3">
        <v>75.81</v>
      </c>
      <c r="AL205" s="3">
        <v>75.81</v>
      </c>
      <c r="AM205" s="3">
        <v>0</v>
      </c>
      <c r="AN205" s="3">
        <v>0</v>
      </c>
      <c r="AO205" s="3">
        <v>0</v>
      </c>
      <c r="AP205" s="3">
        <v>0</v>
      </c>
      <c r="AQ205" s="3">
        <v>0</v>
      </c>
      <c r="AR205" s="3">
        <v>0</v>
      </c>
      <c r="AS205" s="3">
        <v>0</v>
      </c>
      <c r="AT205" s="3">
        <v>0</v>
      </c>
      <c r="AU205" s="3">
        <v>0</v>
      </c>
      <c r="AV205" s="3">
        <v>1</v>
      </c>
      <c r="AW205" s="3">
        <v>1</v>
      </c>
      <c r="AZ205" s="3">
        <v>1</v>
      </c>
      <c r="BA205" s="3">
        <v>1</v>
      </c>
      <c r="BB205" s="3">
        <v>1</v>
      </c>
      <c r="BC205" s="3">
        <v>61.94</v>
      </c>
      <c r="BD205" s="3" t="s">
        <v>3</v>
      </c>
      <c r="BE205" s="3" t="s">
        <v>3</v>
      </c>
      <c r="BF205" s="3" t="s">
        <v>3</v>
      </c>
      <c r="BG205" s="3" t="s">
        <v>3</v>
      </c>
      <c r="BH205" s="3">
        <v>3</v>
      </c>
      <c r="BI205" s="3">
        <v>2</v>
      </c>
      <c r="BJ205" s="3" t="s">
        <v>252</v>
      </c>
      <c r="BM205" s="3">
        <v>1618</v>
      </c>
      <c r="BN205" s="3">
        <v>0</v>
      </c>
      <c r="BO205" s="3" t="s">
        <v>249</v>
      </c>
      <c r="BP205" s="3">
        <v>1</v>
      </c>
      <c r="BQ205" s="3">
        <v>201</v>
      </c>
      <c r="BR205" s="3">
        <v>0</v>
      </c>
      <c r="BS205" s="3">
        <v>1</v>
      </c>
      <c r="BT205" s="3">
        <v>1</v>
      </c>
      <c r="BU205" s="3">
        <v>1</v>
      </c>
      <c r="BV205" s="3">
        <v>1</v>
      </c>
      <c r="BW205" s="3">
        <v>1</v>
      </c>
      <c r="BX205" s="3">
        <v>1</v>
      </c>
      <c r="BY205" s="3" t="s">
        <v>3</v>
      </c>
      <c r="BZ205" s="3">
        <v>0</v>
      </c>
      <c r="CA205" s="3">
        <v>0</v>
      </c>
      <c r="CB205" s="3" t="s">
        <v>3</v>
      </c>
      <c r="CE205" s="3">
        <v>1566</v>
      </c>
      <c r="CF205" s="3">
        <v>0</v>
      </c>
      <c r="CG205" s="3">
        <v>0</v>
      </c>
      <c r="CM205" s="3">
        <v>0</v>
      </c>
      <c r="CN205" s="3" t="s">
        <v>3</v>
      </c>
      <c r="CO205" s="3">
        <v>0</v>
      </c>
      <c r="CP205" s="3">
        <f t="shared" si="171"/>
        <v>295827.3</v>
      </c>
      <c r="CQ205" s="3">
        <f t="shared" si="172"/>
        <v>4695.67</v>
      </c>
      <c r="CR205" s="3">
        <f t="shared" si="196"/>
        <v>0</v>
      </c>
      <c r="CS205" s="3">
        <f t="shared" si="197"/>
        <v>0</v>
      </c>
      <c r="CT205" s="3">
        <f t="shared" si="173"/>
        <v>0</v>
      </c>
      <c r="CU205" s="3">
        <f t="shared" si="174"/>
        <v>0</v>
      </c>
      <c r="CV205" s="3">
        <f t="shared" si="175"/>
        <v>0</v>
      </c>
      <c r="CW205" s="3">
        <f t="shared" si="176"/>
        <v>0</v>
      </c>
      <c r="CX205" s="3">
        <f t="shared" si="177"/>
        <v>0</v>
      </c>
      <c r="CY205" s="3">
        <f t="shared" si="198"/>
        <v>0</v>
      </c>
      <c r="CZ205" s="3">
        <f t="shared" si="199"/>
        <v>0</v>
      </c>
      <c r="DC205" s="3" t="s">
        <v>3</v>
      </c>
      <c r="DD205" s="3" t="s">
        <v>3</v>
      </c>
      <c r="DE205" s="3" t="s">
        <v>3</v>
      </c>
      <c r="DF205" s="3" t="s">
        <v>3</v>
      </c>
      <c r="DG205" s="3" t="s">
        <v>3</v>
      </c>
      <c r="DH205" s="3" t="s">
        <v>3</v>
      </c>
      <c r="DI205" s="3" t="s">
        <v>3</v>
      </c>
      <c r="DJ205" s="3" t="s">
        <v>3</v>
      </c>
      <c r="DK205" s="3" t="s">
        <v>3</v>
      </c>
      <c r="DL205" s="3" t="s">
        <v>3</v>
      </c>
      <c r="DM205" s="3" t="s">
        <v>3</v>
      </c>
      <c r="DN205" s="3">
        <v>0</v>
      </c>
      <c r="DO205" s="3">
        <v>0</v>
      </c>
      <c r="DP205" s="3">
        <v>1</v>
      </c>
      <c r="DQ205" s="3">
        <v>1</v>
      </c>
      <c r="DU205" s="3">
        <v>1010</v>
      </c>
      <c r="DV205" s="3" t="s">
        <v>251</v>
      </c>
      <c r="DW205" s="3" t="s">
        <v>251</v>
      </c>
      <c r="DX205" s="3">
        <v>1</v>
      </c>
      <c r="DZ205" s="3" t="s">
        <v>3</v>
      </c>
      <c r="EA205" s="3" t="s">
        <v>3</v>
      </c>
      <c r="EB205" s="3" t="s">
        <v>3</v>
      </c>
      <c r="EC205" s="3" t="s">
        <v>3</v>
      </c>
      <c r="EE205" s="3">
        <v>57042987</v>
      </c>
      <c r="EF205" s="3">
        <v>201</v>
      </c>
      <c r="EG205" s="3" t="s">
        <v>253</v>
      </c>
      <c r="EH205" s="3">
        <v>0</v>
      </c>
      <c r="EI205" s="3" t="s">
        <v>3</v>
      </c>
      <c r="EJ205" s="3">
        <v>2</v>
      </c>
      <c r="EK205" s="3">
        <v>1618</v>
      </c>
      <c r="EL205" s="3" t="s">
        <v>254</v>
      </c>
      <c r="EM205" s="3" t="s">
        <v>255</v>
      </c>
      <c r="EO205" s="3" t="s">
        <v>3</v>
      </c>
      <c r="EQ205" s="3">
        <v>0</v>
      </c>
      <c r="ER205" s="3">
        <v>75.81</v>
      </c>
      <c r="ES205" s="3">
        <v>75.81</v>
      </c>
      <c r="ET205" s="3">
        <v>0</v>
      </c>
      <c r="EU205" s="3">
        <v>0</v>
      </c>
      <c r="EV205" s="3">
        <v>0</v>
      </c>
      <c r="EW205" s="3">
        <v>0</v>
      </c>
      <c r="EX205" s="3">
        <v>0</v>
      </c>
      <c r="EY205" s="3">
        <v>0</v>
      </c>
      <c r="FQ205" s="3">
        <v>0</v>
      </c>
      <c r="FR205" s="3">
        <v>0</v>
      </c>
      <c r="FS205" s="3">
        <v>0</v>
      </c>
      <c r="FX205" s="3">
        <v>0</v>
      </c>
      <c r="FY205" s="3">
        <v>0</v>
      </c>
      <c r="GA205" s="3" t="s">
        <v>3</v>
      </c>
      <c r="GD205" s="3">
        <v>1</v>
      </c>
      <c r="GF205" s="3">
        <v>-1876728699</v>
      </c>
      <c r="GG205" s="3">
        <v>2</v>
      </c>
      <c r="GH205" s="3">
        <v>1</v>
      </c>
      <c r="GI205" s="3">
        <v>2</v>
      </c>
      <c r="GJ205" s="3">
        <v>0</v>
      </c>
      <c r="GK205" s="3">
        <v>0</v>
      </c>
      <c r="GL205" s="3">
        <f t="shared" si="178"/>
        <v>0</v>
      </c>
      <c r="GM205" s="3">
        <f t="shared" si="179"/>
        <v>295827.3</v>
      </c>
      <c r="GN205" s="3">
        <f t="shared" si="180"/>
        <v>0</v>
      </c>
      <c r="GO205" s="3">
        <f t="shared" si="181"/>
        <v>295827.3</v>
      </c>
      <c r="GP205" s="3">
        <f t="shared" si="182"/>
        <v>0</v>
      </c>
      <c r="GR205" s="3">
        <v>0</v>
      </c>
      <c r="GS205" s="3">
        <v>3</v>
      </c>
      <c r="GT205" s="3">
        <v>0</v>
      </c>
      <c r="GU205" s="3" t="s">
        <v>3</v>
      </c>
      <c r="GV205" s="3">
        <f t="shared" si="183"/>
        <v>0</v>
      </c>
      <c r="GW205" s="3">
        <v>1</v>
      </c>
      <c r="GX205" s="3">
        <f t="shared" si="184"/>
        <v>0</v>
      </c>
      <c r="HA205" s="3">
        <v>0</v>
      </c>
      <c r="HB205" s="3">
        <v>0</v>
      </c>
      <c r="HC205" s="3">
        <f t="shared" si="185"/>
        <v>0</v>
      </c>
      <c r="HE205" s="3" t="s">
        <v>3</v>
      </c>
      <c r="HF205" s="3" t="s">
        <v>3</v>
      </c>
      <c r="HM205" s="3" t="s">
        <v>3</v>
      </c>
      <c r="HN205" s="3" t="s">
        <v>3</v>
      </c>
      <c r="HO205" s="3" t="s">
        <v>3</v>
      </c>
      <c r="HP205" s="3" t="s">
        <v>3</v>
      </c>
      <c r="HQ205" s="3" t="s">
        <v>3</v>
      </c>
      <c r="HS205" s="3">
        <v>0</v>
      </c>
      <c r="IK205" s="3">
        <v>0</v>
      </c>
    </row>
    <row r="206" spans="1:255" x14ac:dyDescent="0.25">
      <c r="A206" s="2">
        <v>17</v>
      </c>
      <c r="B206" s="2">
        <v>1</v>
      </c>
      <c r="C206" s="2">
        <f>ROW(SmtRes!A203)</f>
        <v>203</v>
      </c>
      <c r="D206" s="2">
        <f>ROW(EtalonRes!A261)</f>
        <v>261</v>
      </c>
      <c r="E206" s="2" t="s">
        <v>270</v>
      </c>
      <c r="F206" s="2" t="s">
        <v>271</v>
      </c>
      <c r="G206" s="2" t="s">
        <v>272</v>
      </c>
      <c r="H206" s="2" t="s">
        <v>27</v>
      </c>
      <c r="I206" s="2">
        <v>1</v>
      </c>
      <c r="J206" s="2">
        <v>0</v>
      </c>
      <c r="K206" s="2">
        <v>1</v>
      </c>
      <c r="L206" s="2"/>
      <c r="M206" s="2"/>
      <c r="N206" s="2"/>
      <c r="O206" s="2">
        <f t="shared" si="159"/>
        <v>44.69</v>
      </c>
      <c r="P206" s="2">
        <f t="shared" si="160"/>
        <v>3.71</v>
      </c>
      <c r="Q206" s="2">
        <f>(ROUND((ROUND((((ET206*1.2))*AV206*I206),2)*BB206),2)+ROUND((ROUND(((AE206-((EU206*1.2)))*AV206*I206),2)*BS206),2))</f>
        <v>0.06</v>
      </c>
      <c r="R206" s="2">
        <f>(ROUND((ROUND((((EU206*1.2))*AV206*I206),2)*BS206),2)+ROUND((ROUND(((AE206-((EU206*1.2)))*AV206*I206),2)*BS206),2))</f>
        <v>0.01</v>
      </c>
      <c r="S206" s="2">
        <f t="shared" si="161"/>
        <v>40.92</v>
      </c>
      <c r="T206" s="2">
        <f t="shared" si="162"/>
        <v>0</v>
      </c>
      <c r="U206" s="2">
        <f t="shared" si="163"/>
        <v>3.0153599999999998</v>
      </c>
      <c r="V206" s="2">
        <f t="shared" si="164"/>
        <v>0</v>
      </c>
      <c r="W206" s="2">
        <f t="shared" si="165"/>
        <v>0</v>
      </c>
      <c r="X206" s="2">
        <f>(ROUND((((S206+ROUND((ROUND((((EU206*1.2))*AV206*I206),2)*BS206),2))*AT206)/100),2)+ROUND(((ROUND((ROUND(((AE206-((EU206*1.2)))*AV206*I206),2)*BS206),2)*AT206)/100),2))</f>
        <v>36.840000000000003</v>
      </c>
      <c r="Y206" s="2">
        <f>(ROUND((((S206+ROUND((ROUND((((EU206*1.2))*AV206*I206),2)*BS206),2))*AU206)/100),2)+ROUND(((ROUND((ROUND(((AE206-((EU206*1.2)))*AV206*I206),2)*BS206),2)*AU206)/100),2))</f>
        <v>18.829999999999998</v>
      </c>
      <c r="Z206" s="2"/>
      <c r="AA206" s="2">
        <v>57014138</v>
      </c>
      <c r="AB206" s="2">
        <f t="shared" si="166"/>
        <v>42.853999999999999</v>
      </c>
      <c r="AC206" s="2">
        <f>ROUND(((ES206*1)),6)</f>
        <v>3.71</v>
      </c>
      <c r="AD206" s="2">
        <f>ROUND(((((ET206*1.2))-((EU206*1.2)))+AE206),6)</f>
        <v>0.06</v>
      </c>
      <c r="AE206" s="2">
        <f>ROUND(((EU206*1.2)),6)</f>
        <v>1.2E-2</v>
      </c>
      <c r="AF206" s="2">
        <f>ROUND(((EV206*1.2)),6)</f>
        <v>39.084000000000003</v>
      </c>
      <c r="AG206" s="2">
        <f t="shared" si="168"/>
        <v>0</v>
      </c>
      <c r="AH206" s="2">
        <f>((EW206*1.2))</f>
        <v>2.88</v>
      </c>
      <c r="AI206" s="2">
        <f>((EX206*1.2))</f>
        <v>0</v>
      </c>
      <c r="AJ206" s="2">
        <f t="shared" si="170"/>
        <v>0</v>
      </c>
      <c r="AK206" s="2">
        <v>36.33</v>
      </c>
      <c r="AL206" s="2">
        <v>3.71</v>
      </c>
      <c r="AM206" s="2">
        <v>0.05</v>
      </c>
      <c r="AN206" s="2">
        <v>0.01</v>
      </c>
      <c r="AO206" s="2">
        <v>32.57</v>
      </c>
      <c r="AP206" s="2">
        <v>0</v>
      </c>
      <c r="AQ206" s="2">
        <v>2.4</v>
      </c>
      <c r="AR206" s="2">
        <v>0</v>
      </c>
      <c r="AS206" s="2">
        <v>0</v>
      </c>
      <c r="AT206" s="2">
        <v>90</v>
      </c>
      <c r="AU206" s="2">
        <v>46</v>
      </c>
      <c r="AV206" s="2">
        <v>1.0469999999999999</v>
      </c>
      <c r="AW206" s="2">
        <v>1</v>
      </c>
      <c r="AX206" s="2"/>
      <c r="AY206" s="2"/>
      <c r="AZ206" s="2">
        <v>1</v>
      </c>
      <c r="BA206" s="2">
        <v>1</v>
      </c>
      <c r="BB206" s="2">
        <v>1</v>
      </c>
      <c r="BC206" s="2">
        <v>1</v>
      </c>
      <c r="BD206" s="2" t="s">
        <v>3</v>
      </c>
      <c r="BE206" s="2" t="s">
        <v>3</v>
      </c>
      <c r="BF206" s="2" t="s">
        <v>3</v>
      </c>
      <c r="BG206" s="2" t="s">
        <v>3</v>
      </c>
      <c r="BH206" s="2">
        <v>0</v>
      </c>
      <c r="BI206" s="2">
        <v>2</v>
      </c>
      <c r="BJ206" s="2" t="s">
        <v>273</v>
      </c>
      <c r="BK206" s="2"/>
      <c r="BL206" s="2"/>
      <c r="BM206" s="2">
        <v>68</v>
      </c>
      <c r="BN206" s="2">
        <v>0</v>
      </c>
      <c r="BO206" s="2" t="s">
        <v>271</v>
      </c>
      <c r="BP206" s="2">
        <v>1</v>
      </c>
      <c r="BQ206" s="2">
        <v>40</v>
      </c>
      <c r="BR206" s="2">
        <v>0</v>
      </c>
      <c r="BS206" s="2">
        <v>1</v>
      </c>
      <c r="BT206" s="2">
        <v>1</v>
      </c>
      <c r="BU206" s="2">
        <v>1</v>
      </c>
      <c r="BV206" s="2">
        <v>1</v>
      </c>
      <c r="BW206" s="2">
        <v>1</v>
      </c>
      <c r="BX206" s="2">
        <v>1</v>
      </c>
      <c r="BY206" s="2" t="s">
        <v>3</v>
      </c>
      <c r="BZ206" s="2">
        <v>90</v>
      </c>
      <c r="CA206" s="2">
        <v>46</v>
      </c>
      <c r="CB206" s="2" t="s">
        <v>3</v>
      </c>
      <c r="CC206" s="2"/>
      <c r="CD206" s="2"/>
      <c r="CE206" s="2">
        <v>1566</v>
      </c>
      <c r="CF206" s="2">
        <v>0</v>
      </c>
      <c r="CG206" s="2">
        <v>0</v>
      </c>
      <c r="CH206" s="2"/>
      <c r="CI206" s="2"/>
      <c r="CJ206" s="2"/>
      <c r="CK206" s="2"/>
      <c r="CL206" s="2"/>
      <c r="CM206" s="2">
        <v>0</v>
      </c>
      <c r="CN206" s="2" t="s">
        <v>624</v>
      </c>
      <c r="CO206" s="2">
        <v>0</v>
      </c>
      <c r="CP206" s="2">
        <f t="shared" si="171"/>
        <v>44.690000000000005</v>
      </c>
      <c r="CQ206" s="2">
        <f t="shared" si="172"/>
        <v>3.71</v>
      </c>
      <c r="CR206" s="2">
        <f>(ROUND((ROUND((((ET206*1.2))*AV206*1),2)*BB206),2)+ROUND((ROUND(((AE206-((EU206*1.2)))*AV206*1),2)*BS206),2))</f>
        <v>0.06</v>
      </c>
      <c r="CS206" s="2">
        <f>(ROUND((ROUND((((EU206*1.2))*AV206*1),2)*BS206),2)+ROUND((ROUND(((AE206-((EU206*1.2)))*AV206*1),2)*BS206),2))</f>
        <v>0.01</v>
      </c>
      <c r="CT206" s="2">
        <f t="shared" si="173"/>
        <v>40.92</v>
      </c>
      <c r="CU206" s="2">
        <f t="shared" si="174"/>
        <v>0</v>
      </c>
      <c r="CV206" s="2">
        <f t="shared" si="175"/>
        <v>3.0153599999999998</v>
      </c>
      <c r="CW206" s="2">
        <f t="shared" si="176"/>
        <v>0</v>
      </c>
      <c r="CX206" s="2">
        <f t="shared" si="177"/>
        <v>0</v>
      </c>
      <c r="CY206" s="2">
        <f>(ROUND((((S206+ROUND((ROUND((((EU206*1.2))*AV206*1),2)*BS206),2))*AT206)/100),2)+ROUND(((ROUND((ROUND(((AE206-((EU206*1.2)))*AV206*1),2)*BS206),2)*AT206)/100),2))</f>
        <v>36.840000000000003</v>
      </c>
      <c r="CZ206" s="2">
        <f>(ROUND((((S206+ROUND((ROUND((((EU206*1.2))*AV206*1),2)*BS206),2))*AU206)/100),2)+ROUND(((ROUND((ROUND(((AE206-((EU206*1.2)))*AV206*1),2)*BS206),2)*AU206)/100),2))</f>
        <v>18.829999999999998</v>
      </c>
      <c r="DA206" s="2"/>
      <c r="DB206" s="2">
        <v>81</v>
      </c>
      <c r="DC206" s="2" t="s">
        <v>3</v>
      </c>
      <c r="DD206" s="2" t="s">
        <v>70</v>
      </c>
      <c r="DE206" s="2" t="s">
        <v>71</v>
      </c>
      <c r="DF206" s="2" t="s">
        <v>71</v>
      </c>
      <c r="DG206" s="2" t="s">
        <v>71</v>
      </c>
      <c r="DH206" s="2" t="s">
        <v>3</v>
      </c>
      <c r="DI206" s="2" t="s">
        <v>71</v>
      </c>
      <c r="DJ206" s="2" t="s">
        <v>71</v>
      </c>
      <c r="DK206" s="2" t="s">
        <v>3</v>
      </c>
      <c r="DL206" s="2" t="s">
        <v>3</v>
      </c>
      <c r="DM206" s="2" t="s">
        <v>3</v>
      </c>
      <c r="DN206" s="2">
        <v>0</v>
      </c>
      <c r="DO206" s="2">
        <v>0</v>
      </c>
      <c r="DP206" s="2">
        <v>1</v>
      </c>
      <c r="DQ206" s="2">
        <v>1</v>
      </c>
      <c r="DR206" s="2"/>
      <c r="DS206" s="2"/>
      <c r="DT206" s="2"/>
      <c r="DU206" s="2">
        <v>1013</v>
      </c>
      <c r="DV206" s="2" t="s">
        <v>27</v>
      </c>
      <c r="DW206" s="2" t="s">
        <v>27</v>
      </c>
      <c r="DX206" s="2">
        <v>1</v>
      </c>
      <c r="DY206" s="2"/>
      <c r="DZ206" s="2" t="s">
        <v>3</v>
      </c>
      <c r="EA206" s="2" t="s">
        <v>3</v>
      </c>
      <c r="EB206" s="2" t="s">
        <v>3</v>
      </c>
      <c r="EC206" s="2" t="s">
        <v>3</v>
      </c>
      <c r="ED206" s="2"/>
      <c r="EE206" s="2">
        <v>57042958</v>
      </c>
      <c r="EF206" s="2">
        <v>40</v>
      </c>
      <c r="EG206" s="2" t="s">
        <v>31</v>
      </c>
      <c r="EH206" s="2">
        <v>0</v>
      </c>
      <c r="EI206" s="2" t="s">
        <v>3</v>
      </c>
      <c r="EJ206" s="2">
        <v>2</v>
      </c>
      <c r="EK206" s="2">
        <v>68</v>
      </c>
      <c r="EL206" s="2" t="s">
        <v>32</v>
      </c>
      <c r="EM206" s="2" t="s">
        <v>33</v>
      </c>
      <c r="EN206" s="2"/>
      <c r="EO206" s="2" t="s">
        <v>75</v>
      </c>
      <c r="EP206" s="2"/>
      <c r="EQ206" s="2">
        <v>0</v>
      </c>
      <c r="ER206" s="2">
        <v>36.33</v>
      </c>
      <c r="ES206" s="2">
        <v>3.71</v>
      </c>
      <c r="ET206" s="2">
        <v>0.05</v>
      </c>
      <c r="EU206" s="2">
        <v>0.01</v>
      </c>
      <c r="EV206" s="2">
        <v>32.57</v>
      </c>
      <c r="EW206" s="2">
        <v>2.4</v>
      </c>
      <c r="EX206" s="2">
        <v>0</v>
      </c>
      <c r="EY206" s="2">
        <v>0</v>
      </c>
      <c r="EZ206" s="2"/>
      <c r="FA206" s="2"/>
      <c r="FB206" s="2"/>
      <c r="FC206" s="2"/>
      <c r="FD206" s="2"/>
      <c r="FE206" s="2"/>
      <c r="FF206" s="2"/>
      <c r="FG206" s="2"/>
      <c r="FH206" s="2"/>
      <c r="FI206" s="2"/>
      <c r="FJ206" s="2"/>
      <c r="FK206" s="2"/>
      <c r="FL206" s="2"/>
      <c r="FM206" s="2"/>
      <c r="FN206" s="2"/>
      <c r="FO206" s="2"/>
      <c r="FP206" s="2"/>
      <c r="FQ206" s="2">
        <v>0</v>
      </c>
      <c r="FR206" s="2">
        <v>0</v>
      </c>
      <c r="FS206" s="2">
        <v>0</v>
      </c>
      <c r="FT206" s="2"/>
      <c r="FU206" s="2"/>
      <c r="FV206" s="2"/>
      <c r="FW206" s="2"/>
      <c r="FX206" s="2">
        <v>90</v>
      </c>
      <c r="FY206" s="2">
        <v>46</v>
      </c>
      <c r="FZ206" s="2"/>
      <c r="GA206" s="2" t="s">
        <v>3</v>
      </c>
      <c r="GB206" s="2"/>
      <c r="GC206" s="2"/>
      <c r="GD206" s="2">
        <v>1</v>
      </c>
      <c r="GE206" s="2"/>
      <c r="GF206" s="2">
        <v>-836136775</v>
      </c>
      <c r="GG206" s="2">
        <v>2</v>
      </c>
      <c r="GH206" s="2">
        <v>1</v>
      </c>
      <c r="GI206" s="2">
        <v>2</v>
      </c>
      <c r="GJ206" s="2">
        <v>0</v>
      </c>
      <c r="GK206" s="2">
        <v>0</v>
      </c>
      <c r="GL206" s="2">
        <f t="shared" si="178"/>
        <v>0</v>
      </c>
      <c r="GM206" s="2">
        <f t="shared" si="179"/>
        <v>100.36</v>
      </c>
      <c r="GN206" s="2">
        <f t="shared" si="180"/>
        <v>0</v>
      </c>
      <c r="GO206" s="2">
        <f t="shared" si="181"/>
        <v>100.36</v>
      </c>
      <c r="GP206" s="2">
        <f t="shared" si="182"/>
        <v>0</v>
      </c>
      <c r="GQ206" s="2"/>
      <c r="GR206" s="2">
        <v>0</v>
      </c>
      <c r="GS206" s="2">
        <v>3</v>
      </c>
      <c r="GT206" s="2">
        <v>0</v>
      </c>
      <c r="GU206" s="2" t="s">
        <v>3</v>
      </c>
      <c r="GV206" s="2">
        <f t="shared" si="183"/>
        <v>0</v>
      </c>
      <c r="GW206" s="2">
        <v>1</v>
      </c>
      <c r="GX206" s="2">
        <f t="shared" si="184"/>
        <v>0</v>
      </c>
      <c r="GY206" s="2"/>
      <c r="GZ206" s="2"/>
      <c r="HA206" s="2">
        <v>0</v>
      </c>
      <c r="HB206" s="2">
        <v>0</v>
      </c>
      <c r="HC206" s="2">
        <f t="shared" si="185"/>
        <v>0</v>
      </c>
      <c r="HD206" s="2"/>
      <c r="HE206" s="2" t="s">
        <v>3</v>
      </c>
      <c r="HF206" s="2" t="s">
        <v>3</v>
      </c>
      <c r="HG206" s="2"/>
      <c r="HH206" s="2"/>
      <c r="HI206" s="2"/>
      <c r="HJ206" s="2"/>
      <c r="HK206" s="2"/>
      <c r="HL206" s="2"/>
      <c r="HM206" s="2" t="s">
        <v>3</v>
      </c>
      <c r="HN206" s="2" t="s">
        <v>3</v>
      </c>
      <c r="HO206" s="2" t="s">
        <v>3</v>
      </c>
      <c r="HP206" s="2" t="s">
        <v>3</v>
      </c>
      <c r="HQ206" s="2" t="s">
        <v>3</v>
      </c>
      <c r="HR206" s="2"/>
      <c r="HS206" s="2">
        <v>0</v>
      </c>
      <c r="HT206" s="2"/>
      <c r="HU206" s="2"/>
      <c r="HV206" s="2"/>
      <c r="HW206" s="2"/>
      <c r="HX206" s="2"/>
      <c r="HY206" s="2"/>
      <c r="HZ206" s="2"/>
      <c r="IA206" s="2"/>
      <c r="IB206" s="2"/>
      <c r="IC206" s="2"/>
      <c r="ID206" s="2"/>
      <c r="IE206" s="2"/>
      <c r="IF206" s="2"/>
      <c r="IG206" s="2"/>
      <c r="IH206" s="2"/>
      <c r="II206" s="2"/>
      <c r="IJ206" s="2"/>
      <c r="IK206" s="2">
        <v>0</v>
      </c>
      <c r="IL206" s="2"/>
      <c r="IM206" s="2"/>
      <c r="IN206" s="2"/>
      <c r="IO206" s="2"/>
      <c r="IP206" s="2"/>
      <c r="IQ206" s="2"/>
      <c r="IR206" s="2"/>
      <c r="IS206" s="2"/>
      <c r="IT206" s="2"/>
      <c r="IU206" s="2"/>
    </row>
    <row r="207" spans="1:255" x14ac:dyDescent="0.25">
      <c r="A207" s="3">
        <v>17</v>
      </c>
      <c r="B207" s="3">
        <v>1</v>
      </c>
      <c r="C207" s="3">
        <f>ROW(SmtRes!A204)</f>
        <v>204</v>
      </c>
      <c r="D207" s="3">
        <f>ROW(EtalonRes!A262)</f>
        <v>262</v>
      </c>
      <c r="E207" s="3" t="s">
        <v>270</v>
      </c>
      <c r="F207" s="3" t="s">
        <v>271</v>
      </c>
      <c r="G207" s="3" t="s">
        <v>272</v>
      </c>
      <c r="H207" s="3" t="s">
        <v>27</v>
      </c>
      <c r="I207" s="3">
        <v>1</v>
      </c>
      <c r="J207" s="3">
        <v>0</v>
      </c>
      <c r="K207" s="3">
        <v>1</v>
      </c>
      <c r="O207" s="3">
        <f t="shared" si="159"/>
        <v>2343.5500000000002</v>
      </c>
      <c r="P207" s="3">
        <f t="shared" si="160"/>
        <v>36.51</v>
      </c>
      <c r="Q207" s="3">
        <f>(ROUND((ROUND((((ET207*1.2))*AV207*I207),2)*BB207),2)+ROUND((ROUND(((AE207-((EU207*1.2)))*AV207*I207),2)*BS207),2))</f>
        <v>1.2</v>
      </c>
      <c r="R207" s="3">
        <f>(ROUND((ROUND((((EU207*1.2))*AV207*I207),2)*BS207),2)+ROUND((ROUND(((AE207-((EU207*1.2)))*AV207*I207),2)*BS207),2))</f>
        <v>0.56000000000000005</v>
      </c>
      <c r="S207" s="3">
        <f t="shared" si="161"/>
        <v>2305.84</v>
      </c>
      <c r="T207" s="3">
        <f t="shared" si="162"/>
        <v>0</v>
      </c>
      <c r="U207" s="3">
        <f t="shared" si="163"/>
        <v>3.0153599999999998</v>
      </c>
      <c r="V207" s="3">
        <f t="shared" si="164"/>
        <v>0</v>
      </c>
      <c r="W207" s="3">
        <f t="shared" si="165"/>
        <v>0</v>
      </c>
      <c r="X207" s="3">
        <f>(ROUND((((S207+ROUND((ROUND((((EU207*1.2))*AV207*I207),2)*BS207),2))*AT207)/100),2)+ROUND(((ROUND((ROUND(((AE207-((EU207*1.2)))*AV207*I207),2)*BS207),2)*AT207)/100),2))</f>
        <v>2075.7600000000002</v>
      </c>
      <c r="Y207" s="3">
        <f>(ROUND((((S207+ROUND((ROUND((((EU207*1.2))*AV207*I207),2)*BS207),2))*AU207)/100),2)+ROUND(((ROUND((ROUND(((AE207-((EU207*1.2)))*AV207*I207),2)*BS207),2)*AU207)/100),2))</f>
        <v>1060.94</v>
      </c>
      <c r="AA207" s="3">
        <v>57014140</v>
      </c>
      <c r="AB207" s="3">
        <f t="shared" si="166"/>
        <v>42.853999999999999</v>
      </c>
      <c r="AC207" s="3">
        <f>ROUND(((ES207*1)),6)</f>
        <v>3.71</v>
      </c>
      <c r="AD207" s="3">
        <f>ROUND(((((ET207*1.2))-((EU207*1.2)))+AE207),6)</f>
        <v>0.06</v>
      </c>
      <c r="AE207" s="3">
        <f>ROUND(((EU207*1.2)),6)</f>
        <v>1.2E-2</v>
      </c>
      <c r="AF207" s="3">
        <f>ROUND(((EV207*1.2)),6)</f>
        <v>39.084000000000003</v>
      </c>
      <c r="AG207" s="3">
        <f t="shared" si="168"/>
        <v>0</v>
      </c>
      <c r="AH207" s="3">
        <f>((EW207*1.2))</f>
        <v>2.88</v>
      </c>
      <c r="AI207" s="3">
        <f>((EX207*1.2))</f>
        <v>0</v>
      </c>
      <c r="AJ207" s="3">
        <f t="shared" si="170"/>
        <v>0</v>
      </c>
      <c r="AK207" s="3">
        <v>36.33</v>
      </c>
      <c r="AL207" s="3">
        <v>3.71</v>
      </c>
      <c r="AM207" s="3">
        <v>0.05</v>
      </c>
      <c r="AN207" s="3">
        <v>0.01</v>
      </c>
      <c r="AO207" s="3">
        <v>32.57</v>
      </c>
      <c r="AP207" s="3">
        <v>0</v>
      </c>
      <c r="AQ207" s="3">
        <v>2.4</v>
      </c>
      <c r="AR207" s="3">
        <v>0</v>
      </c>
      <c r="AS207" s="3">
        <v>0</v>
      </c>
      <c r="AT207" s="3">
        <v>90</v>
      </c>
      <c r="AU207" s="3">
        <v>46</v>
      </c>
      <c r="AV207" s="3">
        <v>1.0469999999999999</v>
      </c>
      <c r="AW207" s="3">
        <v>1</v>
      </c>
      <c r="AZ207" s="3">
        <v>1</v>
      </c>
      <c r="BA207" s="3">
        <v>56.35</v>
      </c>
      <c r="BB207" s="3">
        <v>20</v>
      </c>
      <c r="BC207" s="3">
        <v>9.84</v>
      </c>
      <c r="BD207" s="3" t="s">
        <v>3</v>
      </c>
      <c r="BE207" s="3" t="s">
        <v>3</v>
      </c>
      <c r="BF207" s="3" t="s">
        <v>3</v>
      </c>
      <c r="BG207" s="3" t="s">
        <v>3</v>
      </c>
      <c r="BH207" s="3">
        <v>0</v>
      </c>
      <c r="BI207" s="3">
        <v>2</v>
      </c>
      <c r="BJ207" s="3" t="s">
        <v>273</v>
      </c>
      <c r="BM207" s="3">
        <v>68</v>
      </c>
      <c r="BN207" s="3">
        <v>0</v>
      </c>
      <c r="BO207" s="3" t="s">
        <v>271</v>
      </c>
      <c r="BP207" s="3">
        <v>1</v>
      </c>
      <c r="BQ207" s="3">
        <v>40</v>
      </c>
      <c r="BR207" s="3">
        <v>0</v>
      </c>
      <c r="BS207" s="3">
        <v>56.35</v>
      </c>
      <c r="BT207" s="3">
        <v>1</v>
      </c>
      <c r="BU207" s="3">
        <v>1</v>
      </c>
      <c r="BV207" s="3">
        <v>1</v>
      </c>
      <c r="BW207" s="3">
        <v>1</v>
      </c>
      <c r="BX207" s="3">
        <v>1</v>
      </c>
      <c r="BY207" s="3" t="s">
        <v>3</v>
      </c>
      <c r="BZ207" s="3">
        <v>90</v>
      </c>
      <c r="CA207" s="3">
        <v>46</v>
      </c>
      <c r="CB207" s="3" t="s">
        <v>3</v>
      </c>
      <c r="CE207" s="3">
        <v>1566</v>
      </c>
      <c r="CF207" s="3">
        <v>0</v>
      </c>
      <c r="CG207" s="3">
        <v>0</v>
      </c>
      <c r="CM207" s="3">
        <v>0</v>
      </c>
      <c r="CN207" s="3" t="s">
        <v>624</v>
      </c>
      <c r="CO207" s="3">
        <v>0</v>
      </c>
      <c r="CP207" s="3">
        <f t="shared" si="171"/>
        <v>2343.5500000000002</v>
      </c>
      <c r="CQ207" s="3">
        <f t="shared" si="172"/>
        <v>36.51</v>
      </c>
      <c r="CR207" s="3">
        <f>(ROUND((ROUND((((ET207*1.2))*AV207*1),2)*BB207),2)+ROUND((ROUND(((AE207-((EU207*1.2)))*AV207*1),2)*BS207),2))</f>
        <v>1.2</v>
      </c>
      <c r="CS207" s="3">
        <f>(ROUND((ROUND((((EU207*1.2))*AV207*1),2)*BS207),2)+ROUND((ROUND(((AE207-((EU207*1.2)))*AV207*1),2)*BS207),2))</f>
        <v>0.56000000000000005</v>
      </c>
      <c r="CT207" s="3">
        <f t="shared" si="173"/>
        <v>2305.84</v>
      </c>
      <c r="CU207" s="3">
        <f t="shared" si="174"/>
        <v>0</v>
      </c>
      <c r="CV207" s="3">
        <f t="shared" si="175"/>
        <v>3.0153599999999998</v>
      </c>
      <c r="CW207" s="3">
        <f t="shared" si="176"/>
        <v>0</v>
      </c>
      <c r="CX207" s="3">
        <f t="shared" si="177"/>
        <v>0</v>
      </c>
      <c r="CY207" s="3">
        <f>(ROUND((((S207+ROUND((ROUND((((EU207*1.2))*AV207*1),2)*BS207),2))*AT207)/100),2)+ROUND(((ROUND((ROUND(((AE207-((EU207*1.2)))*AV207*1),2)*BS207),2)*AT207)/100),2))</f>
        <v>2075.7600000000002</v>
      </c>
      <c r="CZ207" s="3">
        <f>(ROUND((((S207+ROUND((ROUND((((EU207*1.2))*AV207*1),2)*BS207),2))*AU207)/100),2)+ROUND(((ROUND((ROUND(((AE207-((EU207*1.2)))*AV207*1),2)*BS207),2)*AU207)/100),2))</f>
        <v>1060.94</v>
      </c>
      <c r="DB207" s="3">
        <v>82</v>
      </c>
      <c r="DC207" s="3" t="s">
        <v>3</v>
      </c>
      <c r="DD207" s="3" t="s">
        <v>70</v>
      </c>
      <c r="DE207" s="3" t="s">
        <v>71</v>
      </c>
      <c r="DF207" s="3" t="s">
        <v>71</v>
      </c>
      <c r="DG207" s="3" t="s">
        <v>71</v>
      </c>
      <c r="DH207" s="3" t="s">
        <v>3</v>
      </c>
      <c r="DI207" s="3" t="s">
        <v>71</v>
      </c>
      <c r="DJ207" s="3" t="s">
        <v>71</v>
      </c>
      <c r="DK207" s="3" t="s">
        <v>3</v>
      </c>
      <c r="DL207" s="3" t="s">
        <v>3</v>
      </c>
      <c r="DM207" s="3" t="s">
        <v>3</v>
      </c>
      <c r="DN207" s="3">
        <v>0</v>
      </c>
      <c r="DO207" s="3">
        <v>0</v>
      </c>
      <c r="DP207" s="3">
        <v>1</v>
      </c>
      <c r="DQ207" s="3">
        <v>1</v>
      </c>
      <c r="DU207" s="3">
        <v>1013</v>
      </c>
      <c r="DV207" s="3" t="s">
        <v>27</v>
      </c>
      <c r="DW207" s="3" t="s">
        <v>27</v>
      </c>
      <c r="DX207" s="3">
        <v>1</v>
      </c>
      <c r="DZ207" s="3" t="s">
        <v>3</v>
      </c>
      <c r="EA207" s="3" t="s">
        <v>3</v>
      </c>
      <c r="EB207" s="3" t="s">
        <v>3</v>
      </c>
      <c r="EC207" s="3" t="s">
        <v>3</v>
      </c>
      <c r="EE207" s="3">
        <v>57042958</v>
      </c>
      <c r="EF207" s="3">
        <v>40</v>
      </c>
      <c r="EG207" s="3" t="s">
        <v>31</v>
      </c>
      <c r="EH207" s="3">
        <v>0</v>
      </c>
      <c r="EI207" s="3" t="s">
        <v>3</v>
      </c>
      <c r="EJ207" s="3">
        <v>2</v>
      </c>
      <c r="EK207" s="3">
        <v>68</v>
      </c>
      <c r="EL207" s="3" t="s">
        <v>32</v>
      </c>
      <c r="EM207" s="3" t="s">
        <v>33</v>
      </c>
      <c r="EO207" s="3" t="s">
        <v>75</v>
      </c>
      <c r="EQ207" s="3">
        <v>0</v>
      </c>
      <c r="ER207" s="3">
        <v>36.33</v>
      </c>
      <c r="ES207" s="3">
        <v>3.71</v>
      </c>
      <c r="ET207" s="3">
        <v>0.05</v>
      </c>
      <c r="EU207" s="3">
        <v>0.01</v>
      </c>
      <c r="EV207" s="3">
        <v>32.57</v>
      </c>
      <c r="EW207" s="3">
        <v>2.4</v>
      </c>
      <c r="EX207" s="3">
        <v>0</v>
      </c>
      <c r="EY207" s="3">
        <v>0</v>
      </c>
      <c r="FQ207" s="3">
        <v>0</v>
      </c>
      <c r="FR207" s="3">
        <v>0</v>
      </c>
      <c r="FS207" s="3">
        <v>0</v>
      </c>
      <c r="FX207" s="3">
        <v>90</v>
      </c>
      <c r="FY207" s="3">
        <v>46</v>
      </c>
      <c r="GA207" s="3" t="s">
        <v>3</v>
      </c>
      <c r="GD207" s="3">
        <v>1</v>
      </c>
      <c r="GF207" s="3">
        <v>-836136775</v>
      </c>
      <c r="GG207" s="3">
        <v>2</v>
      </c>
      <c r="GH207" s="3">
        <v>1</v>
      </c>
      <c r="GI207" s="3">
        <v>2</v>
      </c>
      <c r="GJ207" s="3">
        <v>0</v>
      </c>
      <c r="GK207" s="3">
        <v>0</v>
      </c>
      <c r="GL207" s="3">
        <f t="shared" si="178"/>
        <v>0</v>
      </c>
      <c r="GM207" s="3">
        <f t="shared" si="179"/>
        <v>5480.25</v>
      </c>
      <c r="GN207" s="3">
        <f t="shared" si="180"/>
        <v>0</v>
      </c>
      <c r="GO207" s="3">
        <f t="shared" si="181"/>
        <v>5480.25</v>
      </c>
      <c r="GP207" s="3">
        <f t="shared" si="182"/>
        <v>0</v>
      </c>
      <c r="GR207" s="3">
        <v>0</v>
      </c>
      <c r="GS207" s="3">
        <v>3</v>
      </c>
      <c r="GT207" s="3">
        <v>0</v>
      </c>
      <c r="GU207" s="3" t="s">
        <v>3</v>
      </c>
      <c r="GV207" s="3">
        <f t="shared" si="183"/>
        <v>0</v>
      </c>
      <c r="GW207" s="3">
        <v>1</v>
      </c>
      <c r="GX207" s="3">
        <f t="shared" si="184"/>
        <v>0</v>
      </c>
      <c r="HA207" s="3">
        <v>0</v>
      </c>
      <c r="HB207" s="3">
        <v>0</v>
      </c>
      <c r="HC207" s="3">
        <f t="shared" si="185"/>
        <v>0</v>
      </c>
      <c r="HE207" s="3" t="s">
        <v>3</v>
      </c>
      <c r="HF207" s="3" t="s">
        <v>3</v>
      </c>
      <c r="HM207" s="3" t="s">
        <v>3</v>
      </c>
      <c r="HN207" s="3" t="s">
        <v>3</v>
      </c>
      <c r="HO207" s="3" t="s">
        <v>3</v>
      </c>
      <c r="HP207" s="3" t="s">
        <v>3</v>
      </c>
      <c r="HQ207" s="3" t="s">
        <v>3</v>
      </c>
      <c r="HS207" s="3">
        <v>0</v>
      </c>
      <c r="IK207" s="3">
        <v>0</v>
      </c>
    </row>
    <row r="208" spans="1:255" x14ac:dyDescent="0.25">
      <c r="A208" s="2">
        <v>17</v>
      </c>
      <c r="B208" s="2">
        <v>1</v>
      </c>
      <c r="C208" s="2"/>
      <c r="D208" s="2"/>
      <c r="E208" s="2" t="s">
        <v>274</v>
      </c>
      <c r="F208" s="2" t="s">
        <v>275</v>
      </c>
      <c r="G208" s="2" t="s">
        <v>276</v>
      </c>
      <c r="H208" s="2" t="s">
        <v>152</v>
      </c>
      <c r="I208" s="2">
        <v>1</v>
      </c>
      <c r="J208" s="2">
        <v>0</v>
      </c>
      <c r="K208" s="2">
        <v>1</v>
      </c>
      <c r="L208" s="2"/>
      <c r="M208" s="2"/>
      <c r="N208" s="2"/>
      <c r="O208" s="2">
        <f t="shared" si="159"/>
        <v>189.95</v>
      </c>
      <c r="P208" s="2">
        <f t="shared" si="160"/>
        <v>189.95</v>
      </c>
      <c r="Q208" s="2">
        <f>(ROUND((ROUND(((ET208)*AV208*I208),2)*BB208),2)+ROUND((ROUND(((AE208-(EU208))*AV208*I208),2)*BS208),2))</f>
        <v>0</v>
      </c>
      <c r="R208" s="2">
        <f>(ROUND((ROUND(((EU208)*AV208*I208),2)*BS208),2)+ROUND((ROUND(((AE208-(EU208))*AV208*I208),2)*BS208),2))</f>
        <v>0</v>
      </c>
      <c r="S208" s="2">
        <f t="shared" si="161"/>
        <v>0</v>
      </c>
      <c r="T208" s="2">
        <f t="shared" si="162"/>
        <v>0</v>
      </c>
      <c r="U208" s="2">
        <f t="shared" si="163"/>
        <v>0</v>
      </c>
      <c r="V208" s="2">
        <f t="shared" si="164"/>
        <v>0</v>
      </c>
      <c r="W208" s="2">
        <f t="shared" si="165"/>
        <v>0</v>
      </c>
      <c r="X208" s="2">
        <f>(ROUND((((S208+ROUND((ROUND(((EU208)*AV208*I208),2)*BS208),2))*AT208)/100),2)+ROUND(((ROUND((ROUND(((AE208-(EU208))*AV208*I208),2)*BS208),2)*AT208)/100),2))</f>
        <v>0</v>
      </c>
      <c r="Y208" s="2">
        <f>(ROUND((((S208+ROUND((ROUND(((EU208)*AV208*I208),2)*BS208),2))*AU208)/100),2)+ROUND(((ROUND((ROUND(((AE208-(EU208))*AV208*I208),2)*BS208),2)*AU208)/100),2))</f>
        <v>0</v>
      </c>
      <c r="Z208" s="2"/>
      <c r="AA208" s="2">
        <v>57014138</v>
      </c>
      <c r="AB208" s="2">
        <f t="shared" si="166"/>
        <v>189.95</v>
      </c>
      <c r="AC208" s="2">
        <f>ROUND((ES208),6)</f>
        <v>189.95</v>
      </c>
      <c r="AD208" s="2">
        <f>ROUND((((ET208)-(EU208))+AE208),6)</f>
        <v>0</v>
      </c>
      <c r="AE208" s="2">
        <f>ROUND((EU208),6)</f>
        <v>0</v>
      </c>
      <c r="AF208" s="2">
        <f>ROUND((EV208),6)</f>
        <v>0</v>
      </c>
      <c r="AG208" s="2">
        <f t="shared" si="168"/>
        <v>0</v>
      </c>
      <c r="AH208" s="2">
        <f>(EW208)</f>
        <v>0</v>
      </c>
      <c r="AI208" s="2">
        <f>(EX208)</f>
        <v>0</v>
      </c>
      <c r="AJ208" s="2">
        <f t="shared" si="170"/>
        <v>0</v>
      </c>
      <c r="AK208" s="2">
        <v>189.95</v>
      </c>
      <c r="AL208" s="2">
        <v>189.95</v>
      </c>
      <c r="AM208" s="2">
        <v>0</v>
      </c>
      <c r="AN208" s="2">
        <v>0</v>
      </c>
      <c r="AO208" s="2">
        <v>0</v>
      </c>
      <c r="AP208" s="2">
        <v>0</v>
      </c>
      <c r="AQ208" s="2">
        <v>0</v>
      </c>
      <c r="AR208" s="2">
        <v>0</v>
      </c>
      <c r="AS208" s="2">
        <v>0</v>
      </c>
      <c r="AT208" s="2">
        <v>0</v>
      </c>
      <c r="AU208" s="2">
        <v>0</v>
      </c>
      <c r="AV208" s="2">
        <v>1</v>
      </c>
      <c r="AW208" s="2">
        <v>1</v>
      </c>
      <c r="AX208" s="2"/>
      <c r="AY208" s="2"/>
      <c r="AZ208" s="2">
        <v>1</v>
      </c>
      <c r="BA208" s="2">
        <v>1</v>
      </c>
      <c r="BB208" s="2">
        <v>1</v>
      </c>
      <c r="BC208" s="2">
        <v>1</v>
      </c>
      <c r="BD208" s="2" t="s">
        <v>3</v>
      </c>
      <c r="BE208" s="2" t="s">
        <v>3</v>
      </c>
      <c r="BF208" s="2" t="s">
        <v>3</v>
      </c>
      <c r="BG208" s="2" t="s">
        <v>3</v>
      </c>
      <c r="BH208" s="2">
        <v>3</v>
      </c>
      <c r="BI208" s="2">
        <v>3</v>
      </c>
      <c r="BJ208" s="2" t="s">
        <v>275</v>
      </c>
      <c r="BK208" s="2"/>
      <c r="BL208" s="2"/>
      <c r="BM208" s="2">
        <v>400007</v>
      </c>
      <c r="BN208" s="2">
        <v>0</v>
      </c>
      <c r="BO208" s="2" t="s">
        <v>3</v>
      </c>
      <c r="BP208" s="2">
        <v>0</v>
      </c>
      <c r="BQ208" s="2">
        <v>214</v>
      </c>
      <c r="BR208" s="2">
        <v>0</v>
      </c>
      <c r="BS208" s="2">
        <v>1</v>
      </c>
      <c r="BT208" s="2">
        <v>1</v>
      </c>
      <c r="BU208" s="2">
        <v>1</v>
      </c>
      <c r="BV208" s="2">
        <v>1</v>
      </c>
      <c r="BW208" s="2">
        <v>1</v>
      </c>
      <c r="BX208" s="2">
        <v>1</v>
      </c>
      <c r="BY208" s="2" t="s">
        <v>3</v>
      </c>
      <c r="BZ208" s="2">
        <v>0</v>
      </c>
      <c r="CA208" s="2">
        <v>0</v>
      </c>
      <c r="CB208" s="2" t="s">
        <v>3</v>
      </c>
      <c r="CC208" s="2"/>
      <c r="CD208" s="2"/>
      <c r="CE208" s="2">
        <v>1566</v>
      </c>
      <c r="CF208" s="2">
        <v>0</v>
      </c>
      <c r="CG208" s="2">
        <v>0</v>
      </c>
      <c r="CH208" s="2"/>
      <c r="CI208" s="2"/>
      <c r="CJ208" s="2"/>
      <c r="CK208" s="2"/>
      <c r="CL208" s="2"/>
      <c r="CM208" s="2">
        <v>0</v>
      </c>
      <c r="CN208" s="2" t="s">
        <v>3</v>
      </c>
      <c r="CO208" s="2">
        <v>0</v>
      </c>
      <c r="CP208" s="2">
        <f t="shared" si="171"/>
        <v>189.95</v>
      </c>
      <c r="CQ208" s="2">
        <f t="shared" si="172"/>
        <v>189.95</v>
      </c>
      <c r="CR208" s="2">
        <f>(ROUND((ROUND(((ET208)*AV208*1),2)*BB208),2)+ROUND((ROUND(((AE208-(EU208))*AV208*1),2)*BS208),2))</f>
        <v>0</v>
      </c>
      <c r="CS208" s="2">
        <f>(ROUND((ROUND(((EU208)*AV208*1),2)*BS208),2)+ROUND((ROUND(((AE208-(EU208))*AV208*1),2)*BS208),2))</f>
        <v>0</v>
      </c>
      <c r="CT208" s="2">
        <f t="shared" si="173"/>
        <v>0</v>
      </c>
      <c r="CU208" s="2">
        <f t="shared" si="174"/>
        <v>0</v>
      </c>
      <c r="CV208" s="2">
        <f t="shared" si="175"/>
        <v>0</v>
      </c>
      <c r="CW208" s="2">
        <f t="shared" si="176"/>
        <v>0</v>
      </c>
      <c r="CX208" s="2">
        <f t="shared" si="177"/>
        <v>0</v>
      </c>
      <c r="CY208" s="2">
        <f>(ROUND((((S208+ROUND((ROUND(((EU208)*AV208*1),2)*BS208),2))*AT208)/100),2)+ROUND(((ROUND((ROUND(((AE208-(EU208))*AV208*1),2)*BS208),2)*AT208)/100),2))</f>
        <v>0</v>
      </c>
      <c r="CZ208" s="2">
        <f>(ROUND((((S208+ROUND((ROUND(((EU208)*AV208*1),2)*BS208),2))*AU208)/100),2)+ROUND(((ROUND((ROUND(((AE208-(EU208))*AV208*1),2)*BS208),2)*AU208)/100),2))</f>
        <v>0</v>
      </c>
      <c r="DA208" s="2"/>
      <c r="DB208" s="2"/>
      <c r="DC208" s="2" t="s">
        <v>3</v>
      </c>
      <c r="DD208" s="2" t="s">
        <v>3</v>
      </c>
      <c r="DE208" s="2" t="s">
        <v>3</v>
      </c>
      <c r="DF208" s="2" t="s">
        <v>3</v>
      </c>
      <c r="DG208" s="2" t="s">
        <v>3</v>
      </c>
      <c r="DH208" s="2" t="s">
        <v>3</v>
      </c>
      <c r="DI208" s="2" t="s">
        <v>3</v>
      </c>
      <c r="DJ208" s="2" t="s">
        <v>3</v>
      </c>
      <c r="DK208" s="2" t="s">
        <v>3</v>
      </c>
      <c r="DL208" s="2" t="s">
        <v>3</v>
      </c>
      <c r="DM208" s="2" t="s">
        <v>3</v>
      </c>
      <c r="DN208" s="2">
        <v>0</v>
      </c>
      <c r="DO208" s="2">
        <v>0</v>
      </c>
      <c r="DP208" s="2">
        <v>1</v>
      </c>
      <c r="DQ208" s="2">
        <v>1</v>
      </c>
      <c r="DR208" s="2"/>
      <c r="DS208" s="2"/>
      <c r="DT208" s="2"/>
      <c r="DU208" s="2">
        <v>1013</v>
      </c>
      <c r="DV208" s="2" t="s">
        <v>152</v>
      </c>
      <c r="DW208" s="2" t="s">
        <v>152</v>
      </c>
      <c r="DX208" s="2">
        <v>1</v>
      </c>
      <c r="DY208" s="2"/>
      <c r="DZ208" s="2" t="s">
        <v>3</v>
      </c>
      <c r="EA208" s="2" t="s">
        <v>3</v>
      </c>
      <c r="EB208" s="2" t="s">
        <v>3</v>
      </c>
      <c r="EC208" s="2" t="s">
        <v>3</v>
      </c>
      <c r="ED208" s="2"/>
      <c r="EE208" s="2">
        <v>57042890</v>
      </c>
      <c r="EF208" s="2">
        <v>214</v>
      </c>
      <c r="EG208" s="2" t="s">
        <v>153</v>
      </c>
      <c r="EH208" s="2">
        <v>0</v>
      </c>
      <c r="EI208" s="2" t="s">
        <v>3</v>
      </c>
      <c r="EJ208" s="2">
        <v>3</v>
      </c>
      <c r="EK208" s="2">
        <v>400007</v>
      </c>
      <c r="EL208" s="2" t="s">
        <v>153</v>
      </c>
      <c r="EM208" s="2" t="s">
        <v>154</v>
      </c>
      <c r="EN208" s="2"/>
      <c r="EO208" s="2" t="s">
        <v>3</v>
      </c>
      <c r="EP208" s="2"/>
      <c r="EQ208" s="2">
        <v>16</v>
      </c>
      <c r="ER208" s="2">
        <v>0</v>
      </c>
      <c r="ES208" s="2">
        <v>189.95</v>
      </c>
      <c r="ET208" s="2">
        <v>0</v>
      </c>
      <c r="EU208" s="2">
        <v>0</v>
      </c>
      <c r="EV208" s="2">
        <v>0</v>
      </c>
      <c r="EW208" s="2">
        <v>0</v>
      </c>
      <c r="EX208" s="2">
        <v>0</v>
      </c>
      <c r="EY208" s="2">
        <v>0</v>
      </c>
      <c r="EZ208" s="2"/>
      <c r="FA208" s="2"/>
      <c r="FB208" s="2"/>
      <c r="FC208" s="2"/>
      <c r="FD208" s="2"/>
      <c r="FE208" s="2"/>
      <c r="FF208" s="2"/>
      <c r="FG208" s="2"/>
      <c r="FH208" s="2"/>
      <c r="FI208" s="2"/>
      <c r="FJ208" s="2"/>
      <c r="FK208" s="2"/>
      <c r="FL208" s="2"/>
      <c r="FM208" s="2"/>
      <c r="FN208" s="2"/>
      <c r="FO208" s="2"/>
      <c r="FP208" s="2"/>
      <c r="FQ208" s="2">
        <v>0</v>
      </c>
      <c r="FR208" s="2">
        <f>P208</f>
        <v>189.95</v>
      </c>
      <c r="FS208" s="2">
        <v>0</v>
      </c>
      <c r="FT208" s="2"/>
      <c r="FU208" s="2"/>
      <c r="FV208" s="2"/>
      <c r="FW208" s="2"/>
      <c r="FX208" s="2">
        <v>0</v>
      </c>
      <c r="FY208" s="2">
        <v>0</v>
      </c>
      <c r="FZ208" s="2"/>
      <c r="GA208" s="2" t="s">
        <v>277</v>
      </c>
      <c r="GB208" s="2"/>
      <c r="GC208" s="2"/>
      <c r="GD208" s="2">
        <v>1</v>
      </c>
      <c r="GE208" s="2"/>
      <c r="GF208" s="2">
        <v>1162600439</v>
      </c>
      <c r="GG208" s="2">
        <v>2</v>
      </c>
      <c r="GH208" s="2">
        <v>4</v>
      </c>
      <c r="GI208" s="2">
        <v>-2</v>
      </c>
      <c r="GJ208" s="2">
        <v>0</v>
      </c>
      <c r="GK208" s="2">
        <v>0</v>
      </c>
      <c r="GL208" s="2">
        <f t="shared" si="178"/>
        <v>0</v>
      </c>
      <c r="GM208" s="2">
        <f t="shared" si="179"/>
        <v>189.95</v>
      </c>
      <c r="GN208" s="2">
        <f t="shared" si="180"/>
        <v>0</v>
      </c>
      <c r="GO208" s="2">
        <f t="shared" si="181"/>
        <v>0</v>
      </c>
      <c r="GP208" s="2">
        <f t="shared" si="182"/>
        <v>0</v>
      </c>
      <c r="GQ208" s="2"/>
      <c r="GR208" s="2">
        <v>1</v>
      </c>
      <c r="GS208" s="2">
        <v>2</v>
      </c>
      <c r="GT208" s="2">
        <v>0</v>
      </c>
      <c r="GU208" s="2" t="s">
        <v>3</v>
      </c>
      <c r="GV208" s="2">
        <f t="shared" si="183"/>
        <v>0</v>
      </c>
      <c r="GW208" s="2">
        <v>1</v>
      </c>
      <c r="GX208" s="2">
        <f t="shared" si="184"/>
        <v>0</v>
      </c>
      <c r="GY208" s="2"/>
      <c r="GZ208" s="2"/>
      <c r="HA208" s="2">
        <v>0</v>
      </c>
      <c r="HB208" s="2">
        <v>0</v>
      </c>
      <c r="HC208" s="2">
        <f t="shared" si="185"/>
        <v>0</v>
      </c>
      <c r="HD208" s="2"/>
      <c r="HE208" s="2" t="s">
        <v>39</v>
      </c>
      <c r="HF208" s="2" t="s">
        <v>156</v>
      </c>
      <c r="HG208" s="2"/>
      <c r="HH208" s="2"/>
      <c r="HI208" s="2"/>
      <c r="HJ208" s="2"/>
      <c r="HK208" s="2"/>
      <c r="HL208" s="2"/>
      <c r="HM208" s="2" t="s">
        <v>3</v>
      </c>
      <c r="HN208" s="2" t="s">
        <v>3</v>
      </c>
      <c r="HO208" s="2" t="s">
        <v>3</v>
      </c>
      <c r="HP208" s="2" t="s">
        <v>3</v>
      </c>
      <c r="HQ208" s="2" t="s">
        <v>3</v>
      </c>
      <c r="HR208" s="2"/>
      <c r="HS208" s="2">
        <v>0</v>
      </c>
      <c r="HT208" s="2"/>
      <c r="HU208" s="2"/>
      <c r="HV208" s="2"/>
      <c r="HW208" s="2"/>
      <c r="HX208" s="2"/>
      <c r="HY208" s="2"/>
      <c r="HZ208" s="2"/>
      <c r="IA208" s="2"/>
      <c r="IB208" s="2"/>
      <c r="IC208" s="2"/>
      <c r="ID208" s="2"/>
      <c r="IE208" s="2"/>
      <c r="IF208" s="2"/>
      <c r="IG208" s="2"/>
      <c r="IH208" s="2"/>
      <c r="II208" s="2"/>
      <c r="IJ208" s="2"/>
      <c r="IK208" s="2">
        <v>0</v>
      </c>
      <c r="IL208" s="2"/>
      <c r="IM208" s="2"/>
      <c r="IN208" s="2"/>
      <c r="IO208" s="2"/>
      <c r="IP208" s="2"/>
      <c r="IQ208" s="2"/>
      <c r="IR208" s="2"/>
      <c r="IS208" s="2"/>
      <c r="IT208" s="2"/>
      <c r="IU208" s="2"/>
    </row>
    <row r="209" spans="1:255" x14ac:dyDescent="0.25">
      <c r="A209" s="3">
        <v>17</v>
      </c>
      <c r="B209" s="3">
        <v>1</v>
      </c>
      <c r="E209" s="3" t="s">
        <v>274</v>
      </c>
      <c r="F209" s="3" t="s">
        <v>275</v>
      </c>
      <c r="G209" s="3" t="s">
        <v>276</v>
      </c>
      <c r="H209" s="3" t="s">
        <v>152</v>
      </c>
      <c r="I209" s="3">
        <v>1</v>
      </c>
      <c r="J209" s="3">
        <v>0</v>
      </c>
      <c r="K209" s="3">
        <v>1</v>
      </c>
      <c r="O209" s="3">
        <f t="shared" si="159"/>
        <v>1437.92</v>
      </c>
      <c r="P209" s="3">
        <f t="shared" si="160"/>
        <v>1437.92</v>
      </c>
      <c r="Q209" s="3">
        <f>(ROUND((ROUND(((ET209)*AV209*I209),2)*BB209),2)+ROUND((ROUND(((AE209-(EU209))*AV209*I209),2)*BS209),2))</f>
        <v>0</v>
      </c>
      <c r="R209" s="3">
        <f>(ROUND((ROUND(((EU209)*AV209*I209),2)*BS209),2)+ROUND((ROUND(((AE209-(EU209))*AV209*I209),2)*BS209),2))</f>
        <v>0</v>
      </c>
      <c r="S209" s="3">
        <f t="shared" si="161"/>
        <v>0</v>
      </c>
      <c r="T209" s="3">
        <f t="shared" si="162"/>
        <v>0</v>
      </c>
      <c r="U209" s="3">
        <f t="shared" si="163"/>
        <v>0</v>
      </c>
      <c r="V209" s="3">
        <f t="shared" si="164"/>
        <v>0</v>
      </c>
      <c r="W209" s="3">
        <f t="shared" si="165"/>
        <v>0</v>
      </c>
      <c r="X209" s="3">
        <f>(ROUND((((S209+ROUND((ROUND(((EU209)*AV209*I209),2)*BS209),2))*AT209)/100),2)+ROUND(((ROUND((ROUND(((AE209-(EU209))*AV209*I209),2)*BS209),2)*AT209)/100),2))</f>
        <v>0</v>
      </c>
      <c r="Y209" s="3">
        <f>(ROUND((((S209+ROUND((ROUND(((EU209)*AV209*I209),2)*BS209),2))*AU209)/100),2)+ROUND(((ROUND((ROUND(((AE209-(EU209))*AV209*I209),2)*BS209),2)*AU209)/100),2))</f>
        <v>0</v>
      </c>
      <c r="AA209" s="3">
        <v>57014140</v>
      </c>
      <c r="AB209" s="3">
        <f t="shared" si="166"/>
        <v>189.95</v>
      </c>
      <c r="AC209" s="3">
        <f>ROUND((ES209),6)</f>
        <v>189.95</v>
      </c>
      <c r="AD209" s="3">
        <f>ROUND((((ET209)-(EU209))+AE209),6)</f>
        <v>0</v>
      </c>
      <c r="AE209" s="3">
        <f>ROUND((EU209),6)</f>
        <v>0</v>
      </c>
      <c r="AF209" s="3">
        <f>ROUND((EV209),6)</f>
        <v>0</v>
      </c>
      <c r="AG209" s="3">
        <f t="shared" si="168"/>
        <v>0</v>
      </c>
      <c r="AH209" s="3">
        <f>(EW209)</f>
        <v>0</v>
      </c>
      <c r="AI209" s="3">
        <f>(EX209)</f>
        <v>0</v>
      </c>
      <c r="AJ209" s="3">
        <f t="shared" si="170"/>
        <v>0</v>
      </c>
      <c r="AK209" s="3">
        <v>189.95</v>
      </c>
      <c r="AL209" s="3">
        <v>189.95</v>
      </c>
      <c r="AM209" s="3">
        <v>0</v>
      </c>
      <c r="AN209" s="3">
        <v>0</v>
      </c>
      <c r="AO209" s="3">
        <v>0</v>
      </c>
      <c r="AP209" s="3">
        <v>0</v>
      </c>
      <c r="AQ209" s="3">
        <v>0</v>
      </c>
      <c r="AR209" s="3">
        <v>0</v>
      </c>
      <c r="AS209" s="3">
        <v>0</v>
      </c>
      <c r="AT209" s="3">
        <v>0</v>
      </c>
      <c r="AU209" s="3">
        <v>0</v>
      </c>
      <c r="AV209" s="3">
        <v>1</v>
      </c>
      <c r="AW209" s="3">
        <v>1</v>
      </c>
      <c r="AZ209" s="3">
        <v>1</v>
      </c>
      <c r="BA209" s="3">
        <v>1</v>
      </c>
      <c r="BB209" s="3">
        <v>1</v>
      </c>
      <c r="BC209" s="3">
        <v>7.57</v>
      </c>
      <c r="BD209" s="3" t="s">
        <v>3</v>
      </c>
      <c r="BE209" s="3" t="s">
        <v>3</v>
      </c>
      <c r="BF209" s="3" t="s">
        <v>3</v>
      </c>
      <c r="BG209" s="3" t="s">
        <v>3</v>
      </c>
      <c r="BH209" s="3">
        <v>3</v>
      </c>
      <c r="BI209" s="3">
        <v>3</v>
      </c>
      <c r="BJ209" s="3" t="s">
        <v>275</v>
      </c>
      <c r="BM209" s="3">
        <v>400007</v>
      </c>
      <c r="BN209" s="3">
        <v>0</v>
      </c>
      <c r="BO209" s="3" t="s">
        <v>3</v>
      </c>
      <c r="BP209" s="3">
        <v>0</v>
      </c>
      <c r="BQ209" s="3">
        <v>214</v>
      </c>
      <c r="BR209" s="3">
        <v>0</v>
      </c>
      <c r="BS209" s="3">
        <v>1</v>
      </c>
      <c r="BT209" s="3">
        <v>1</v>
      </c>
      <c r="BU209" s="3">
        <v>1</v>
      </c>
      <c r="BV209" s="3">
        <v>1</v>
      </c>
      <c r="BW209" s="3">
        <v>1</v>
      </c>
      <c r="BX209" s="3">
        <v>1</v>
      </c>
      <c r="BY209" s="3" t="s">
        <v>3</v>
      </c>
      <c r="BZ209" s="3">
        <v>0</v>
      </c>
      <c r="CA209" s="3">
        <v>0</v>
      </c>
      <c r="CB209" s="3" t="s">
        <v>3</v>
      </c>
      <c r="CE209" s="3">
        <v>1566</v>
      </c>
      <c r="CF209" s="3">
        <v>0</v>
      </c>
      <c r="CG209" s="3">
        <v>0</v>
      </c>
      <c r="CM209" s="3">
        <v>0</v>
      </c>
      <c r="CN209" s="3" t="s">
        <v>3</v>
      </c>
      <c r="CO209" s="3">
        <v>0</v>
      </c>
      <c r="CP209" s="3">
        <f t="shared" si="171"/>
        <v>1437.92</v>
      </c>
      <c r="CQ209" s="3">
        <f t="shared" si="172"/>
        <v>1437.92</v>
      </c>
      <c r="CR209" s="3">
        <f>(ROUND((ROUND(((ET209)*AV209*1),2)*BB209),2)+ROUND((ROUND(((AE209-(EU209))*AV209*1),2)*BS209),2))</f>
        <v>0</v>
      </c>
      <c r="CS209" s="3">
        <f>(ROUND((ROUND(((EU209)*AV209*1),2)*BS209),2)+ROUND((ROUND(((AE209-(EU209))*AV209*1),2)*BS209),2))</f>
        <v>0</v>
      </c>
      <c r="CT209" s="3">
        <f t="shared" si="173"/>
        <v>0</v>
      </c>
      <c r="CU209" s="3">
        <f t="shared" si="174"/>
        <v>0</v>
      </c>
      <c r="CV209" s="3">
        <f t="shared" si="175"/>
        <v>0</v>
      </c>
      <c r="CW209" s="3">
        <f t="shared" si="176"/>
        <v>0</v>
      </c>
      <c r="CX209" s="3">
        <f t="shared" si="177"/>
        <v>0</v>
      </c>
      <c r="CY209" s="3">
        <f>(ROUND((((S209+ROUND((ROUND(((EU209)*AV209*1),2)*BS209),2))*AT209)/100),2)+ROUND(((ROUND((ROUND(((AE209-(EU209))*AV209*1),2)*BS209),2)*AT209)/100),2))</f>
        <v>0</v>
      </c>
      <c r="CZ209" s="3">
        <f>(ROUND((((S209+ROUND((ROUND(((EU209)*AV209*1),2)*BS209),2))*AU209)/100),2)+ROUND(((ROUND((ROUND(((AE209-(EU209))*AV209*1),2)*BS209),2)*AU209)/100),2))</f>
        <v>0</v>
      </c>
      <c r="DC209" s="3" t="s">
        <v>3</v>
      </c>
      <c r="DD209" s="3" t="s">
        <v>3</v>
      </c>
      <c r="DE209" s="3" t="s">
        <v>3</v>
      </c>
      <c r="DF209" s="3" t="s">
        <v>3</v>
      </c>
      <c r="DG209" s="3" t="s">
        <v>3</v>
      </c>
      <c r="DH209" s="3" t="s">
        <v>3</v>
      </c>
      <c r="DI209" s="3" t="s">
        <v>3</v>
      </c>
      <c r="DJ209" s="3" t="s">
        <v>3</v>
      </c>
      <c r="DK209" s="3" t="s">
        <v>3</v>
      </c>
      <c r="DL209" s="3" t="s">
        <v>3</v>
      </c>
      <c r="DM209" s="3" t="s">
        <v>3</v>
      </c>
      <c r="DN209" s="3">
        <v>0</v>
      </c>
      <c r="DO209" s="3">
        <v>0</v>
      </c>
      <c r="DP209" s="3">
        <v>1</v>
      </c>
      <c r="DQ209" s="3">
        <v>1</v>
      </c>
      <c r="DU209" s="3">
        <v>1013</v>
      </c>
      <c r="DV209" s="3" t="s">
        <v>152</v>
      </c>
      <c r="DW209" s="3" t="s">
        <v>152</v>
      </c>
      <c r="DX209" s="3">
        <v>1</v>
      </c>
      <c r="DZ209" s="3" t="s">
        <v>3</v>
      </c>
      <c r="EA209" s="3" t="s">
        <v>3</v>
      </c>
      <c r="EB209" s="3" t="s">
        <v>3</v>
      </c>
      <c r="EC209" s="3" t="s">
        <v>3</v>
      </c>
      <c r="EE209" s="3">
        <v>57042890</v>
      </c>
      <c r="EF209" s="3">
        <v>214</v>
      </c>
      <c r="EG209" s="3" t="s">
        <v>153</v>
      </c>
      <c r="EH209" s="3">
        <v>0</v>
      </c>
      <c r="EI209" s="3" t="s">
        <v>3</v>
      </c>
      <c r="EJ209" s="3">
        <v>3</v>
      </c>
      <c r="EK209" s="3">
        <v>400007</v>
      </c>
      <c r="EL209" s="3" t="s">
        <v>153</v>
      </c>
      <c r="EM209" s="3" t="s">
        <v>154</v>
      </c>
      <c r="EO209" s="3" t="s">
        <v>3</v>
      </c>
      <c r="EQ209" s="3">
        <v>16</v>
      </c>
      <c r="ER209" s="3">
        <v>0</v>
      </c>
      <c r="ES209" s="3">
        <v>189.95</v>
      </c>
      <c r="ET209" s="3">
        <v>0</v>
      </c>
      <c r="EU209" s="3">
        <v>0</v>
      </c>
      <c r="EV209" s="3">
        <v>0</v>
      </c>
      <c r="EW209" s="3">
        <v>0</v>
      </c>
      <c r="EX209" s="3">
        <v>0</v>
      </c>
      <c r="EY209" s="3">
        <v>0</v>
      </c>
      <c r="EZ209" s="3">
        <v>5</v>
      </c>
      <c r="FC209" s="3">
        <v>1</v>
      </c>
      <c r="FD209" s="3">
        <v>18</v>
      </c>
      <c r="FF209" s="3">
        <v>1683</v>
      </c>
      <c r="FQ209" s="3">
        <v>0</v>
      </c>
      <c r="FR209" s="3">
        <f>P209</f>
        <v>1437.92</v>
      </c>
      <c r="FS209" s="3">
        <v>0</v>
      </c>
      <c r="FX209" s="3">
        <v>0</v>
      </c>
      <c r="FY209" s="3">
        <v>0</v>
      </c>
      <c r="GA209" s="3" t="s">
        <v>277</v>
      </c>
      <c r="GD209" s="3">
        <v>1</v>
      </c>
      <c r="GF209" s="3">
        <v>1162600439</v>
      </c>
      <c r="GG209" s="3">
        <v>2</v>
      </c>
      <c r="GH209" s="3">
        <v>3</v>
      </c>
      <c r="GI209" s="3">
        <v>5</v>
      </c>
      <c r="GJ209" s="3">
        <v>0</v>
      </c>
      <c r="GK209" s="3">
        <v>0</v>
      </c>
      <c r="GL209" s="3">
        <f t="shared" si="178"/>
        <v>0</v>
      </c>
      <c r="GM209" s="3">
        <f t="shared" si="179"/>
        <v>1437.92</v>
      </c>
      <c r="GN209" s="3">
        <f t="shared" si="180"/>
        <v>0</v>
      </c>
      <c r="GO209" s="3">
        <f t="shared" si="181"/>
        <v>0</v>
      </c>
      <c r="GP209" s="3">
        <f t="shared" si="182"/>
        <v>0</v>
      </c>
      <c r="GR209" s="3">
        <v>1</v>
      </c>
      <c r="GS209" s="3">
        <v>1</v>
      </c>
      <c r="GT209" s="3">
        <v>0</v>
      </c>
      <c r="GU209" s="3" t="s">
        <v>3</v>
      </c>
      <c r="GV209" s="3">
        <f t="shared" si="183"/>
        <v>0</v>
      </c>
      <c r="GW209" s="3">
        <v>1</v>
      </c>
      <c r="GX209" s="3">
        <f t="shared" si="184"/>
        <v>0</v>
      </c>
      <c r="HA209" s="3">
        <v>0</v>
      </c>
      <c r="HB209" s="3">
        <v>0</v>
      </c>
      <c r="HC209" s="3">
        <f t="shared" si="185"/>
        <v>0</v>
      </c>
      <c r="HE209" s="3" t="s">
        <v>39</v>
      </c>
      <c r="HF209" s="3" t="s">
        <v>156</v>
      </c>
      <c r="HM209" s="3" t="s">
        <v>3</v>
      </c>
      <c r="HN209" s="3" t="s">
        <v>3</v>
      </c>
      <c r="HO209" s="3" t="s">
        <v>3</v>
      </c>
      <c r="HP209" s="3" t="s">
        <v>3</v>
      </c>
      <c r="HQ209" s="3" t="s">
        <v>3</v>
      </c>
      <c r="HS209" s="3">
        <v>0</v>
      </c>
      <c r="IK209" s="3">
        <v>0</v>
      </c>
    </row>
    <row r="210" spans="1:255" x14ac:dyDescent="0.25">
      <c r="A210" s="2">
        <v>17</v>
      </c>
      <c r="B210" s="2">
        <v>1</v>
      </c>
      <c r="C210" s="2">
        <f>ROW(SmtRes!A205)</f>
        <v>205</v>
      </c>
      <c r="D210" s="2">
        <f>ROW(EtalonRes!A263)</f>
        <v>263</v>
      </c>
      <c r="E210" s="2" t="s">
        <v>278</v>
      </c>
      <c r="F210" s="2" t="s">
        <v>279</v>
      </c>
      <c r="G210" s="2" t="s">
        <v>280</v>
      </c>
      <c r="H210" s="2" t="s">
        <v>27</v>
      </c>
      <c r="I210" s="2">
        <v>10</v>
      </c>
      <c r="J210" s="2">
        <v>0</v>
      </c>
      <c r="K210" s="2">
        <v>10</v>
      </c>
      <c r="L210" s="2"/>
      <c r="M210" s="2"/>
      <c r="N210" s="2"/>
      <c r="O210" s="2">
        <f t="shared" si="159"/>
        <v>222.13</v>
      </c>
      <c r="P210" s="2">
        <f t="shared" si="160"/>
        <v>19.600000000000001</v>
      </c>
      <c r="Q210" s="2">
        <f>(ROUND((ROUND((((ET210*1.2))*AV210*I210),2)*BB210),2)+ROUND((ROUND(((AE210-((EU210*1.2)))*AV210*I210),2)*BS210),2))</f>
        <v>0.63</v>
      </c>
      <c r="R210" s="2">
        <f>(ROUND((ROUND((((EU210*1.2))*AV210*I210),2)*BS210),2)+ROUND((ROUND(((AE210-((EU210*1.2)))*AV210*I210),2)*BS210),2))</f>
        <v>0.13</v>
      </c>
      <c r="S210" s="2">
        <f t="shared" si="161"/>
        <v>201.9</v>
      </c>
      <c r="T210" s="2">
        <f t="shared" si="162"/>
        <v>0</v>
      </c>
      <c r="U210" s="2">
        <f t="shared" si="163"/>
        <v>15.076799999999999</v>
      </c>
      <c r="V210" s="2">
        <f t="shared" si="164"/>
        <v>0</v>
      </c>
      <c r="W210" s="2">
        <f t="shared" si="165"/>
        <v>0</v>
      </c>
      <c r="X210" s="2">
        <f>(ROUND((((S210+ROUND((ROUND((((EU210*1.2))*AV210*I210),2)*BS210),2))*AT210)/100),2)+ROUND(((ROUND((ROUND(((AE210-((EU210*1.2)))*AV210*I210),2)*BS210),2)*AT210)/100),2))</f>
        <v>181.83</v>
      </c>
      <c r="Y210" s="2">
        <f>(ROUND((((S210+ROUND((ROUND((((EU210*1.2))*AV210*I210),2)*BS210),2))*AU210)/100),2)+ROUND(((ROUND((ROUND(((AE210-((EU210*1.2)))*AV210*I210),2)*BS210),2)*AU210)/100),2))</f>
        <v>92.93</v>
      </c>
      <c r="Z210" s="2"/>
      <c r="AA210" s="2">
        <v>57014138</v>
      </c>
      <c r="AB210" s="2">
        <f t="shared" si="166"/>
        <v>21.303999999999998</v>
      </c>
      <c r="AC210" s="2">
        <f>ROUND(((ES210*1)),6)</f>
        <v>1.96</v>
      </c>
      <c r="AD210" s="2">
        <f>ROUND(((((ET210*1.2))-((EU210*1.2)))+AE210),6)</f>
        <v>0.06</v>
      </c>
      <c r="AE210" s="2">
        <f>ROUND(((EU210*1.2)),6)</f>
        <v>1.2E-2</v>
      </c>
      <c r="AF210" s="2">
        <f>ROUND(((EV210*1.2)),6)</f>
        <v>19.283999999999999</v>
      </c>
      <c r="AG210" s="2">
        <f t="shared" si="168"/>
        <v>0</v>
      </c>
      <c r="AH210" s="2">
        <f>((EW210*1.2))</f>
        <v>1.44</v>
      </c>
      <c r="AI210" s="2">
        <f>((EX210*1.2))</f>
        <v>0</v>
      </c>
      <c r="AJ210" s="2">
        <f t="shared" si="170"/>
        <v>0</v>
      </c>
      <c r="AK210" s="2">
        <v>18.079999999999998</v>
      </c>
      <c r="AL210" s="2">
        <v>1.96</v>
      </c>
      <c r="AM210" s="2">
        <v>0.05</v>
      </c>
      <c r="AN210" s="2">
        <v>0.01</v>
      </c>
      <c r="AO210" s="2">
        <v>16.07</v>
      </c>
      <c r="AP210" s="2">
        <v>0</v>
      </c>
      <c r="AQ210" s="2">
        <v>1.2</v>
      </c>
      <c r="AR210" s="2">
        <v>0</v>
      </c>
      <c r="AS210" s="2">
        <v>0</v>
      </c>
      <c r="AT210" s="2">
        <v>90</v>
      </c>
      <c r="AU210" s="2">
        <v>46</v>
      </c>
      <c r="AV210" s="2">
        <v>1.0469999999999999</v>
      </c>
      <c r="AW210" s="2">
        <v>1</v>
      </c>
      <c r="AX210" s="2"/>
      <c r="AY210" s="2"/>
      <c r="AZ210" s="2">
        <v>1</v>
      </c>
      <c r="BA210" s="2">
        <v>1</v>
      </c>
      <c r="BB210" s="2">
        <v>1</v>
      </c>
      <c r="BC210" s="2">
        <v>1</v>
      </c>
      <c r="BD210" s="2" t="s">
        <v>3</v>
      </c>
      <c r="BE210" s="2" t="s">
        <v>3</v>
      </c>
      <c r="BF210" s="2" t="s">
        <v>3</v>
      </c>
      <c r="BG210" s="2" t="s">
        <v>3</v>
      </c>
      <c r="BH210" s="2">
        <v>0</v>
      </c>
      <c r="BI210" s="2">
        <v>2</v>
      </c>
      <c r="BJ210" s="2" t="s">
        <v>281</v>
      </c>
      <c r="BK210" s="2"/>
      <c r="BL210" s="2"/>
      <c r="BM210" s="2">
        <v>68</v>
      </c>
      <c r="BN210" s="2">
        <v>0</v>
      </c>
      <c r="BO210" s="2" t="s">
        <v>279</v>
      </c>
      <c r="BP210" s="2">
        <v>1</v>
      </c>
      <c r="BQ210" s="2">
        <v>40</v>
      </c>
      <c r="BR210" s="2">
        <v>0</v>
      </c>
      <c r="BS210" s="2">
        <v>1</v>
      </c>
      <c r="BT210" s="2">
        <v>1</v>
      </c>
      <c r="BU210" s="2">
        <v>1</v>
      </c>
      <c r="BV210" s="2">
        <v>1</v>
      </c>
      <c r="BW210" s="2">
        <v>1</v>
      </c>
      <c r="BX210" s="2">
        <v>1</v>
      </c>
      <c r="BY210" s="2" t="s">
        <v>3</v>
      </c>
      <c r="BZ210" s="2">
        <v>90</v>
      </c>
      <c r="CA210" s="2">
        <v>46</v>
      </c>
      <c r="CB210" s="2" t="s">
        <v>3</v>
      </c>
      <c r="CC210" s="2"/>
      <c r="CD210" s="2"/>
      <c r="CE210" s="2">
        <v>1566</v>
      </c>
      <c r="CF210" s="2">
        <v>0</v>
      </c>
      <c r="CG210" s="2">
        <v>0</v>
      </c>
      <c r="CH210" s="2"/>
      <c r="CI210" s="2"/>
      <c r="CJ210" s="2"/>
      <c r="CK210" s="2"/>
      <c r="CL210" s="2"/>
      <c r="CM210" s="2">
        <v>0</v>
      </c>
      <c r="CN210" s="2" t="s">
        <v>624</v>
      </c>
      <c r="CO210" s="2">
        <v>0</v>
      </c>
      <c r="CP210" s="2">
        <f t="shared" si="171"/>
        <v>222.13</v>
      </c>
      <c r="CQ210" s="2">
        <f t="shared" si="172"/>
        <v>1.96</v>
      </c>
      <c r="CR210" s="2">
        <f>(ROUND((ROUND((((ET210*1.2))*AV210*1),2)*BB210),2)+ROUND((ROUND(((AE210-((EU210*1.2)))*AV210*1),2)*BS210),2))</f>
        <v>0.06</v>
      </c>
      <c r="CS210" s="2">
        <f>(ROUND((ROUND((((EU210*1.2))*AV210*1),2)*BS210),2)+ROUND((ROUND(((AE210-((EU210*1.2)))*AV210*1),2)*BS210),2))</f>
        <v>0.01</v>
      </c>
      <c r="CT210" s="2">
        <f t="shared" si="173"/>
        <v>20.190000000000001</v>
      </c>
      <c r="CU210" s="2">
        <f t="shared" si="174"/>
        <v>0</v>
      </c>
      <c r="CV210" s="2">
        <f t="shared" si="175"/>
        <v>1.5076799999999999</v>
      </c>
      <c r="CW210" s="2">
        <f t="shared" si="176"/>
        <v>0</v>
      </c>
      <c r="CX210" s="2">
        <f t="shared" si="177"/>
        <v>0</v>
      </c>
      <c r="CY210" s="2">
        <f>(ROUND((((S210+ROUND((ROUND((((EU210*1.2))*AV210*1),2)*BS210),2))*AT210)/100),2)+ROUND(((ROUND((ROUND(((AE210-((EU210*1.2)))*AV210*1),2)*BS210),2)*AT210)/100),2))</f>
        <v>181.72</v>
      </c>
      <c r="CZ210" s="2">
        <f>(ROUND((((S210+ROUND((ROUND((((EU210*1.2))*AV210*1),2)*BS210),2))*AU210)/100),2)+ROUND(((ROUND((ROUND(((AE210-((EU210*1.2)))*AV210*1),2)*BS210),2)*AU210)/100),2))</f>
        <v>92.88</v>
      </c>
      <c r="DA210" s="2"/>
      <c r="DB210" s="2">
        <v>83</v>
      </c>
      <c r="DC210" s="2" t="s">
        <v>3</v>
      </c>
      <c r="DD210" s="2" t="s">
        <v>70</v>
      </c>
      <c r="DE210" s="2" t="s">
        <v>71</v>
      </c>
      <c r="DF210" s="2" t="s">
        <v>71</v>
      </c>
      <c r="DG210" s="2" t="s">
        <v>71</v>
      </c>
      <c r="DH210" s="2" t="s">
        <v>3</v>
      </c>
      <c r="DI210" s="2" t="s">
        <v>71</v>
      </c>
      <c r="DJ210" s="2" t="s">
        <v>71</v>
      </c>
      <c r="DK210" s="2" t="s">
        <v>3</v>
      </c>
      <c r="DL210" s="2" t="s">
        <v>3</v>
      </c>
      <c r="DM210" s="2" t="s">
        <v>3</v>
      </c>
      <c r="DN210" s="2">
        <v>0</v>
      </c>
      <c r="DO210" s="2">
        <v>0</v>
      </c>
      <c r="DP210" s="2">
        <v>1</v>
      </c>
      <c r="DQ210" s="2">
        <v>1</v>
      </c>
      <c r="DR210" s="2"/>
      <c r="DS210" s="2"/>
      <c r="DT210" s="2"/>
      <c r="DU210" s="2">
        <v>1013</v>
      </c>
      <c r="DV210" s="2" t="s">
        <v>27</v>
      </c>
      <c r="DW210" s="2" t="s">
        <v>27</v>
      </c>
      <c r="DX210" s="2">
        <v>1</v>
      </c>
      <c r="DY210" s="2"/>
      <c r="DZ210" s="2" t="s">
        <v>3</v>
      </c>
      <c r="EA210" s="2" t="s">
        <v>3</v>
      </c>
      <c r="EB210" s="2" t="s">
        <v>3</v>
      </c>
      <c r="EC210" s="2" t="s">
        <v>3</v>
      </c>
      <c r="ED210" s="2"/>
      <c r="EE210" s="2">
        <v>57042958</v>
      </c>
      <c r="EF210" s="2">
        <v>40</v>
      </c>
      <c r="EG210" s="2" t="s">
        <v>31</v>
      </c>
      <c r="EH210" s="2">
        <v>0</v>
      </c>
      <c r="EI210" s="2" t="s">
        <v>3</v>
      </c>
      <c r="EJ210" s="2">
        <v>2</v>
      </c>
      <c r="EK210" s="2">
        <v>68</v>
      </c>
      <c r="EL210" s="2" t="s">
        <v>32</v>
      </c>
      <c r="EM210" s="2" t="s">
        <v>33</v>
      </c>
      <c r="EN210" s="2"/>
      <c r="EO210" s="2" t="s">
        <v>75</v>
      </c>
      <c r="EP210" s="2"/>
      <c r="EQ210" s="2">
        <v>0</v>
      </c>
      <c r="ER210" s="2">
        <v>18.079999999999998</v>
      </c>
      <c r="ES210" s="2">
        <v>1.96</v>
      </c>
      <c r="ET210" s="2">
        <v>0.05</v>
      </c>
      <c r="EU210" s="2">
        <v>0.01</v>
      </c>
      <c r="EV210" s="2">
        <v>16.07</v>
      </c>
      <c r="EW210" s="2">
        <v>1.2</v>
      </c>
      <c r="EX210" s="2">
        <v>0</v>
      </c>
      <c r="EY210" s="2">
        <v>0</v>
      </c>
      <c r="EZ210" s="2"/>
      <c r="FA210" s="2"/>
      <c r="FB210" s="2"/>
      <c r="FC210" s="2"/>
      <c r="FD210" s="2"/>
      <c r="FE210" s="2"/>
      <c r="FF210" s="2"/>
      <c r="FG210" s="2"/>
      <c r="FH210" s="2"/>
      <c r="FI210" s="2"/>
      <c r="FJ210" s="2"/>
      <c r="FK210" s="2"/>
      <c r="FL210" s="2"/>
      <c r="FM210" s="2"/>
      <c r="FN210" s="2"/>
      <c r="FO210" s="2"/>
      <c r="FP210" s="2"/>
      <c r="FQ210" s="2">
        <v>0</v>
      </c>
      <c r="FR210" s="2">
        <v>0</v>
      </c>
      <c r="FS210" s="2">
        <v>0</v>
      </c>
      <c r="FT210" s="2"/>
      <c r="FU210" s="2"/>
      <c r="FV210" s="2"/>
      <c r="FW210" s="2"/>
      <c r="FX210" s="2">
        <v>90</v>
      </c>
      <c r="FY210" s="2">
        <v>46</v>
      </c>
      <c r="FZ210" s="2"/>
      <c r="GA210" s="2" t="s">
        <v>3</v>
      </c>
      <c r="GB210" s="2"/>
      <c r="GC210" s="2"/>
      <c r="GD210" s="2">
        <v>1</v>
      </c>
      <c r="GE210" s="2"/>
      <c r="GF210" s="2">
        <v>-1354403463</v>
      </c>
      <c r="GG210" s="2">
        <v>2</v>
      </c>
      <c r="GH210" s="2">
        <v>1</v>
      </c>
      <c r="GI210" s="2">
        <v>2</v>
      </c>
      <c r="GJ210" s="2">
        <v>0</v>
      </c>
      <c r="GK210" s="2">
        <v>0</v>
      </c>
      <c r="GL210" s="2">
        <f t="shared" si="178"/>
        <v>0</v>
      </c>
      <c r="GM210" s="2">
        <f t="shared" si="179"/>
        <v>496.89</v>
      </c>
      <c r="GN210" s="2">
        <f t="shared" si="180"/>
        <v>0</v>
      </c>
      <c r="GO210" s="2">
        <f t="shared" si="181"/>
        <v>496.89</v>
      </c>
      <c r="GP210" s="2">
        <f t="shared" si="182"/>
        <v>0</v>
      </c>
      <c r="GQ210" s="2"/>
      <c r="GR210" s="2">
        <v>0</v>
      </c>
      <c r="GS210" s="2">
        <v>3</v>
      </c>
      <c r="GT210" s="2">
        <v>0</v>
      </c>
      <c r="GU210" s="2" t="s">
        <v>3</v>
      </c>
      <c r="GV210" s="2">
        <f t="shared" si="183"/>
        <v>0</v>
      </c>
      <c r="GW210" s="2">
        <v>1</v>
      </c>
      <c r="GX210" s="2">
        <f t="shared" si="184"/>
        <v>0</v>
      </c>
      <c r="GY210" s="2"/>
      <c r="GZ210" s="2"/>
      <c r="HA210" s="2">
        <v>0</v>
      </c>
      <c r="HB210" s="2">
        <v>0</v>
      </c>
      <c r="HC210" s="2">
        <f t="shared" si="185"/>
        <v>0</v>
      </c>
      <c r="HD210" s="2"/>
      <c r="HE210" s="2" t="s">
        <v>3</v>
      </c>
      <c r="HF210" s="2" t="s">
        <v>3</v>
      </c>
      <c r="HG210" s="2"/>
      <c r="HH210" s="2"/>
      <c r="HI210" s="2"/>
      <c r="HJ210" s="2"/>
      <c r="HK210" s="2"/>
      <c r="HL210" s="2"/>
      <c r="HM210" s="2" t="s">
        <v>3</v>
      </c>
      <c r="HN210" s="2" t="s">
        <v>3</v>
      </c>
      <c r="HO210" s="2" t="s">
        <v>3</v>
      </c>
      <c r="HP210" s="2" t="s">
        <v>3</v>
      </c>
      <c r="HQ210" s="2" t="s">
        <v>3</v>
      </c>
      <c r="HR210" s="2"/>
      <c r="HS210" s="2">
        <v>0</v>
      </c>
      <c r="HT210" s="2"/>
      <c r="HU210" s="2"/>
      <c r="HV210" s="2"/>
      <c r="HW210" s="2"/>
      <c r="HX210" s="2"/>
      <c r="HY210" s="2"/>
      <c r="HZ210" s="2"/>
      <c r="IA210" s="2"/>
      <c r="IB210" s="2"/>
      <c r="IC210" s="2"/>
      <c r="ID210" s="2"/>
      <c r="IE210" s="2"/>
      <c r="IF210" s="2"/>
      <c r="IG210" s="2"/>
      <c r="IH210" s="2"/>
      <c r="II210" s="2"/>
      <c r="IJ210" s="2"/>
      <c r="IK210" s="2">
        <v>0</v>
      </c>
      <c r="IL210" s="2"/>
      <c r="IM210" s="2"/>
      <c r="IN210" s="2"/>
      <c r="IO210" s="2"/>
      <c r="IP210" s="2"/>
      <c r="IQ210" s="2"/>
      <c r="IR210" s="2"/>
      <c r="IS210" s="2"/>
      <c r="IT210" s="2"/>
      <c r="IU210" s="2"/>
    </row>
    <row r="211" spans="1:255" x14ac:dyDescent="0.25">
      <c r="A211" s="3">
        <v>17</v>
      </c>
      <c r="B211" s="3">
        <v>1</v>
      </c>
      <c r="C211" s="3">
        <f>ROW(SmtRes!A206)</f>
        <v>206</v>
      </c>
      <c r="D211" s="3">
        <f>ROW(EtalonRes!A264)</f>
        <v>264</v>
      </c>
      <c r="E211" s="3" t="s">
        <v>278</v>
      </c>
      <c r="F211" s="3" t="s">
        <v>279</v>
      </c>
      <c r="G211" s="3" t="s">
        <v>280</v>
      </c>
      <c r="H211" s="3" t="s">
        <v>27</v>
      </c>
      <c r="I211" s="3">
        <v>10</v>
      </c>
      <c r="J211" s="3">
        <v>0</v>
      </c>
      <c r="K211" s="3">
        <v>10</v>
      </c>
      <c r="O211" s="3">
        <f t="shared" si="159"/>
        <v>11582.53</v>
      </c>
      <c r="P211" s="3">
        <f t="shared" si="160"/>
        <v>192.86</v>
      </c>
      <c r="Q211" s="3">
        <f>(ROUND((ROUND((((ET211*1.2))*AV211*I211),2)*BB211),2)+ROUND((ROUND(((AE211-((EU211*1.2)))*AV211*I211),2)*BS211),2))</f>
        <v>12.6</v>
      </c>
      <c r="R211" s="3">
        <f>(ROUND((ROUND((((EU211*1.2))*AV211*I211),2)*BS211),2)+ROUND((ROUND(((AE211-((EU211*1.2)))*AV211*I211),2)*BS211),2))</f>
        <v>7.33</v>
      </c>
      <c r="S211" s="3">
        <f t="shared" si="161"/>
        <v>11377.07</v>
      </c>
      <c r="T211" s="3">
        <f t="shared" si="162"/>
        <v>0</v>
      </c>
      <c r="U211" s="3">
        <f t="shared" si="163"/>
        <v>15.076799999999999</v>
      </c>
      <c r="V211" s="3">
        <f t="shared" si="164"/>
        <v>0</v>
      </c>
      <c r="W211" s="3">
        <f t="shared" si="165"/>
        <v>0</v>
      </c>
      <c r="X211" s="3">
        <f>(ROUND((((S211+ROUND((ROUND((((EU211*1.2))*AV211*I211),2)*BS211),2))*AT211)/100),2)+ROUND(((ROUND((ROUND(((AE211-((EU211*1.2)))*AV211*I211),2)*BS211),2)*AT211)/100),2))</f>
        <v>10245.959999999999</v>
      </c>
      <c r="Y211" s="3">
        <f>(ROUND((((S211+ROUND((ROUND((((EU211*1.2))*AV211*I211),2)*BS211),2))*AU211)/100),2)+ROUND(((ROUND((ROUND(((AE211-((EU211*1.2)))*AV211*I211),2)*BS211),2)*AU211)/100),2))</f>
        <v>5236.82</v>
      </c>
      <c r="AA211" s="3">
        <v>57014140</v>
      </c>
      <c r="AB211" s="3">
        <f t="shared" si="166"/>
        <v>21.303999999999998</v>
      </c>
      <c r="AC211" s="3">
        <f>ROUND(((ES211*1)),6)</f>
        <v>1.96</v>
      </c>
      <c r="AD211" s="3">
        <f>ROUND(((((ET211*1.2))-((EU211*1.2)))+AE211),6)</f>
        <v>0.06</v>
      </c>
      <c r="AE211" s="3">
        <f>ROUND(((EU211*1.2)),6)</f>
        <v>1.2E-2</v>
      </c>
      <c r="AF211" s="3">
        <f>ROUND(((EV211*1.2)),6)</f>
        <v>19.283999999999999</v>
      </c>
      <c r="AG211" s="3">
        <f t="shared" si="168"/>
        <v>0</v>
      </c>
      <c r="AH211" s="3">
        <f>((EW211*1.2))</f>
        <v>1.44</v>
      </c>
      <c r="AI211" s="3">
        <f>((EX211*1.2))</f>
        <v>0</v>
      </c>
      <c r="AJ211" s="3">
        <f t="shared" si="170"/>
        <v>0</v>
      </c>
      <c r="AK211" s="3">
        <v>18.079999999999998</v>
      </c>
      <c r="AL211" s="3">
        <v>1.96</v>
      </c>
      <c r="AM211" s="3">
        <v>0.05</v>
      </c>
      <c r="AN211" s="3">
        <v>0.01</v>
      </c>
      <c r="AO211" s="3">
        <v>16.07</v>
      </c>
      <c r="AP211" s="3">
        <v>0</v>
      </c>
      <c r="AQ211" s="3">
        <v>1.2</v>
      </c>
      <c r="AR211" s="3">
        <v>0</v>
      </c>
      <c r="AS211" s="3">
        <v>0</v>
      </c>
      <c r="AT211" s="3">
        <v>90</v>
      </c>
      <c r="AU211" s="3">
        <v>46</v>
      </c>
      <c r="AV211" s="3">
        <v>1.0469999999999999</v>
      </c>
      <c r="AW211" s="3">
        <v>1</v>
      </c>
      <c r="AZ211" s="3">
        <v>1</v>
      </c>
      <c r="BA211" s="3">
        <v>56.35</v>
      </c>
      <c r="BB211" s="3">
        <v>20</v>
      </c>
      <c r="BC211" s="3">
        <v>9.84</v>
      </c>
      <c r="BD211" s="3" t="s">
        <v>3</v>
      </c>
      <c r="BE211" s="3" t="s">
        <v>3</v>
      </c>
      <c r="BF211" s="3" t="s">
        <v>3</v>
      </c>
      <c r="BG211" s="3" t="s">
        <v>3</v>
      </c>
      <c r="BH211" s="3">
        <v>0</v>
      </c>
      <c r="BI211" s="3">
        <v>2</v>
      </c>
      <c r="BJ211" s="3" t="s">
        <v>281</v>
      </c>
      <c r="BM211" s="3">
        <v>68</v>
      </c>
      <c r="BN211" s="3">
        <v>0</v>
      </c>
      <c r="BO211" s="3" t="s">
        <v>279</v>
      </c>
      <c r="BP211" s="3">
        <v>1</v>
      </c>
      <c r="BQ211" s="3">
        <v>40</v>
      </c>
      <c r="BR211" s="3">
        <v>0</v>
      </c>
      <c r="BS211" s="3">
        <v>56.35</v>
      </c>
      <c r="BT211" s="3">
        <v>1</v>
      </c>
      <c r="BU211" s="3">
        <v>1</v>
      </c>
      <c r="BV211" s="3">
        <v>1</v>
      </c>
      <c r="BW211" s="3">
        <v>1</v>
      </c>
      <c r="BX211" s="3">
        <v>1</v>
      </c>
      <c r="BY211" s="3" t="s">
        <v>3</v>
      </c>
      <c r="BZ211" s="3">
        <v>90</v>
      </c>
      <c r="CA211" s="3">
        <v>46</v>
      </c>
      <c r="CB211" s="3" t="s">
        <v>3</v>
      </c>
      <c r="CE211" s="3">
        <v>1566</v>
      </c>
      <c r="CF211" s="3">
        <v>0</v>
      </c>
      <c r="CG211" s="3">
        <v>0</v>
      </c>
      <c r="CM211" s="3">
        <v>0</v>
      </c>
      <c r="CN211" s="3" t="s">
        <v>624</v>
      </c>
      <c r="CO211" s="3">
        <v>0</v>
      </c>
      <c r="CP211" s="3">
        <f t="shared" si="171"/>
        <v>11582.529999999999</v>
      </c>
      <c r="CQ211" s="3">
        <f t="shared" si="172"/>
        <v>19.29</v>
      </c>
      <c r="CR211" s="3">
        <f>(ROUND((ROUND((((ET211*1.2))*AV211*1),2)*BB211),2)+ROUND((ROUND(((AE211-((EU211*1.2)))*AV211*1),2)*BS211),2))</f>
        <v>1.2</v>
      </c>
      <c r="CS211" s="3">
        <f>(ROUND((ROUND((((EU211*1.2))*AV211*1),2)*BS211),2)+ROUND((ROUND(((AE211-((EU211*1.2)))*AV211*1),2)*BS211),2))</f>
        <v>0.56000000000000005</v>
      </c>
      <c r="CT211" s="3">
        <f t="shared" si="173"/>
        <v>1137.71</v>
      </c>
      <c r="CU211" s="3">
        <f t="shared" si="174"/>
        <v>0</v>
      </c>
      <c r="CV211" s="3">
        <f t="shared" si="175"/>
        <v>1.5076799999999999</v>
      </c>
      <c r="CW211" s="3">
        <f t="shared" si="176"/>
        <v>0</v>
      </c>
      <c r="CX211" s="3">
        <f t="shared" si="177"/>
        <v>0</v>
      </c>
      <c r="CY211" s="3">
        <f>(ROUND((((S211+ROUND((ROUND((((EU211*1.2))*AV211*1),2)*BS211),2))*AT211)/100),2)+ROUND(((ROUND((ROUND(((AE211-((EU211*1.2)))*AV211*1),2)*BS211),2)*AT211)/100),2))</f>
        <v>10239.870000000001</v>
      </c>
      <c r="CZ211" s="3">
        <f>(ROUND((((S211+ROUND((ROUND((((EU211*1.2))*AV211*1),2)*BS211),2))*AU211)/100),2)+ROUND(((ROUND((ROUND(((AE211-((EU211*1.2)))*AV211*1),2)*BS211),2)*AU211)/100),2))</f>
        <v>5233.71</v>
      </c>
      <c r="DB211" s="3">
        <v>84</v>
      </c>
      <c r="DC211" s="3" t="s">
        <v>3</v>
      </c>
      <c r="DD211" s="3" t="s">
        <v>70</v>
      </c>
      <c r="DE211" s="3" t="s">
        <v>71</v>
      </c>
      <c r="DF211" s="3" t="s">
        <v>71</v>
      </c>
      <c r="DG211" s="3" t="s">
        <v>71</v>
      </c>
      <c r="DH211" s="3" t="s">
        <v>3</v>
      </c>
      <c r="DI211" s="3" t="s">
        <v>71</v>
      </c>
      <c r="DJ211" s="3" t="s">
        <v>71</v>
      </c>
      <c r="DK211" s="3" t="s">
        <v>3</v>
      </c>
      <c r="DL211" s="3" t="s">
        <v>3</v>
      </c>
      <c r="DM211" s="3" t="s">
        <v>3</v>
      </c>
      <c r="DN211" s="3">
        <v>0</v>
      </c>
      <c r="DO211" s="3">
        <v>0</v>
      </c>
      <c r="DP211" s="3">
        <v>1</v>
      </c>
      <c r="DQ211" s="3">
        <v>1</v>
      </c>
      <c r="DU211" s="3">
        <v>1013</v>
      </c>
      <c r="DV211" s="3" t="s">
        <v>27</v>
      </c>
      <c r="DW211" s="3" t="s">
        <v>27</v>
      </c>
      <c r="DX211" s="3">
        <v>1</v>
      </c>
      <c r="DZ211" s="3" t="s">
        <v>3</v>
      </c>
      <c r="EA211" s="3" t="s">
        <v>3</v>
      </c>
      <c r="EB211" s="3" t="s">
        <v>3</v>
      </c>
      <c r="EC211" s="3" t="s">
        <v>3</v>
      </c>
      <c r="EE211" s="3">
        <v>57042958</v>
      </c>
      <c r="EF211" s="3">
        <v>40</v>
      </c>
      <c r="EG211" s="3" t="s">
        <v>31</v>
      </c>
      <c r="EH211" s="3">
        <v>0</v>
      </c>
      <c r="EI211" s="3" t="s">
        <v>3</v>
      </c>
      <c r="EJ211" s="3">
        <v>2</v>
      </c>
      <c r="EK211" s="3">
        <v>68</v>
      </c>
      <c r="EL211" s="3" t="s">
        <v>32</v>
      </c>
      <c r="EM211" s="3" t="s">
        <v>33</v>
      </c>
      <c r="EO211" s="3" t="s">
        <v>75</v>
      </c>
      <c r="EQ211" s="3">
        <v>0</v>
      </c>
      <c r="ER211" s="3">
        <v>18.079999999999998</v>
      </c>
      <c r="ES211" s="3">
        <v>1.96</v>
      </c>
      <c r="ET211" s="3">
        <v>0.05</v>
      </c>
      <c r="EU211" s="3">
        <v>0.01</v>
      </c>
      <c r="EV211" s="3">
        <v>16.07</v>
      </c>
      <c r="EW211" s="3">
        <v>1.2</v>
      </c>
      <c r="EX211" s="3">
        <v>0</v>
      </c>
      <c r="EY211" s="3">
        <v>0</v>
      </c>
      <c r="FQ211" s="3">
        <v>0</v>
      </c>
      <c r="FR211" s="3">
        <v>0</v>
      </c>
      <c r="FS211" s="3">
        <v>0</v>
      </c>
      <c r="FX211" s="3">
        <v>90</v>
      </c>
      <c r="FY211" s="3">
        <v>46</v>
      </c>
      <c r="GA211" s="3" t="s">
        <v>3</v>
      </c>
      <c r="GD211" s="3">
        <v>1</v>
      </c>
      <c r="GF211" s="3">
        <v>-1354403463</v>
      </c>
      <c r="GG211" s="3">
        <v>2</v>
      </c>
      <c r="GH211" s="3">
        <v>1</v>
      </c>
      <c r="GI211" s="3">
        <v>2</v>
      </c>
      <c r="GJ211" s="3">
        <v>0</v>
      </c>
      <c r="GK211" s="3">
        <v>0</v>
      </c>
      <c r="GL211" s="3">
        <f t="shared" si="178"/>
        <v>0</v>
      </c>
      <c r="GM211" s="3">
        <f t="shared" si="179"/>
        <v>27065.31</v>
      </c>
      <c r="GN211" s="3">
        <f t="shared" si="180"/>
        <v>0</v>
      </c>
      <c r="GO211" s="3">
        <f t="shared" si="181"/>
        <v>27065.31</v>
      </c>
      <c r="GP211" s="3">
        <f t="shared" si="182"/>
        <v>0</v>
      </c>
      <c r="GR211" s="3">
        <v>0</v>
      </c>
      <c r="GS211" s="3">
        <v>3</v>
      </c>
      <c r="GT211" s="3">
        <v>0</v>
      </c>
      <c r="GU211" s="3" t="s">
        <v>3</v>
      </c>
      <c r="GV211" s="3">
        <f t="shared" si="183"/>
        <v>0</v>
      </c>
      <c r="GW211" s="3">
        <v>1</v>
      </c>
      <c r="GX211" s="3">
        <f t="shared" si="184"/>
        <v>0</v>
      </c>
      <c r="HA211" s="3">
        <v>0</v>
      </c>
      <c r="HB211" s="3">
        <v>0</v>
      </c>
      <c r="HC211" s="3">
        <f t="shared" si="185"/>
        <v>0</v>
      </c>
      <c r="HE211" s="3" t="s">
        <v>3</v>
      </c>
      <c r="HF211" s="3" t="s">
        <v>3</v>
      </c>
      <c r="HM211" s="3" t="s">
        <v>3</v>
      </c>
      <c r="HN211" s="3" t="s">
        <v>3</v>
      </c>
      <c r="HO211" s="3" t="s">
        <v>3</v>
      </c>
      <c r="HP211" s="3" t="s">
        <v>3</v>
      </c>
      <c r="HQ211" s="3" t="s">
        <v>3</v>
      </c>
      <c r="HS211" s="3">
        <v>0</v>
      </c>
      <c r="IK211" s="3">
        <v>0</v>
      </c>
    </row>
    <row r="212" spans="1:255" x14ac:dyDescent="0.25">
      <c r="A212" s="2">
        <v>17</v>
      </c>
      <c r="B212" s="2">
        <v>1</v>
      </c>
      <c r="C212" s="2"/>
      <c r="D212" s="2"/>
      <c r="E212" s="2" t="s">
        <v>282</v>
      </c>
      <c r="F212" s="2" t="s">
        <v>283</v>
      </c>
      <c r="G212" s="2" t="s">
        <v>284</v>
      </c>
      <c r="H212" s="2" t="s">
        <v>152</v>
      </c>
      <c r="I212" s="2">
        <v>10</v>
      </c>
      <c r="J212" s="2">
        <v>0</v>
      </c>
      <c r="K212" s="2">
        <v>10</v>
      </c>
      <c r="L212" s="2"/>
      <c r="M212" s="2"/>
      <c r="N212" s="2"/>
      <c r="O212" s="2">
        <f t="shared" si="159"/>
        <v>3507.9</v>
      </c>
      <c r="P212" s="2">
        <f t="shared" si="160"/>
        <v>3507.9</v>
      </c>
      <c r="Q212" s="2">
        <f>(ROUND((ROUND(((ET212)*AV212*I212),2)*BB212),2)+ROUND((ROUND(((AE212-(EU212))*AV212*I212),2)*BS212),2))</f>
        <v>0</v>
      </c>
      <c r="R212" s="2">
        <f>(ROUND((ROUND(((EU212)*AV212*I212),2)*BS212),2)+ROUND((ROUND(((AE212-(EU212))*AV212*I212),2)*BS212),2))</f>
        <v>0</v>
      </c>
      <c r="S212" s="2">
        <f t="shared" si="161"/>
        <v>0</v>
      </c>
      <c r="T212" s="2">
        <f t="shared" si="162"/>
        <v>0</v>
      </c>
      <c r="U212" s="2">
        <f t="shared" si="163"/>
        <v>0</v>
      </c>
      <c r="V212" s="2">
        <f t="shared" si="164"/>
        <v>0</v>
      </c>
      <c r="W212" s="2">
        <f t="shared" si="165"/>
        <v>0</v>
      </c>
      <c r="X212" s="2">
        <f>(ROUND((((S212+ROUND((ROUND(((EU212)*AV212*I212),2)*BS212),2))*AT212)/100),2)+ROUND(((ROUND((ROUND(((AE212-(EU212))*AV212*I212),2)*BS212),2)*AT212)/100),2))</f>
        <v>0</v>
      </c>
      <c r="Y212" s="2">
        <f>(ROUND((((S212+ROUND((ROUND(((EU212)*AV212*I212),2)*BS212),2))*AU212)/100),2)+ROUND(((ROUND((ROUND(((AE212-(EU212))*AV212*I212),2)*BS212),2)*AU212)/100),2))</f>
        <v>0</v>
      </c>
      <c r="Z212" s="2"/>
      <c r="AA212" s="2">
        <v>57014138</v>
      </c>
      <c r="AB212" s="2">
        <f t="shared" si="166"/>
        <v>350.79</v>
      </c>
      <c r="AC212" s="2">
        <f>ROUND((ES212),6)</f>
        <v>350.79</v>
      </c>
      <c r="AD212" s="2">
        <f>ROUND((((ET212)-(EU212))+AE212),6)</f>
        <v>0</v>
      </c>
      <c r="AE212" s="2">
        <f>ROUND((EU212),6)</f>
        <v>0</v>
      </c>
      <c r="AF212" s="2">
        <f>ROUND((EV212),6)</f>
        <v>0</v>
      </c>
      <c r="AG212" s="2">
        <f t="shared" si="168"/>
        <v>0</v>
      </c>
      <c r="AH212" s="2">
        <f>(EW212)</f>
        <v>0</v>
      </c>
      <c r="AI212" s="2">
        <f>(EX212)</f>
        <v>0</v>
      </c>
      <c r="AJ212" s="2">
        <f t="shared" si="170"/>
        <v>0</v>
      </c>
      <c r="AK212" s="2">
        <v>350.79</v>
      </c>
      <c r="AL212" s="2">
        <v>350.79</v>
      </c>
      <c r="AM212" s="2">
        <v>0</v>
      </c>
      <c r="AN212" s="2">
        <v>0</v>
      </c>
      <c r="AO212" s="2">
        <v>0</v>
      </c>
      <c r="AP212" s="2">
        <v>0</v>
      </c>
      <c r="AQ212" s="2">
        <v>0</v>
      </c>
      <c r="AR212" s="2">
        <v>0</v>
      </c>
      <c r="AS212" s="2">
        <v>0</v>
      </c>
      <c r="AT212" s="2">
        <v>0</v>
      </c>
      <c r="AU212" s="2">
        <v>0</v>
      </c>
      <c r="AV212" s="2">
        <v>1</v>
      </c>
      <c r="AW212" s="2">
        <v>1</v>
      </c>
      <c r="AX212" s="2"/>
      <c r="AY212" s="2"/>
      <c r="AZ212" s="2">
        <v>1</v>
      </c>
      <c r="BA212" s="2">
        <v>1</v>
      </c>
      <c r="BB212" s="2">
        <v>1</v>
      </c>
      <c r="BC212" s="2">
        <v>1</v>
      </c>
      <c r="BD212" s="2" t="s">
        <v>3</v>
      </c>
      <c r="BE212" s="2" t="s">
        <v>3</v>
      </c>
      <c r="BF212" s="2" t="s">
        <v>3</v>
      </c>
      <c r="BG212" s="2" t="s">
        <v>3</v>
      </c>
      <c r="BH212" s="2">
        <v>3</v>
      </c>
      <c r="BI212" s="2">
        <v>3</v>
      </c>
      <c r="BJ212" s="2" t="s">
        <v>283</v>
      </c>
      <c r="BK212" s="2"/>
      <c r="BL212" s="2"/>
      <c r="BM212" s="2">
        <v>400007</v>
      </c>
      <c r="BN212" s="2">
        <v>0</v>
      </c>
      <c r="BO212" s="2" t="s">
        <v>3</v>
      </c>
      <c r="BP212" s="2">
        <v>0</v>
      </c>
      <c r="BQ212" s="2">
        <v>214</v>
      </c>
      <c r="BR212" s="2">
        <v>0</v>
      </c>
      <c r="BS212" s="2">
        <v>1</v>
      </c>
      <c r="BT212" s="2">
        <v>1</v>
      </c>
      <c r="BU212" s="2">
        <v>1</v>
      </c>
      <c r="BV212" s="2">
        <v>1</v>
      </c>
      <c r="BW212" s="2">
        <v>1</v>
      </c>
      <c r="BX212" s="2">
        <v>1</v>
      </c>
      <c r="BY212" s="2" t="s">
        <v>3</v>
      </c>
      <c r="BZ212" s="2">
        <v>0</v>
      </c>
      <c r="CA212" s="2">
        <v>0</v>
      </c>
      <c r="CB212" s="2" t="s">
        <v>3</v>
      </c>
      <c r="CC212" s="2"/>
      <c r="CD212" s="2"/>
      <c r="CE212" s="2">
        <v>1566</v>
      </c>
      <c r="CF212" s="2">
        <v>0</v>
      </c>
      <c r="CG212" s="2">
        <v>0</v>
      </c>
      <c r="CH212" s="2"/>
      <c r="CI212" s="2"/>
      <c r="CJ212" s="2"/>
      <c r="CK212" s="2"/>
      <c r="CL212" s="2"/>
      <c r="CM212" s="2">
        <v>0</v>
      </c>
      <c r="CN212" s="2" t="s">
        <v>3</v>
      </c>
      <c r="CO212" s="2">
        <v>0</v>
      </c>
      <c r="CP212" s="2">
        <f t="shared" si="171"/>
        <v>3507.9</v>
      </c>
      <c r="CQ212" s="2">
        <f t="shared" si="172"/>
        <v>350.79</v>
      </c>
      <c r="CR212" s="2">
        <f>(ROUND((ROUND(((ET212)*AV212*1),2)*BB212),2)+ROUND((ROUND(((AE212-(EU212))*AV212*1),2)*BS212),2))</f>
        <v>0</v>
      </c>
      <c r="CS212" s="2">
        <f>(ROUND((ROUND(((EU212)*AV212*1),2)*BS212),2)+ROUND((ROUND(((AE212-(EU212))*AV212*1),2)*BS212),2))</f>
        <v>0</v>
      </c>
      <c r="CT212" s="2">
        <f t="shared" si="173"/>
        <v>0</v>
      </c>
      <c r="CU212" s="2">
        <f t="shared" si="174"/>
        <v>0</v>
      </c>
      <c r="CV212" s="2">
        <f t="shared" si="175"/>
        <v>0</v>
      </c>
      <c r="CW212" s="2">
        <f t="shared" si="176"/>
        <v>0</v>
      </c>
      <c r="CX212" s="2">
        <f t="shared" si="177"/>
        <v>0</v>
      </c>
      <c r="CY212" s="2">
        <f>(ROUND((((S212+ROUND((ROUND(((EU212)*AV212*1),2)*BS212),2))*AT212)/100),2)+ROUND(((ROUND((ROUND(((AE212-(EU212))*AV212*1),2)*BS212),2)*AT212)/100),2))</f>
        <v>0</v>
      </c>
      <c r="CZ212" s="2">
        <f>(ROUND((((S212+ROUND((ROUND(((EU212)*AV212*1),2)*BS212),2))*AU212)/100),2)+ROUND(((ROUND((ROUND(((AE212-(EU212))*AV212*1),2)*BS212),2)*AU212)/100),2))</f>
        <v>0</v>
      </c>
      <c r="DA212" s="2"/>
      <c r="DB212" s="2"/>
      <c r="DC212" s="2" t="s">
        <v>3</v>
      </c>
      <c r="DD212" s="2" t="s">
        <v>3</v>
      </c>
      <c r="DE212" s="2" t="s">
        <v>3</v>
      </c>
      <c r="DF212" s="2" t="s">
        <v>3</v>
      </c>
      <c r="DG212" s="2" t="s">
        <v>3</v>
      </c>
      <c r="DH212" s="2" t="s">
        <v>3</v>
      </c>
      <c r="DI212" s="2" t="s">
        <v>3</v>
      </c>
      <c r="DJ212" s="2" t="s">
        <v>3</v>
      </c>
      <c r="DK212" s="2" t="s">
        <v>3</v>
      </c>
      <c r="DL212" s="2" t="s">
        <v>3</v>
      </c>
      <c r="DM212" s="2" t="s">
        <v>3</v>
      </c>
      <c r="DN212" s="2">
        <v>0</v>
      </c>
      <c r="DO212" s="2">
        <v>0</v>
      </c>
      <c r="DP212" s="2">
        <v>1</v>
      </c>
      <c r="DQ212" s="2">
        <v>1</v>
      </c>
      <c r="DR212" s="2"/>
      <c r="DS212" s="2"/>
      <c r="DT212" s="2"/>
      <c r="DU212" s="2">
        <v>1013</v>
      </c>
      <c r="DV212" s="2" t="s">
        <v>152</v>
      </c>
      <c r="DW212" s="2" t="s">
        <v>152</v>
      </c>
      <c r="DX212" s="2">
        <v>1</v>
      </c>
      <c r="DY212" s="2"/>
      <c r="DZ212" s="2" t="s">
        <v>3</v>
      </c>
      <c r="EA212" s="2" t="s">
        <v>3</v>
      </c>
      <c r="EB212" s="2" t="s">
        <v>3</v>
      </c>
      <c r="EC212" s="2" t="s">
        <v>3</v>
      </c>
      <c r="ED212" s="2"/>
      <c r="EE212" s="2">
        <v>57042890</v>
      </c>
      <c r="EF212" s="2">
        <v>214</v>
      </c>
      <c r="EG212" s="2" t="s">
        <v>153</v>
      </c>
      <c r="EH212" s="2">
        <v>0</v>
      </c>
      <c r="EI212" s="2" t="s">
        <v>3</v>
      </c>
      <c r="EJ212" s="2">
        <v>3</v>
      </c>
      <c r="EK212" s="2">
        <v>400007</v>
      </c>
      <c r="EL212" s="2" t="s">
        <v>153</v>
      </c>
      <c r="EM212" s="2" t="s">
        <v>154</v>
      </c>
      <c r="EN212" s="2"/>
      <c r="EO212" s="2" t="s">
        <v>3</v>
      </c>
      <c r="EP212" s="2"/>
      <c r="EQ212" s="2">
        <v>16</v>
      </c>
      <c r="ER212" s="2">
        <v>0</v>
      </c>
      <c r="ES212" s="2">
        <v>350.79</v>
      </c>
      <c r="ET212" s="2">
        <v>0</v>
      </c>
      <c r="EU212" s="2">
        <v>0</v>
      </c>
      <c r="EV212" s="2">
        <v>0</v>
      </c>
      <c r="EW212" s="2">
        <v>0</v>
      </c>
      <c r="EX212" s="2">
        <v>0</v>
      </c>
      <c r="EY212" s="2">
        <v>0</v>
      </c>
      <c r="EZ212" s="2"/>
      <c r="FA212" s="2"/>
      <c r="FB212" s="2"/>
      <c r="FC212" s="2"/>
      <c r="FD212" s="2"/>
      <c r="FE212" s="2"/>
      <c r="FF212" s="2"/>
      <c r="FG212" s="2"/>
      <c r="FH212" s="2"/>
      <c r="FI212" s="2"/>
      <c r="FJ212" s="2"/>
      <c r="FK212" s="2"/>
      <c r="FL212" s="2"/>
      <c r="FM212" s="2"/>
      <c r="FN212" s="2"/>
      <c r="FO212" s="2"/>
      <c r="FP212" s="2"/>
      <c r="FQ212" s="2">
        <v>0</v>
      </c>
      <c r="FR212" s="2">
        <f>P212</f>
        <v>3507.9</v>
      </c>
      <c r="FS212" s="2">
        <v>0</v>
      </c>
      <c r="FT212" s="2"/>
      <c r="FU212" s="2"/>
      <c r="FV212" s="2"/>
      <c r="FW212" s="2"/>
      <c r="FX212" s="2">
        <v>0</v>
      </c>
      <c r="FY212" s="2">
        <v>0</v>
      </c>
      <c r="FZ212" s="2"/>
      <c r="GA212" s="2" t="s">
        <v>285</v>
      </c>
      <c r="GB212" s="2"/>
      <c r="GC212" s="2"/>
      <c r="GD212" s="2">
        <v>1</v>
      </c>
      <c r="GE212" s="2"/>
      <c r="GF212" s="2">
        <v>866802002</v>
      </c>
      <c r="GG212" s="2">
        <v>2</v>
      </c>
      <c r="GH212" s="2">
        <v>4</v>
      </c>
      <c r="GI212" s="2">
        <v>-2</v>
      </c>
      <c r="GJ212" s="2">
        <v>0</v>
      </c>
      <c r="GK212" s="2">
        <v>0</v>
      </c>
      <c r="GL212" s="2">
        <f t="shared" si="178"/>
        <v>0</v>
      </c>
      <c r="GM212" s="2">
        <f t="shared" si="179"/>
        <v>3507.9</v>
      </c>
      <c r="GN212" s="2">
        <f t="shared" si="180"/>
        <v>0</v>
      </c>
      <c r="GO212" s="2">
        <f t="shared" si="181"/>
        <v>0</v>
      </c>
      <c r="GP212" s="2">
        <f t="shared" si="182"/>
        <v>0</v>
      </c>
      <c r="GQ212" s="2"/>
      <c r="GR212" s="2">
        <v>1</v>
      </c>
      <c r="GS212" s="2">
        <v>2</v>
      </c>
      <c r="GT212" s="2">
        <v>0</v>
      </c>
      <c r="GU212" s="2" t="s">
        <v>3</v>
      </c>
      <c r="GV212" s="2">
        <f t="shared" si="183"/>
        <v>0</v>
      </c>
      <c r="GW212" s="2">
        <v>1</v>
      </c>
      <c r="GX212" s="2">
        <f t="shared" si="184"/>
        <v>0</v>
      </c>
      <c r="GY212" s="2"/>
      <c r="GZ212" s="2"/>
      <c r="HA212" s="2">
        <v>0</v>
      </c>
      <c r="HB212" s="2">
        <v>0</v>
      </c>
      <c r="HC212" s="2">
        <f t="shared" si="185"/>
        <v>0</v>
      </c>
      <c r="HD212" s="2"/>
      <c r="HE212" s="2" t="s">
        <v>39</v>
      </c>
      <c r="HF212" s="2" t="s">
        <v>156</v>
      </c>
      <c r="HG212" s="2"/>
      <c r="HH212" s="2"/>
      <c r="HI212" s="2"/>
      <c r="HJ212" s="2"/>
      <c r="HK212" s="2"/>
      <c r="HL212" s="2"/>
      <c r="HM212" s="2" t="s">
        <v>3</v>
      </c>
      <c r="HN212" s="2" t="s">
        <v>3</v>
      </c>
      <c r="HO212" s="2" t="s">
        <v>3</v>
      </c>
      <c r="HP212" s="2" t="s">
        <v>3</v>
      </c>
      <c r="HQ212" s="2" t="s">
        <v>3</v>
      </c>
      <c r="HR212" s="2"/>
      <c r="HS212" s="2">
        <v>0</v>
      </c>
      <c r="HT212" s="2"/>
      <c r="HU212" s="2"/>
      <c r="HV212" s="2"/>
      <c r="HW212" s="2"/>
      <c r="HX212" s="2"/>
      <c r="HY212" s="2"/>
      <c r="HZ212" s="2"/>
      <c r="IA212" s="2"/>
      <c r="IB212" s="2"/>
      <c r="IC212" s="2"/>
      <c r="ID212" s="2"/>
      <c r="IE212" s="2"/>
      <c r="IF212" s="2"/>
      <c r="IG212" s="2"/>
      <c r="IH212" s="2"/>
      <c r="II212" s="2"/>
      <c r="IJ212" s="2"/>
      <c r="IK212" s="2">
        <v>0</v>
      </c>
      <c r="IL212" s="2"/>
      <c r="IM212" s="2"/>
      <c r="IN212" s="2"/>
      <c r="IO212" s="2"/>
      <c r="IP212" s="2"/>
      <c r="IQ212" s="2"/>
      <c r="IR212" s="2"/>
      <c r="IS212" s="2"/>
      <c r="IT212" s="2"/>
      <c r="IU212" s="2"/>
    </row>
    <row r="213" spans="1:255" x14ac:dyDescent="0.25">
      <c r="A213" s="3">
        <v>17</v>
      </c>
      <c r="B213" s="3">
        <v>1</v>
      </c>
      <c r="E213" s="3" t="s">
        <v>282</v>
      </c>
      <c r="F213" s="3" t="s">
        <v>283</v>
      </c>
      <c r="G213" s="3" t="s">
        <v>284</v>
      </c>
      <c r="H213" s="3" t="s">
        <v>152</v>
      </c>
      <c r="I213" s="3">
        <v>10</v>
      </c>
      <c r="J213" s="3">
        <v>0</v>
      </c>
      <c r="K213" s="3">
        <v>10</v>
      </c>
      <c r="O213" s="3">
        <f t="shared" si="159"/>
        <v>26554.799999999999</v>
      </c>
      <c r="P213" s="3">
        <f t="shared" si="160"/>
        <v>26554.799999999999</v>
      </c>
      <c r="Q213" s="3">
        <f>(ROUND((ROUND(((ET213)*AV213*I213),2)*BB213),2)+ROUND((ROUND(((AE213-(EU213))*AV213*I213),2)*BS213),2))</f>
        <v>0</v>
      </c>
      <c r="R213" s="3">
        <f>(ROUND((ROUND(((EU213)*AV213*I213),2)*BS213),2)+ROUND((ROUND(((AE213-(EU213))*AV213*I213),2)*BS213),2))</f>
        <v>0</v>
      </c>
      <c r="S213" s="3">
        <f t="shared" si="161"/>
        <v>0</v>
      </c>
      <c r="T213" s="3">
        <f t="shared" si="162"/>
        <v>0</v>
      </c>
      <c r="U213" s="3">
        <f t="shared" si="163"/>
        <v>0</v>
      </c>
      <c r="V213" s="3">
        <f t="shared" si="164"/>
        <v>0</v>
      </c>
      <c r="W213" s="3">
        <f t="shared" si="165"/>
        <v>0</v>
      </c>
      <c r="X213" s="3">
        <f>(ROUND((((S213+ROUND((ROUND(((EU213)*AV213*I213),2)*BS213),2))*AT213)/100),2)+ROUND(((ROUND((ROUND(((AE213-(EU213))*AV213*I213),2)*BS213),2)*AT213)/100),2))</f>
        <v>0</v>
      </c>
      <c r="Y213" s="3">
        <f>(ROUND((((S213+ROUND((ROUND(((EU213)*AV213*I213),2)*BS213),2))*AU213)/100),2)+ROUND(((ROUND((ROUND(((AE213-(EU213))*AV213*I213),2)*BS213),2)*AU213)/100),2))</f>
        <v>0</v>
      </c>
      <c r="AA213" s="3">
        <v>57014140</v>
      </c>
      <c r="AB213" s="3">
        <f t="shared" si="166"/>
        <v>350.79</v>
      </c>
      <c r="AC213" s="3">
        <f>ROUND((ES213),6)</f>
        <v>350.79</v>
      </c>
      <c r="AD213" s="3">
        <f>ROUND((((ET213)-(EU213))+AE213),6)</f>
        <v>0</v>
      </c>
      <c r="AE213" s="3">
        <f>ROUND((EU213),6)</f>
        <v>0</v>
      </c>
      <c r="AF213" s="3">
        <f>ROUND((EV213),6)</f>
        <v>0</v>
      </c>
      <c r="AG213" s="3">
        <f t="shared" si="168"/>
        <v>0</v>
      </c>
      <c r="AH213" s="3">
        <f>(EW213)</f>
        <v>0</v>
      </c>
      <c r="AI213" s="3">
        <f>(EX213)</f>
        <v>0</v>
      </c>
      <c r="AJ213" s="3">
        <f t="shared" si="170"/>
        <v>0</v>
      </c>
      <c r="AK213" s="3">
        <v>350.79</v>
      </c>
      <c r="AL213" s="3">
        <v>350.79</v>
      </c>
      <c r="AM213" s="3">
        <v>0</v>
      </c>
      <c r="AN213" s="3">
        <v>0</v>
      </c>
      <c r="AO213" s="3">
        <v>0</v>
      </c>
      <c r="AP213" s="3">
        <v>0</v>
      </c>
      <c r="AQ213" s="3">
        <v>0</v>
      </c>
      <c r="AR213" s="3">
        <v>0</v>
      </c>
      <c r="AS213" s="3">
        <v>0</v>
      </c>
      <c r="AT213" s="3">
        <v>0</v>
      </c>
      <c r="AU213" s="3">
        <v>0</v>
      </c>
      <c r="AV213" s="3">
        <v>1</v>
      </c>
      <c r="AW213" s="3">
        <v>1</v>
      </c>
      <c r="AZ213" s="3">
        <v>1</v>
      </c>
      <c r="BA213" s="3">
        <v>1</v>
      </c>
      <c r="BB213" s="3">
        <v>1</v>
      </c>
      <c r="BC213" s="3">
        <v>7.57</v>
      </c>
      <c r="BD213" s="3" t="s">
        <v>3</v>
      </c>
      <c r="BE213" s="3" t="s">
        <v>3</v>
      </c>
      <c r="BF213" s="3" t="s">
        <v>3</v>
      </c>
      <c r="BG213" s="3" t="s">
        <v>3</v>
      </c>
      <c r="BH213" s="3">
        <v>3</v>
      </c>
      <c r="BI213" s="3">
        <v>3</v>
      </c>
      <c r="BJ213" s="3" t="s">
        <v>283</v>
      </c>
      <c r="BM213" s="3">
        <v>400007</v>
      </c>
      <c r="BN213" s="3">
        <v>0</v>
      </c>
      <c r="BO213" s="3" t="s">
        <v>3</v>
      </c>
      <c r="BP213" s="3">
        <v>0</v>
      </c>
      <c r="BQ213" s="3">
        <v>214</v>
      </c>
      <c r="BR213" s="3">
        <v>0</v>
      </c>
      <c r="BS213" s="3">
        <v>1</v>
      </c>
      <c r="BT213" s="3">
        <v>1</v>
      </c>
      <c r="BU213" s="3">
        <v>1</v>
      </c>
      <c r="BV213" s="3">
        <v>1</v>
      </c>
      <c r="BW213" s="3">
        <v>1</v>
      </c>
      <c r="BX213" s="3">
        <v>1</v>
      </c>
      <c r="BY213" s="3" t="s">
        <v>3</v>
      </c>
      <c r="BZ213" s="3">
        <v>0</v>
      </c>
      <c r="CA213" s="3">
        <v>0</v>
      </c>
      <c r="CB213" s="3" t="s">
        <v>3</v>
      </c>
      <c r="CE213" s="3">
        <v>1566</v>
      </c>
      <c r="CF213" s="3">
        <v>0</v>
      </c>
      <c r="CG213" s="3">
        <v>0</v>
      </c>
      <c r="CM213" s="3">
        <v>0</v>
      </c>
      <c r="CN213" s="3" t="s">
        <v>3</v>
      </c>
      <c r="CO213" s="3">
        <v>0</v>
      </c>
      <c r="CP213" s="3">
        <f t="shared" si="171"/>
        <v>26554.799999999999</v>
      </c>
      <c r="CQ213" s="3">
        <f t="shared" si="172"/>
        <v>2655.48</v>
      </c>
      <c r="CR213" s="3">
        <f>(ROUND((ROUND(((ET213)*AV213*1),2)*BB213),2)+ROUND((ROUND(((AE213-(EU213))*AV213*1),2)*BS213),2))</f>
        <v>0</v>
      </c>
      <c r="CS213" s="3">
        <f>(ROUND((ROUND(((EU213)*AV213*1),2)*BS213),2)+ROUND((ROUND(((AE213-(EU213))*AV213*1),2)*BS213),2))</f>
        <v>0</v>
      </c>
      <c r="CT213" s="3">
        <f t="shared" si="173"/>
        <v>0</v>
      </c>
      <c r="CU213" s="3">
        <f t="shared" si="174"/>
        <v>0</v>
      </c>
      <c r="CV213" s="3">
        <f t="shared" si="175"/>
        <v>0</v>
      </c>
      <c r="CW213" s="3">
        <f t="shared" si="176"/>
        <v>0</v>
      </c>
      <c r="CX213" s="3">
        <f t="shared" si="177"/>
        <v>0</v>
      </c>
      <c r="CY213" s="3">
        <f>(ROUND((((S213+ROUND((ROUND(((EU213)*AV213*1),2)*BS213),2))*AT213)/100),2)+ROUND(((ROUND((ROUND(((AE213-(EU213))*AV213*1),2)*BS213),2)*AT213)/100),2))</f>
        <v>0</v>
      </c>
      <c r="CZ213" s="3">
        <f>(ROUND((((S213+ROUND((ROUND(((EU213)*AV213*1),2)*BS213),2))*AU213)/100),2)+ROUND(((ROUND((ROUND(((AE213-(EU213))*AV213*1),2)*BS213),2)*AU213)/100),2))</f>
        <v>0</v>
      </c>
      <c r="DC213" s="3" t="s">
        <v>3</v>
      </c>
      <c r="DD213" s="3" t="s">
        <v>3</v>
      </c>
      <c r="DE213" s="3" t="s">
        <v>3</v>
      </c>
      <c r="DF213" s="3" t="s">
        <v>3</v>
      </c>
      <c r="DG213" s="3" t="s">
        <v>3</v>
      </c>
      <c r="DH213" s="3" t="s">
        <v>3</v>
      </c>
      <c r="DI213" s="3" t="s">
        <v>3</v>
      </c>
      <c r="DJ213" s="3" t="s">
        <v>3</v>
      </c>
      <c r="DK213" s="3" t="s">
        <v>3</v>
      </c>
      <c r="DL213" s="3" t="s">
        <v>3</v>
      </c>
      <c r="DM213" s="3" t="s">
        <v>3</v>
      </c>
      <c r="DN213" s="3">
        <v>0</v>
      </c>
      <c r="DO213" s="3">
        <v>0</v>
      </c>
      <c r="DP213" s="3">
        <v>1</v>
      </c>
      <c r="DQ213" s="3">
        <v>1</v>
      </c>
      <c r="DU213" s="3">
        <v>1013</v>
      </c>
      <c r="DV213" s="3" t="s">
        <v>152</v>
      </c>
      <c r="DW213" s="3" t="s">
        <v>152</v>
      </c>
      <c r="DX213" s="3">
        <v>1</v>
      </c>
      <c r="DZ213" s="3" t="s">
        <v>3</v>
      </c>
      <c r="EA213" s="3" t="s">
        <v>3</v>
      </c>
      <c r="EB213" s="3" t="s">
        <v>3</v>
      </c>
      <c r="EC213" s="3" t="s">
        <v>3</v>
      </c>
      <c r="EE213" s="3">
        <v>57042890</v>
      </c>
      <c r="EF213" s="3">
        <v>214</v>
      </c>
      <c r="EG213" s="3" t="s">
        <v>153</v>
      </c>
      <c r="EH213" s="3">
        <v>0</v>
      </c>
      <c r="EI213" s="3" t="s">
        <v>3</v>
      </c>
      <c r="EJ213" s="3">
        <v>3</v>
      </c>
      <c r="EK213" s="3">
        <v>400007</v>
      </c>
      <c r="EL213" s="3" t="s">
        <v>153</v>
      </c>
      <c r="EM213" s="3" t="s">
        <v>154</v>
      </c>
      <c r="EO213" s="3" t="s">
        <v>3</v>
      </c>
      <c r="EQ213" s="3">
        <v>16</v>
      </c>
      <c r="ER213" s="3">
        <v>0</v>
      </c>
      <c r="ES213" s="3">
        <v>350.79</v>
      </c>
      <c r="ET213" s="3">
        <v>0</v>
      </c>
      <c r="EU213" s="3">
        <v>0</v>
      </c>
      <c r="EV213" s="3">
        <v>0</v>
      </c>
      <c r="EW213" s="3">
        <v>0</v>
      </c>
      <c r="EX213" s="3">
        <v>0</v>
      </c>
      <c r="EY213" s="3">
        <v>0</v>
      </c>
      <c r="EZ213" s="3">
        <v>5</v>
      </c>
      <c r="FC213" s="3">
        <v>1</v>
      </c>
      <c r="FD213" s="3">
        <v>18</v>
      </c>
      <c r="FF213" s="3">
        <v>3108</v>
      </c>
      <c r="FQ213" s="3">
        <v>0</v>
      </c>
      <c r="FR213" s="3">
        <f>P213</f>
        <v>26554.799999999999</v>
      </c>
      <c r="FS213" s="3">
        <v>0</v>
      </c>
      <c r="FX213" s="3">
        <v>0</v>
      </c>
      <c r="FY213" s="3">
        <v>0</v>
      </c>
      <c r="GA213" s="3" t="s">
        <v>285</v>
      </c>
      <c r="GD213" s="3">
        <v>1</v>
      </c>
      <c r="GF213" s="3">
        <v>866802002</v>
      </c>
      <c r="GG213" s="3">
        <v>2</v>
      </c>
      <c r="GH213" s="3">
        <v>3</v>
      </c>
      <c r="GI213" s="3">
        <v>5</v>
      </c>
      <c r="GJ213" s="3">
        <v>0</v>
      </c>
      <c r="GK213" s="3">
        <v>0</v>
      </c>
      <c r="GL213" s="3">
        <f t="shared" si="178"/>
        <v>0</v>
      </c>
      <c r="GM213" s="3">
        <f t="shared" si="179"/>
        <v>26554.799999999999</v>
      </c>
      <c r="GN213" s="3">
        <f t="shared" si="180"/>
        <v>0</v>
      </c>
      <c r="GO213" s="3">
        <f t="shared" si="181"/>
        <v>0</v>
      </c>
      <c r="GP213" s="3">
        <f t="shared" si="182"/>
        <v>0</v>
      </c>
      <c r="GR213" s="3">
        <v>1</v>
      </c>
      <c r="GS213" s="3">
        <v>1</v>
      </c>
      <c r="GT213" s="3">
        <v>0</v>
      </c>
      <c r="GU213" s="3" t="s">
        <v>3</v>
      </c>
      <c r="GV213" s="3">
        <f t="shared" si="183"/>
        <v>0</v>
      </c>
      <c r="GW213" s="3">
        <v>1</v>
      </c>
      <c r="GX213" s="3">
        <f t="shared" si="184"/>
        <v>0</v>
      </c>
      <c r="HA213" s="3">
        <v>0</v>
      </c>
      <c r="HB213" s="3">
        <v>0</v>
      </c>
      <c r="HC213" s="3">
        <f t="shared" si="185"/>
        <v>0</v>
      </c>
      <c r="HE213" s="3" t="s">
        <v>39</v>
      </c>
      <c r="HF213" s="3" t="s">
        <v>156</v>
      </c>
      <c r="HM213" s="3" t="s">
        <v>3</v>
      </c>
      <c r="HN213" s="3" t="s">
        <v>3</v>
      </c>
      <c r="HO213" s="3" t="s">
        <v>3</v>
      </c>
      <c r="HP213" s="3" t="s">
        <v>3</v>
      </c>
      <c r="HQ213" s="3" t="s">
        <v>3</v>
      </c>
      <c r="HS213" s="3">
        <v>0</v>
      </c>
      <c r="IK213" s="3">
        <v>0</v>
      </c>
    </row>
    <row r="214" spans="1:255" x14ac:dyDescent="0.25">
      <c r="A214" s="2">
        <v>17</v>
      </c>
      <c r="B214" s="2">
        <v>1</v>
      </c>
      <c r="C214" s="2">
        <f>ROW(SmtRes!A207)</f>
        <v>207</v>
      </c>
      <c r="D214" s="2">
        <f>ROW(EtalonRes!A265)</f>
        <v>265</v>
      </c>
      <c r="E214" s="2" t="s">
        <v>286</v>
      </c>
      <c r="F214" s="2" t="s">
        <v>271</v>
      </c>
      <c r="G214" s="2" t="s">
        <v>272</v>
      </c>
      <c r="H214" s="2" t="s">
        <v>27</v>
      </c>
      <c r="I214" s="2">
        <v>2</v>
      </c>
      <c r="J214" s="2">
        <v>0</v>
      </c>
      <c r="K214" s="2">
        <v>2</v>
      </c>
      <c r="L214" s="2"/>
      <c r="M214" s="2"/>
      <c r="N214" s="2"/>
      <c r="O214" s="2">
        <f t="shared" si="159"/>
        <v>89.39</v>
      </c>
      <c r="P214" s="2">
        <f t="shared" si="160"/>
        <v>7.42</v>
      </c>
      <c r="Q214" s="2">
        <f>(ROUND((ROUND((((ET214*1.2))*AV214*I214),2)*BB214),2)+ROUND((ROUND(((AE214-((EU214*1.2)))*AV214*I214),2)*BS214),2))</f>
        <v>0.13</v>
      </c>
      <c r="R214" s="2">
        <f>(ROUND((ROUND((((EU214*1.2))*AV214*I214),2)*BS214),2)+ROUND((ROUND(((AE214-((EU214*1.2)))*AV214*I214),2)*BS214),2))</f>
        <v>0.03</v>
      </c>
      <c r="S214" s="2">
        <f t="shared" si="161"/>
        <v>81.84</v>
      </c>
      <c r="T214" s="2">
        <f t="shared" si="162"/>
        <v>0</v>
      </c>
      <c r="U214" s="2">
        <f t="shared" si="163"/>
        <v>6.0307199999999996</v>
      </c>
      <c r="V214" s="2">
        <f t="shared" si="164"/>
        <v>0</v>
      </c>
      <c r="W214" s="2">
        <f t="shared" si="165"/>
        <v>0</v>
      </c>
      <c r="X214" s="2">
        <f>(ROUND((((S214+ROUND((ROUND((((EU214*1.2))*AV214*I214),2)*BS214),2))*AT214)/100),2)+ROUND(((ROUND((ROUND(((AE214-((EU214*1.2)))*AV214*I214),2)*BS214),2)*AT214)/100),2))</f>
        <v>73.680000000000007</v>
      </c>
      <c r="Y214" s="2">
        <f>(ROUND((((S214+ROUND((ROUND((((EU214*1.2))*AV214*I214),2)*BS214),2))*AU214)/100),2)+ROUND(((ROUND((ROUND(((AE214-((EU214*1.2)))*AV214*I214),2)*BS214),2)*AU214)/100),2))</f>
        <v>37.659999999999997</v>
      </c>
      <c r="Z214" s="2"/>
      <c r="AA214" s="2">
        <v>57014138</v>
      </c>
      <c r="AB214" s="2">
        <f t="shared" si="166"/>
        <v>42.853999999999999</v>
      </c>
      <c r="AC214" s="2">
        <f>ROUND(((ES214*1)),6)</f>
        <v>3.71</v>
      </c>
      <c r="AD214" s="2">
        <f>ROUND(((((ET214*1.2))-((EU214*1.2)))+AE214),6)</f>
        <v>0.06</v>
      </c>
      <c r="AE214" s="2">
        <f>ROUND(((EU214*1.2)),6)</f>
        <v>1.2E-2</v>
      </c>
      <c r="AF214" s="2">
        <f>ROUND(((EV214*1.2)),6)</f>
        <v>39.084000000000003</v>
      </c>
      <c r="AG214" s="2">
        <f t="shared" si="168"/>
        <v>0</v>
      </c>
      <c r="AH214" s="2">
        <f>((EW214*1.2))</f>
        <v>2.88</v>
      </c>
      <c r="AI214" s="2">
        <f>((EX214*1.2))</f>
        <v>0</v>
      </c>
      <c r="AJ214" s="2">
        <f t="shared" si="170"/>
        <v>0</v>
      </c>
      <c r="AK214" s="2">
        <v>36.33</v>
      </c>
      <c r="AL214" s="2">
        <v>3.71</v>
      </c>
      <c r="AM214" s="2">
        <v>0.05</v>
      </c>
      <c r="AN214" s="2">
        <v>0.01</v>
      </c>
      <c r="AO214" s="2">
        <v>32.57</v>
      </c>
      <c r="AP214" s="2">
        <v>0</v>
      </c>
      <c r="AQ214" s="2">
        <v>2.4</v>
      </c>
      <c r="AR214" s="2">
        <v>0</v>
      </c>
      <c r="AS214" s="2">
        <v>0</v>
      </c>
      <c r="AT214" s="2">
        <v>90</v>
      </c>
      <c r="AU214" s="2">
        <v>46</v>
      </c>
      <c r="AV214" s="2">
        <v>1.0469999999999999</v>
      </c>
      <c r="AW214" s="2">
        <v>1</v>
      </c>
      <c r="AX214" s="2"/>
      <c r="AY214" s="2"/>
      <c r="AZ214" s="2">
        <v>1</v>
      </c>
      <c r="BA214" s="2">
        <v>1</v>
      </c>
      <c r="BB214" s="2">
        <v>1</v>
      </c>
      <c r="BC214" s="2">
        <v>1</v>
      </c>
      <c r="BD214" s="2" t="s">
        <v>3</v>
      </c>
      <c r="BE214" s="2" t="s">
        <v>3</v>
      </c>
      <c r="BF214" s="2" t="s">
        <v>3</v>
      </c>
      <c r="BG214" s="2" t="s">
        <v>3</v>
      </c>
      <c r="BH214" s="2">
        <v>0</v>
      </c>
      <c r="BI214" s="2">
        <v>2</v>
      </c>
      <c r="BJ214" s="2" t="s">
        <v>273</v>
      </c>
      <c r="BK214" s="2"/>
      <c r="BL214" s="2"/>
      <c r="BM214" s="2">
        <v>68</v>
      </c>
      <c r="BN214" s="2">
        <v>0</v>
      </c>
      <c r="BO214" s="2" t="s">
        <v>271</v>
      </c>
      <c r="BP214" s="2">
        <v>1</v>
      </c>
      <c r="BQ214" s="2">
        <v>40</v>
      </c>
      <c r="BR214" s="2">
        <v>0</v>
      </c>
      <c r="BS214" s="2">
        <v>1</v>
      </c>
      <c r="BT214" s="2">
        <v>1</v>
      </c>
      <c r="BU214" s="2">
        <v>1</v>
      </c>
      <c r="BV214" s="2">
        <v>1</v>
      </c>
      <c r="BW214" s="2">
        <v>1</v>
      </c>
      <c r="BX214" s="2">
        <v>1</v>
      </c>
      <c r="BY214" s="2" t="s">
        <v>3</v>
      </c>
      <c r="BZ214" s="2">
        <v>90</v>
      </c>
      <c r="CA214" s="2">
        <v>46</v>
      </c>
      <c r="CB214" s="2" t="s">
        <v>3</v>
      </c>
      <c r="CC214" s="2"/>
      <c r="CD214" s="2"/>
      <c r="CE214" s="2">
        <v>1566</v>
      </c>
      <c r="CF214" s="2">
        <v>0</v>
      </c>
      <c r="CG214" s="2">
        <v>0</v>
      </c>
      <c r="CH214" s="2"/>
      <c r="CI214" s="2"/>
      <c r="CJ214" s="2"/>
      <c r="CK214" s="2"/>
      <c r="CL214" s="2"/>
      <c r="CM214" s="2">
        <v>0</v>
      </c>
      <c r="CN214" s="2" t="s">
        <v>624</v>
      </c>
      <c r="CO214" s="2">
        <v>0</v>
      </c>
      <c r="CP214" s="2">
        <f t="shared" si="171"/>
        <v>89.39</v>
      </c>
      <c r="CQ214" s="2">
        <f t="shared" si="172"/>
        <v>3.71</v>
      </c>
      <c r="CR214" s="2">
        <f>(ROUND((ROUND((((ET214*1.2))*AV214*1),2)*BB214),2)+ROUND((ROUND(((AE214-((EU214*1.2)))*AV214*1),2)*BS214),2))</f>
        <v>0.06</v>
      </c>
      <c r="CS214" s="2">
        <f>(ROUND((ROUND((((EU214*1.2))*AV214*1),2)*BS214),2)+ROUND((ROUND(((AE214-((EU214*1.2)))*AV214*1),2)*BS214),2))</f>
        <v>0.01</v>
      </c>
      <c r="CT214" s="2">
        <f t="shared" si="173"/>
        <v>40.92</v>
      </c>
      <c r="CU214" s="2">
        <f t="shared" si="174"/>
        <v>0</v>
      </c>
      <c r="CV214" s="2">
        <f t="shared" si="175"/>
        <v>3.0153599999999998</v>
      </c>
      <c r="CW214" s="2">
        <f t="shared" si="176"/>
        <v>0</v>
      </c>
      <c r="CX214" s="2">
        <f t="shared" si="177"/>
        <v>0</v>
      </c>
      <c r="CY214" s="2">
        <f>(ROUND((((S214+ROUND((ROUND((((EU214*1.2))*AV214*1),2)*BS214),2))*AT214)/100),2)+ROUND(((ROUND((ROUND(((AE214-((EU214*1.2)))*AV214*1),2)*BS214),2)*AT214)/100),2))</f>
        <v>73.67</v>
      </c>
      <c r="CZ214" s="2">
        <f>(ROUND((((S214+ROUND((ROUND((((EU214*1.2))*AV214*1),2)*BS214),2))*AU214)/100),2)+ROUND(((ROUND((ROUND(((AE214-((EU214*1.2)))*AV214*1),2)*BS214),2)*AU214)/100),2))</f>
        <v>37.65</v>
      </c>
      <c r="DA214" s="2"/>
      <c r="DB214" s="2">
        <v>85</v>
      </c>
      <c r="DC214" s="2" t="s">
        <v>3</v>
      </c>
      <c r="DD214" s="2" t="s">
        <v>70</v>
      </c>
      <c r="DE214" s="2" t="s">
        <v>71</v>
      </c>
      <c r="DF214" s="2" t="s">
        <v>71</v>
      </c>
      <c r="DG214" s="2" t="s">
        <v>71</v>
      </c>
      <c r="DH214" s="2" t="s">
        <v>3</v>
      </c>
      <c r="DI214" s="2" t="s">
        <v>71</v>
      </c>
      <c r="DJ214" s="2" t="s">
        <v>71</v>
      </c>
      <c r="DK214" s="2" t="s">
        <v>3</v>
      </c>
      <c r="DL214" s="2" t="s">
        <v>3</v>
      </c>
      <c r="DM214" s="2" t="s">
        <v>3</v>
      </c>
      <c r="DN214" s="2">
        <v>0</v>
      </c>
      <c r="DO214" s="2">
        <v>0</v>
      </c>
      <c r="DP214" s="2">
        <v>1</v>
      </c>
      <c r="DQ214" s="2">
        <v>1</v>
      </c>
      <c r="DR214" s="2"/>
      <c r="DS214" s="2"/>
      <c r="DT214" s="2"/>
      <c r="DU214" s="2">
        <v>1013</v>
      </c>
      <c r="DV214" s="2" t="s">
        <v>27</v>
      </c>
      <c r="DW214" s="2" t="s">
        <v>27</v>
      </c>
      <c r="DX214" s="2">
        <v>1</v>
      </c>
      <c r="DY214" s="2"/>
      <c r="DZ214" s="2" t="s">
        <v>3</v>
      </c>
      <c r="EA214" s="2" t="s">
        <v>3</v>
      </c>
      <c r="EB214" s="2" t="s">
        <v>3</v>
      </c>
      <c r="EC214" s="2" t="s">
        <v>3</v>
      </c>
      <c r="ED214" s="2"/>
      <c r="EE214" s="2">
        <v>57042958</v>
      </c>
      <c r="EF214" s="2">
        <v>40</v>
      </c>
      <c r="EG214" s="2" t="s">
        <v>31</v>
      </c>
      <c r="EH214" s="2">
        <v>0</v>
      </c>
      <c r="EI214" s="2" t="s">
        <v>3</v>
      </c>
      <c r="EJ214" s="2">
        <v>2</v>
      </c>
      <c r="EK214" s="2">
        <v>68</v>
      </c>
      <c r="EL214" s="2" t="s">
        <v>32</v>
      </c>
      <c r="EM214" s="2" t="s">
        <v>33</v>
      </c>
      <c r="EN214" s="2"/>
      <c r="EO214" s="2" t="s">
        <v>75</v>
      </c>
      <c r="EP214" s="2"/>
      <c r="EQ214" s="2">
        <v>0</v>
      </c>
      <c r="ER214" s="2">
        <v>36.33</v>
      </c>
      <c r="ES214" s="2">
        <v>3.71</v>
      </c>
      <c r="ET214" s="2">
        <v>0.05</v>
      </c>
      <c r="EU214" s="2">
        <v>0.01</v>
      </c>
      <c r="EV214" s="2">
        <v>32.57</v>
      </c>
      <c r="EW214" s="2">
        <v>2.4</v>
      </c>
      <c r="EX214" s="2">
        <v>0</v>
      </c>
      <c r="EY214" s="2">
        <v>0</v>
      </c>
      <c r="EZ214" s="2"/>
      <c r="FA214" s="2"/>
      <c r="FB214" s="2"/>
      <c r="FC214" s="2"/>
      <c r="FD214" s="2"/>
      <c r="FE214" s="2"/>
      <c r="FF214" s="2"/>
      <c r="FG214" s="2"/>
      <c r="FH214" s="2"/>
      <c r="FI214" s="2"/>
      <c r="FJ214" s="2"/>
      <c r="FK214" s="2"/>
      <c r="FL214" s="2"/>
      <c r="FM214" s="2"/>
      <c r="FN214" s="2"/>
      <c r="FO214" s="2"/>
      <c r="FP214" s="2"/>
      <c r="FQ214" s="2">
        <v>0</v>
      </c>
      <c r="FR214" s="2">
        <v>0</v>
      </c>
      <c r="FS214" s="2">
        <v>0</v>
      </c>
      <c r="FT214" s="2"/>
      <c r="FU214" s="2"/>
      <c r="FV214" s="2"/>
      <c r="FW214" s="2"/>
      <c r="FX214" s="2">
        <v>90</v>
      </c>
      <c r="FY214" s="2">
        <v>46</v>
      </c>
      <c r="FZ214" s="2"/>
      <c r="GA214" s="2" t="s">
        <v>3</v>
      </c>
      <c r="GB214" s="2"/>
      <c r="GC214" s="2"/>
      <c r="GD214" s="2">
        <v>1</v>
      </c>
      <c r="GE214" s="2"/>
      <c r="GF214" s="2">
        <v>-836136775</v>
      </c>
      <c r="GG214" s="2">
        <v>2</v>
      </c>
      <c r="GH214" s="2">
        <v>1</v>
      </c>
      <c r="GI214" s="2">
        <v>2</v>
      </c>
      <c r="GJ214" s="2">
        <v>0</v>
      </c>
      <c r="GK214" s="2">
        <v>0</v>
      </c>
      <c r="GL214" s="2">
        <f t="shared" si="178"/>
        <v>0</v>
      </c>
      <c r="GM214" s="2">
        <f t="shared" si="179"/>
        <v>200.73</v>
      </c>
      <c r="GN214" s="2">
        <f t="shared" si="180"/>
        <v>0</v>
      </c>
      <c r="GO214" s="2">
        <f t="shared" si="181"/>
        <v>200.73</v>
      </c>
      <c r="GP214" s="2">
        <f t="shared" si="182"/>
        <v>0</v>
      </c>
      <c r="GQ214" s="2"/>
      <c r="GR214" s="2">
        <v>0</v>
      </c>
      <c r="GS214" s="2">
        <v>3</v>
      </c>
      <c r="GT214" s="2">
        <v>0</v>
      </c>
      <c r="GU214" s="2" t="s">
        <v>3</v>
      </c>
      <c r="GV214" s="2">
        <f t="shared" si="183"/>
        <v>0</v>
      </c>
      <c r="GW214" s="2">
        <v>1</v>
      </c>
      <c r="GX214" s="2">
        <f t="shared" si="184"/>
        <v>0</v>
      </c>
      <c r="GY214" s="2"/>
      <c r="GZ214" s="2"/>
      <c r="HA214" s="2">
        <v>0</v>
      </c>
      <c r="HB214" s="2">
        <v>0</v>
      </c>
      <c r="HC214" s="2">
        <f t="shared" si="185"/>
        <v>0</v>
      </c>
      <c r="HD214" s="2"/>
      <c r="HE214" s="2" t="s">
        <v>3</v>
      </c>
      <c r="HF214" s="2" t="s">
        <v>3</v>
      </c>
      <c r="HG214" s="2"/>
      <c r="HH214" s="2"/>
      <c r="HI214" s="2"/>
      <c r="HJ214" s="2"/>
      <c r="HK214" s="2"/>
      <c r="HL214" s="2"/>
      <c r="HM214" s="2" t="s">
        <v>3</v>
      </c>
      <c r="HN214" s="2" t="s">
        <v>3</v>
      </c>
      <c r="HO214" s="2" t="s">
        <v>3</v>
      </c>
      <c r="HP214" s="2" t="s">
        <v>3</v>
      </c>
      <c r="HQ214" s="2" t="s">
        <v>3</v>
      </c>
      <c r="HR214" s="2"/>
      <c r="HS214" s="2">
        <v>0</v>
      </c>
      <c r="HT214" s="2"/>
      <c r="HU214" s="2"/>
      <c r="HV214" s="2"/>
      <c r="HW214" s="2"/>
      <c r="HX214" s="2"/>
      <c r="HY214" s="2"/>
      <c r="HZ214" s="2"/>
      <c r="IA214" s="2"/>
      <c r="IB214" s="2"/>
      <c r="IC214" s="2"/>
      <c r="ID214" s="2"/>
      <c r="IE214" s="2"/>
      <c r="IF214" s="2"/>
      <c r="IG214" s="2"/>
      <c r="IH214" s="2"/>
      <c r="II214" s="2"/>
      <c r="IJ214" s="2"/>
      <c r="IK214" s="2">
        <v>0</v>
      </c>
      <c r="IL214" s="2"/>
      <c r="IM214" s="2"/>
      <c r="IN214" s="2"/>
      <c r="IO214" s="2"/>
      <c r="IP214" s="2"/>
      <c r="IQ214" s="2"/>
      <c r="IR214" s="2"/>
      <c r="IS214" s="2"/>
      <c r="IT214" s="2"/>
      <c r="IU214" s="2"/>
    </row>
    <row r="215" spans="1:255" x14ac:dyDescent="0.25">
      <c r="A215" s="3">
        <v>17</v>
      </c>
      <c r="B215" s="3">
        <v>1</v>
      </c>
      <c r="C215" s="3">
        <f>ROW(SmtRes!A208)</f>
        <v>208</v>
      </c>
      <c r="D215" s="3">
        <f>ROW(EtalonRes!A266)</f>
        <v>266</v>
      </c>
      <c r="E215" s="3" t="s">
        <v>286</v>
      </c>
      <c r="F215" s="3" t="s">
        <v>271</v>
      </c>
      <c r="G215" s="3" t="s">
        <v>272</v>
      </c>
      <c r="H215" s="3" t="s">
        <v>27</v>
      </c>
      <c r="I215" s="3">
        <v>2</v>
      </c>
      <c r="J215" s="3">
        <v>0</v>
      </c>
      <c r="K215" s="3">
        <v>2</v>
      </c>
      <c r="O215" s="3">
        <f t="shared" si="159"/>
        <v>4687.29</v>
      </c>
      <c r="P215" s="3">
        <f t="shared" si="160"/>
        <v>73.010000000000005</v>
      </c>
      <c r="Q215" s="3">
        <f>(ROUND((ROUND((((ET215*1.2))*AV215*I215),2)*BB215),2)+ROUND((ROUND(((AE215-((EU215*1.2)))*AV215*I215),2)*BS215),2))</f>
        <v>2.6</v>
      </c>
      <c r="R215" s="3">
        <f>(ROUND((ROUND((((EU215*1.2))*AV215*I215),2)*BS215),2)+ROUND((ROUND(((AE215-((EU215*1.2)))*AV215*I215),2)*BS215),2))</f>
        <v>1.69</v>
      </c>
      <c r="S215" s="3">
        <f t="shared" si="161"/>
        <v>4611.68</v>
      </c>
      <c r="T215" s="3">
        <f t="shared" si="162"/>
        <v>0</v>
      </c>
      <c r="U215" s="3">
        <f t="shared" si="163"/>
        <v>6.0307199999999996</v>
      </c>
      <c r="V215" s="3">
        <f t="shared" si="164"/>
        <v>0</v>
      </c>
      <c r="W215" s="3">
        <f t="shared" si="165"/>
        <v>0</v>
      </c>
      <c r="X215" s="3">
        <f>(ROUND((((S215+ROUND((ROUND((((EU215*1.2))*AV215*I215),2)*BS215),2))*AT215)/100),2)+ROUND(((ROUND((ROUND(((AE215-((EU215*1.2)))*AV215*I215),2)*BS215),2)*AT215)/100),2))</f>
        <v>4152.03</v>
      </c>
      <c r="Y215" s="3">
        <f>(ROUND((((S215+ROUND((ROUND((((EU215*1.2))*AV215*I215),2)*BS215),2))*AU215)/100),2)+ROUND(((ROUND((ROUND(((AE215-((EU215*1.2)))*AV215*I215),2)*BS215),2)*AU215)/100),2))</f>
        <v>2122.15</v>
      </c>
      <c r="AA215" s="3">
        <v>57014140</v>
      </c>
      <c r="AB215" s="3">
        <f t="shared" si="166"/>
        <v>42.853999999999999</v>
      </c>
      <c r="AC215" s="3">
        <f>ROUND(((ES215*1)),6)</f>
        <v>3.71</v>
      </c>
      <c r="AD215" s="3">
        <f>ROUND(((((ET215*1.2))-((EU215*1.2)))+AE215),6)</f>
        <v>0.06</v>
      </c>
      <c r="AE215" s="3">
        <f>ROUND(((EU215*1.2)),6)</f>
        <v>1.2E-2</v>
      </c>
      <c r="AF215" s="3">
        <f>ROUND(((EV215*1.2)),6)</f>
        <v>39.084000000000003</v>
      </c>
      <c r="AG215" s="3">
        <f t="shared" si="168"/>
        <v>0</v>
      </c>
      <c r="AH215" s="3">
        <f>((EW215*1.2))</f>
        <v>2.88</v>
      </c>
      <c r="AI215" s="3">
        <f>((EX215*1.2))</f>
        <v>0</v>
      </c>
      <c r="AJ215" s="3">
        <f t="shared" si="170"/>
        <v>0</v>
      </c>
      <c r="AK215" s="3">
        <v>36.33</v>
      </c>
      <c r="AL215" s="3">
        <v>3.71</v>
      </c>
      <c r="AM215" s="3">
        <v>0.05</v>
      </c>
      <c r="AN215" s="3">
        <v>0.01</v>
      </c>
      <c r="AO215" s="3">
        <v>32.57</v>
      </c>
      <c r="AP215" s="3">
        <v>0</v>
      </c>
      <c r="AQ215" s="3">
        <v>2.4</v>
      </c>
      <c r="AR215" s="3">
        <v>0</v>
      </c>
      <c r="AS215" s="3">
        <v>0</v>
      </c>
      <c r="AT215" s="3">
        <v>90</v>
      </c>
      <c r="AU215" s="3">
        <v>46</v>
      </c>
      <c r="AV215" s="3">
        <v>1.0469999999999999</v>
      </c>
      <c r="AW215" s="3">
        <v>1</v>
      </c>
      <c r="AZ215" s="3">
        <v>1</v>
      </c>
      <c r="BA215" s="3">
        <v>56.35</v>
      </c>
      <c r="BB215" s="3">
        <v>20</v>
      </c>
      <c r="BC215" s="3">
        <v>9.84</v>
      </c>
      <c r="BD215" s="3" t="s">
        <v>3</v>
      </c>
      <c r="BE215" s="3" t="s">
        <v>3</v>
      </c>
      <c r="BF215" s="3" t="s">
        <v>3</v>
      </c>
      <c r="BG215" s="3" t="s">
        <v>3</v>
      </c>
      <c r="BH215" s="3">
        <v>0</v>
      </c>
      <c r="BI215" s="3">
        <v>2</v>
      </c>
      <c r="BJ215" s="3" t="s">
        <v>273</v>
      </c>
      <c r="BM215" s="3">
        <v>68</v>
      </c>
      <c r="BN215" s="3">
        <v>0</v>
      </c>
      <c r="BO215" s="3" t="s">
        <v>271</v>
      </c>
      <c r="BP215" s="3">
        <v>1</v>
      </c>
      <c r="BQ215" s="3">
        <v>40</v>
      </c>
      <c r="BR215" s="3">
        <v>0</v>
      </c>
      <c r="BS215" s="3">
        <v>56.35</v>
      </c>
      <c r="BT215" s="3">
        <v>1</v>
      </c>
      <c r="BU215" s="3">
        <v>1</v>
      </c>
      <c r="BV215" s="3">
        <v>1</v>
      </c>
      <c r="BW215" s="3">
        <v>1</v>
      </c>
      <c r="BX215" s="3">
        <v>1</v>
      </c>
      <c r="BY215" s="3" t="s">
        <v>3</v>
      </c>
      <c r="BZ215" s="3">
        <v>90</v>
      </c>
      <c r="CA215" s="3">
        <v>46</v>
      </c>
      <c r="CB215" s="3" t="s">
        <v>3</v>
      </c>
      <c r="CE215" s="3">
        <v>1566</v>
      </c>
      <c r="CF215" s="3">
        <v>0</v>
      </c>
      <c r="CG215" s="3">
        <v>0</v>
      </c>
      <c r="CM215" s="3">
        <v>0</v>
      </c>
      <c r="CN215" s="3" t="s">
        <v>624</v>
      </c>
      <c r="CO215" s="3">
        <v>0</v>
      </c>
      <c r="CP215" s="3">
        <f t="shared" si="171"/>
        <v>4687.29</v>
      </c>
      <c r="CQ215" s="3">
        <f t="shared" si="172"/>
        <v>36.51</v>
      </c>
      <c r="CR215" s="3">
        <f>(ROUND((ROUND((((ET215*1.2))*AV215*1),2)*BB215),2)+ROUND((ROUND(((AE215-((EU215*1.2)))*AV215*1),2)*BS215),2))</f>
        <v>1.2</v>
      </c>
      <c r="CS215" s="3">
        <f>(ROUND((ROUND((((EU215*1.2))*AV215*1),2)*BS215),2)+ROUND((ROUND(((AE215-((EU215*1.2)))*AV215*1),2)*BS215),2))</f>
        <v>0.56000000000000005</v>
      </c>
      <c r="CT215" s="3">
        <f t="shared" si="173"/>
        <v>2305.84</v>
      </c>
      <c r="CU215" s="3">
        <f t="shared" si="174"/>
        <v>0</v>
      </c>
      <c r="CV215" s="3">
        <f t="shared" si="175"/>
        <v>3.0153599999999998</v>
      </c>
      <c r="CW215" s="3">
        <f t="shared" si="176"/>
        <v>0</v>
      </c>
      <c r="CX215" s="3">
        <f t="shared" si="177"/>
        <v>0</v>
      </c>
      <c r="CY215" s="3">
        <f>(ROUND((((S215+ROUND((ROUND((((EU215*1.2))*AV215*1),2)*BS215),2))*AT215)/100),2)+ROUND(((ROUND((ROUND(((AE215-((EU215*1.2)))*AV215*1),2)*BS215),2)*AT215)/100),2))</f>
        <v>4151.0200000000004</v>
      </c>
      <c r="CZ215" s="3">
        <f>(ROUND((((S215+ROUND((ROUND((((EU215*1.2))*AV215*1),2)*BS215),2))*AU215)/100),2)+ROUND(((ROUND((ROUND(((AE215-((EU215*1.2)))*AV215*1),2)*BS215),2)*AU215)/100),2))</f>
        <v>2121.63</v>
      </c>
      <c r="DB215" s="3">
        <v>86</v>
      </c>
      <c r="DC215" s="3" t="s">
        <v>3</v>
      </c>
      <c r="DD215" s="3" t="s">
        <v>70</v>
      </c>
      <c r="DE215" s="3" t="s">
        <v>71</v>
      </c>
      <c r="DF215" s="3" t="s">
        <v>71</v>
      </c>
      <c r="DG215" s="3" t="s">
        <v>71</v>
      </c>
      <c r="DH215" s="3" t="s">
        <v>3</v>
      </c>
      <c r="DI215" s="3" t="s">
        <v>71</v>
      </c>
      <c r="DJ215" s="3" t="s">
        <v>71</v>
      </c>
      <c r="DK215" s="3" t="s">
        <v>3</v>
      </c>
      <c r="DL215" s="3" t="s">
        <v>3</v>
      </c>
      <c r="DM215" s="3" t="s">
        <v>3</v>
      </c>
      <c r="DN215" s="3">
        <v>0</v>
      </c>
      <c r="DO215" s="3">
        <v>0</v>
      </c>
      <c r="DP215" s="3">
        <v>1</v>
      </c>
      <c r="DQ215" s="3">
        <v>1</v>
      </c>
      <c r="DU215" s="3">
        <v>1013</v>
      </c>
      <c r="DV215" s="3" t="s">
        <v>27</v>
      </c>
      <c r="DW215" s="3" t="s">
        <v>27</v>
      </c>
      <c r="DX215" s="3">
        <v>1</v>
      </c>
      <c r="DZ215" s="3" t="s">
        <v>3</v>
      </c>
      <c r="EA215" s="3" t="s">
        <v>3</v>
      </c>
      <c r="EB215" s="3" t="s">
        <v>3</v>
      </c>
      <c r="EC215" s="3" t="s">
        <v>3</v>
      </c>
      <c r="EE215" s="3">
        <v>57042958</v>
      </c>
      <c r="EF215" s="3">
        <v>40</v>
      </c>
      <c r="EG215" s="3" t="s">
        <v>31</v>
      </c>
      <c r="EH215" s="3">
        <v>0</v>
      </c>
      <c r="EI215" s="3" t="s">
        <v>3</v>
      </c>
      <c r="EJ215" s="3">
        <v>2</v>
      </c>
      <c r="EK215" s="3">
        <v>68</v>
      </c>
      <c r="EL215" s="3" t="s">
        <v>32</v>
      </c>
      <c r="EM215" s="3" t="s">
        <v>33</v>
      </c>
      <c r="EO215" s="3" t="s">
        <v>75</v>
      </c>
      <c r="EQ215" s="3">
        <v>0</v>
      </c>
      <c r="ER215" s="3">
        <v>36.33</v>
      </c>
      <c r="ES215" s="3">
        <v>3.71</v>
      </c>
      <c r="ET215" s="3">
        <v>0.05</v>
      </c>
      <c r="EU215" s="3">
        <v>0.01</v>
      </c>
      <c r="EV215" s="3">
        <v>32.57</v>
      </c>
      <c r="EW215" s="3">
        <v>2.4</v>
      </c>
      <c r="EX215" s="3">
        <v>0</v>
      </c>
      <c r="EY215" s="3">
        <v>0</v>
      </c>
      <c r="FQ215" s="3">
        <v>0</v>
      </c>
      <c r="FR215" s="3">
        <v>0</v>
      </c>
      <c r="FS215" s="3">
        <v>0</v>
      </c>
      <c r="FX215" s="3">
        <v>90</v>
      </c>
      <c r="FY215" s="3">
        <v>46</v>
      </c>
      <c r="GA215" s="3" t="s">
        <v>3</v>
      </c>
      <c r="GD215" s="3">
        <v>1</v>
      </c>
      <c r="GF215" s="3">
        <v>-836136775</v>
      </c>
      <c r="GG215" s="3">
        <v>2</v>
      </c>
      <c r="GH215" s="3">
        <v>1</v>
      </c>
      <c r="GI215" s="3">
        <v>2</v>
      </c>
      <c r="GJ215" s="3">
        <v>0</v>
      </c>
      <c r="GK215" s="3">
        <v>0</v>
      </c>
      <c r="GL215" s="3">
        <f t="shared" si="178"/>
        <v>0</v>
      </c>
      <c r="GM215" s="3">
        <f t="shared" si="179"/>
        <v>10961.47</v>
      </c>
      <c r="GN215" s="3">
        <f t="shared" si="180"/>
        <v>0</v>
      </c>
      <c r="GO215" s="3">
        <f t="shared" si="181"/>
        <v>10961.47</v>
      </c>
      <c r="GP215" s="3">
        <f t="shared" si="182"/>
        <v>0</v>
      </c>
      <c r="GR215" s="3">
        <v>0</v>
      </c>
      <c r="GS215" s="3">
        <v>3</v>
      </c>
      <c r="GT215" s="3">
        <v>0</v>
      </c>
      <c r="GU215" s="3" t="s">
        <v>3</v>
      </c>
      <c r="GV215" s="3">
        <f t="shared" si="183"/>
        <v>0</v>
      </c>
      <c r="GW215" s="3">
        <v>1</v>
      </c>
      <c r="GX215" s="3">
        <f t="shared" si="184"/>
        <v>0</v>
      </c>
      <c r="HA215" s="3">
        <v>0</v>
      </c>
      <c r="HB215" s="3">
        <v>0</v>
      </c>
      <c r="HC215" s="3">
        <f t="shared" si="185"/>
        <v>0</v>
      </c>
      <c r="HE215" s="3" t="s">
        <v>3</v>
      </c>
      <c r="HF215" s="3" t="s">
        <v>3</v>
      </c>
      <c r="HM215" s="3" t="s">
        <v>3</v>
      </c>
      <c r="HN215" s="3" t="s">
        <v>3</v>
      </c>
      <c r="HO215" s="3" t="s">
        <v>3</v>
      </c>
      <c r="HP215" s="3" t="s">
        <v>3</v>
      </c>
      <c r="HQ215" s="3" t="s">
        <v>3</v>
      </c>
      <c r="HS215" s="3">
        <v>0</v>
      </c>
      <c r="IK215" s="3">
        <v>0</v>
      </c>
    </row>
    <row r="216" spans="1:255" x14ac:dyDescent="0.25">
      <c r="A216" s="2">
        <v>17</v>
      </c>
      <c r="B216" s="2">
        <v>1</v>
      </c>
      <c r="C216" s="2"/>
      <c r="D216" s="2"/>
      <c r="E216" s="2" t="s">
        <v>287</v>
      </c>
      <c r="F216" s="2" t="s">
        <v>288</v>
      </c>
      <c r="G216" s="2" t="s">
        <v>289</v>
      </c>
      <c r="H216" s="2" t="s">
        <v>152</v>
      </c>
      <c r="I216" s="2">
        <v>2</v>
      </c>
      <c r="J216" s="2">
        <v>0</v>
      </c>
      <c r="K216" s="2">
        <v>2</v>
      </c>
      <c r="L216" s="2"/>
      <c r="M216" s="2"/>
      <c r="N216" s="2"/>
      <c r="O216" s="2">
        <f t="shared" si="159"/>
        <v>1054.6199999999999</v>
      </c>
      <c r="P216" s="2">
        <f t="shared" si="160"/>
        <v>1054.6199999999999</v>
      </c>
      <c r="Q216" s="2">
        <f>(ROUND((ROUND(((ET216)*AV216*I216),2)*BB216),2)+ROUND((ROUND(((AE216-(EU216))*AV216*I216),2)*BS216),2))</f>
        <v>0</v>
      </c>
      <c r="R216" s="2">
        <f>(ROUND((ROUND(((EU216)*AV216*I216),2)*BS216),2)+ROUND((ROUND(((AE216-(EU216))*AV216*I216),2)*BS216),2))</f>
        <v>0</v>
      </c>
      <c r="S216" s="2">
        <f t="shared" si="161"/>
        <v>0</v>
      </c>
      <c r="T216" s="2">
        <f t="shared" si="162"/>
        <v>0</v>
      </c>
      <c r="U216" s="2">
        <f t="shared" si="163"/>
        <v>0</v>
      </c>
      <c r="V216" s="2">
        <f t="shared" si="164"/>
        <v>0</v>
      </c>
      <c r="W216" s="2">
        <f t="shared" si="165"/>
        <v>0</v>
      </c>
      <c r="X216" s="2">
        <f>(ROUND((((S216+ROUND((ROUND(((EU216)*AV216*I216),2)*BS216),2))*AT216)/100),2)+ROUND(((ROUND((ROUND(((AE216-(EU216))*AV216*I216),2)*BS216),2)*AT216)/100),2))</f>
        <v>0</v>
      </c>
      <c r="Y216" s="2">
        <f>(ROUND((((S216+ROUND((ROUND(((EU216)*AV216*I216),2)*BS216),2))*AU216)/100),2)+ROUND(((ROUND((ROUND(((AE216-(EU216))*AV216*I216),2)*BS216),2)*AU216)/100),2))</f>
        <v>0</v>
      </c>
      <c r="Z216" s="2"/>
      <c r="AA216" s="2">
        <v>57014138</v>
      </c>
      <c r="AB216" s="2">
        <f t="shared" si="166"/>
        <v>527.30999999999995</v>
      </c>
      <c r="AC216" s="2">
        <f>ROUND((ES216),6)</f>
        <v>527.30999999999995</v>
      </c>
      <c r="AD216" s="2">
        <f>ROUND((((ET216)-(EU216))+AE216),6)</f>
        <v>0</v>
      </c>
      <c r="AE216" s="2">
        <f>ROUND((EU216),6)</f>
        <v>0</v>
      </c>
      <c r="AF216" s="2">
        <f>ROUND((EV216),6)</f>
        <v>0</v>
      </c>
      <c r="AG216" s="2">
        <f t="shared" si="168"/>
        <v>0</v>
      </c>
      <c r="AH216" s="2">
        <f>(EW216)</f>
        <v>0</v>
      </c>
      <c r="AI216" s="2">
        <f>(EX216)</f>
        <v>0</v>
      </c>
      <c r="AJ216" s="2">
        <f t="shared" si="170"/>
        <v>0</v>
      </c>
      <c r="AK216" s="2">
        <v>527.30999999999995</v>
      </c>
      <c r="AL216" s="2">
        <v>527.30999999999995</v>
      </c>
      <c r="AM216" s="2">
        <v>0</v>
      </c>
      <c r="AN216" s="2">
        <v>0</v>
      </c>
      <c r="AO216" s="2">
        <v>0</v>
      </c>
      <c r="AP216" s="2">
        <v>0</v>
      </c>
      <c r="AQ216" s="2">
        <v>0</v>
      </c>
      <c r="AR216" s="2">
        <v>0</v>
      </c>
      <c r="AS216" s="2">
        <v>0</v>
      </c>
      <c r="AT216" s="2">
        <v>0</v>
      </c>
      <c r="AU216" s="2">
        <v>0</v>
      </c>
      <c r="AV216" s="2">
        <v>1</v>
      </c>
      <c r="AW216" s="2">
        <v>1</v>
      </c>
      <c r="AX216" s="2"/>
      <c r="AY216" s="2"/>
      <c r="AZ216" s="2">
        <v>1</v>
      </c>
      <c r="BA216" s="2">
        <v>1</v>
      </c>
      <c r="BB216" s="2">
        <v>1</v>
      </c>
      <c r="BC216" s="2">
        <v>1</v>
      </c>
      <c r="BD216" s="2" t="s">
        <v>3</v>
      </c>
      <c r="BE216" s="2" t="s">
        <v>3</v>
      </c>
      <c r="BF216" s="2" t="s">
        <v>3</v>
      </c>
      <c r="BG216" s="2" t="s">
        <v>3</v>
      </c>
      <c r="BH216" s="2">
        <v>3</v>
      </c>
      <c r="BI216" s="2">
        <v>3</v>
      </c>
      <c r="BJ216" s="2" t="s">
        <v>288</v>
      </c>
      <c r="BK216" s="2"/>
      <c r="BL216" s="2"/>
      <c r="BM216" s="2">
        <v>400007</v>
      </c>
      <c r="BN216" s="2">
        <v>0</v>
      </c>
      <c r="BO216" s="2" t="s">
        <v>3</v>
      </c>
      <c r="BP216" s="2">
        <v>0</v>
      </c>
      <c r="BQ216" s="2">
        <v>214</v>
      </c>
      <c r="BR216" s="2">
        <v>0</v>
      </c>
      <c r="BS216" s="2">
        <v>1</v>
      </c>
      <c r="BT216" s="2">
        <v>1</v>
      </c>
      <c r="BU216" s="2">
        <v>1</v>
      </c>
      <c r="BV216" s="2">
        <v>1</v>
      </c>
      <c r="BW216" s="2">
        <v>1</v>
      </c>
      <c r="BX216" s="2">
        <v>1</v>
      </c>
      <c r="BY216" s="2" t="s">
        <v>3</v>
      </c>
      <c r="BZ216" s="2">
        <v>0</v>
      </c>
      <c r="CA216" s="2">
        <v>0</v>
      </c>
      <c r="CB216" s="2" t="s">
        <v>3</v>
      </c>
      <c r="CC216" s="2"/>
      <c r="CD216" s="2"/>
      <c r="CE216" s="2">
        <v>1566</v>
      </c>
      <c r="CF216" s="2">
        <v>0</v>
      </c>
      <c r="CG216" s="2">
        <v>0</v>
      </c>
      <c r="CH216" s="2"/>
      <c r="CI216" s="2"/>
      <c r="CJ216" s="2"/>
      <c r="CK216" s="2"/>
      <c r="CL216" s="2"/>
      <c r="CM216" s="2">
        <v>0</v>
      </c>
      <c r="CN216" s="2" t="s">
        <v>3</v>
      </c>
      <c r="CO216" s="2">
        <v>0</v>
      </c>
      <c r="CP216" s="2">
        <f t="shared" si="171"/>
        <v>1054.6199999999999</v>
      </c>
      <c r="CQ216" s="2">
        <f t="shared" si="172"/>
        <v>527.30999999999995</v>
      </c>
      <c r="CR216" s="2">
        <f>(ROUND((ROUND(((ET216)*AV216*1),2)*BB216),2)+ROUND((ROUND(((AE216-(EU216))*AV216*1),2)*BS216),2))</f>
        <v>0</v>
      </c>
      <c r="CS216" s="2">
        <f>(ROUND((ROUND(((EU216)*AV216*1),2)*BS216),2)+ROUND((ROUND(((AE216-(EU216))*AV216*1),2)*BS216),2))</f>
        <v>0</v>
      </c>
      <c r="CT216" s="2">
        <f t="shared" si="173"/>
        <v>0</v>
      </c>
      <c r="CU216" s="2">
        <f t="shared" si="174"/>
        <v>0</v>
      </c>
      <c r="CV216" s="2">
        <f t="shared" si="175"/>
        <v>0</v>
      </c>
      <c r="CW216" s="2">
        <f t="shared" si="176"/>
        <v>0</v>
      </c>
      <c r="CX216" s="2">
        <f t="shared" si="177"/>
        <v>0</v>
      </c>
      <c r="CY216" s="2">
        <f>(ROUND((((S216+ROUND((ROUND(((EU216)*AV216*1),2)*BS216),2))*AT216)/100),2)+ROUND(((ROUND((ROUND(((AE216-(EU216))*AV216*1),2)*BS216),2)*AT216)/100),2))</f>
        <v>0</v>
      </c>
      <c r="CZ216" s="2">
        <f>(ROUND((((S216+ROUND((ROUND(((EU216)*AV216*1),2)*BS216),2))*AU216)/100),2)+ROUND(((ROUND((ROUND(((AE216-(EU216))*AV216*1),2)*BS216),2)*AU216)/100),2))</f>
        <v>0</v>
      </c>
      <c r="DA216" s="2"/>
      <c r="DB216" s="2"/>
      <c r="DC216" s="2" t="s">
        <v>3</v>
      </c>
      <c r="DD216" s="2" t="s">
        <v>3</v>
      </c>
      <c r="DE216" s="2" t="s">
        <v>3</v>
      </c>
      <c r="DF216" s="2" t="s">
        <v>3</v>
      </c>
      <c r="DG216" s="2" t="s">
        <v>3</v>
      </c>
      <c r="DH216" s="2" t="s">
        <v>3</v>
      </c>
      <c r="DI216" s="2" t="s">
        <v>3</v>
      </c>
      <c r="DJ216" s="2" t="s">
        <v>3</v>
      </c>
      <c r="DK216" s="2" t="s">
        <v>3</v>
      </c>
      <c r="DL216" s="2" t="s">
        <v>3</v>
      </c>
      <c r="DM216" s="2" t="s">
        <v>3</v>
      </c>
      <c r="DN216" s="2">
        <v>0</v>
      </c>
      <c r="DO216" s="2">
        <v>0</v>
      </c>
      <c r="DP216" s="2">
        <v>1</v>
      </c>
      <c r="DQ216" s="2">
        <v>1</v>
      </c>
      <c r="DR216" s="2"/>
      <c r="DS216" s="2"/>
      <c r="DT216" s="2"/>
      <c r="DU216" s="2">
        <v>1013</v>
      </c>
      <c r="DV216" s="2" t="s">
        <v>152</v>
      </c>
      <c r="DW216" s="2" t="s">
        <v>152</v>
      </c>
      <c r="DX216" s="2">
        <v>1</v>
      </c>
      <c r="DY216" s="2"/>
      <c r="DZ216" s="2" t="s">
        <v>3</v>
      </c>
      <c r="EA216" s="2" t="s">
        <v>3</v>
      </c>
      <c r="EB216" s="2" t="s">
        <v>3</v>
      </c>
      <c r="EC216" s="2" t="s">
        <v>3</v>
      </c>
      <c r="ED216" s="2"/>
      <c r="EE216" s="2">
        <v>57042890</v>
      </c>
      <c r="EF216" s="2">
        <v>214</v>
      </c>
      <c r="EG216" s="2" t="s">
        <v>153</v>
      </c>
      <c r="EH216" s="2">
        <v>0</v>
      </c>
      <c r="EI216" s="2" t="s">
        <v>3</v>
      </c>
      <c r="EJ216" s="2">
        <v>3</v>
      </c>
      <c r="EK216" s="2">
        <v>400007</v>
      </c>
      <c r="EL216" s="2" t="s">
        <v>153</v>
      </c>
      <c r="EM216" s="2" t="s">
        <v>154</v>
      </c>
      <c r="EN216" s="2"/>
      <c r="EO216" s="2" t="s">
        <v>3</v>
      </c>
      <c r="EP216" s="2"/>
      <c r="EQ216" s="2">
        <v>16</v>
      </c>
      <c r="ER216" s="2">
        <v>0</v>
      </c>
      <c r="ES216" s="2">
        <v>527.30999999999995</v>
      </c>
      <c r="ET216" s="2">
        <v>0</v>
      </c>
      <c r="EU216" s="2">
        <v>0</v>
      </c>
      <c r="EV216" s="2">
        <v>0</v>
      </c>
      <c r="EW216" s="2">
        <v>0</v>
      </c>
      <c r="EX216" s="2">
        <v>0</v>
      </c>
      <c r="EY216" s="2">
        <v>0</v>
      </c>
      <c r="EZ216" s="2"/>
      <c r="FA216" s="2"/>
      <c r="FB216" s="2"/>
      <c r="FC216" s="2"/>
      <c r="FD216" s="2"/>
      <c r="FE216" s="2"/>
      <c r="FF216" s="2"/>
      <c r="FG216" s="2"/>
      <c r="FH216" s="2"/>
      <c r="FI216" s="2"/>
      <c r="FJ216" s="2"/>
      <c r="FK216" s="2"/>
      <c r="FL216" s="2"/>
      <c r="FM216" s="2"/>
      <c r="FN216" s="2"/>
      <c r="FO216" s="2"/>
      <c r="FP216" s="2"/>
      <c r="FQ216" s="2">
        <v>0</v>
      </c>
      <c r="FR216" s="2">
        <f>P216</f>
        <v>1054.6199999999999</v>
      </c>
      <c r="FS216" s="2">
        <v>0</v>
      </c>
      <c r="FT216" s="2"/>
      <c r="FU216" s="2"/>
      <c r="FV216" s="2"/>
      <c r="FW216" s="2"/>
      <c r="FX216" s="2">
        <v>0</v>
      </c>
      <c r="FY216" s="2">
        <v>0</v>
      </c>
      <c r="FZ216" s="2"/>
      <c r="GA216" s="2" t="s">
        <v>290</v>
      </c>
      <c r="GB216" s="2"/>
      <c r="GC216" s="2"/>
      <c r="GD216" s="2">
        <v>1</v>
      </c>
      <c r="GE216" s="2"/>
      <c r="GF216" s="2">
        <v>-776876255</v>
      </c>
      <c r="GG216" s="2">
        <v>2</v>
      </c>
      <c r="GH216" s="2">
        <v>4</v>
      </c>
      <c r="GI216" s="2">
        <v>-2</v>
      </c>
      <c r="GJ216" s="2">
        <v>0</v>
      </c>
      <c r="GK216" s="2">
        <v>0</v>
      </c>
      <c r="GL216" s="2">
        <f t="shared" si="178"/>
        <v>0</v>
      </c>
      <c r="GM216" s="2">
        <f t="shared" si="179"/>
        <v>1054.6199999999999</v>
      </c>
      <c r="GN216" s="2">
        <f t="shared" si="180"/>
        <v>0</v>
      </c>
      <c r="GO216" s="2">
        <f t="shared" si="181"/>
        <v>0</v>
      </c>
      <c r="GP216" s="2">
        <f t="shared" si="182"/>
        <v>0</v>
      </c>
      <c r="GQ216" s="2"/>
      <c r="GR216" s="2">
        <v>1</v>
      </c>
      <c r="GS216" s="2">
        <v>2</v>
      </c>
      <c r="GT216" s="2">
        <v>0</v>
      </c>
      <c r="GU216" s="2" t="s">
        <v>3</v>
      </c>
      <c r="GV216" s="2">
        <f t="shared" si="183"/>
        <v>0</v>
      </c>
      <c r="GW216" s="2">
        <v>1</v>
      </c>
      <c r="GX216" s="2">
        <f t="shared" si="184"/>
        <v>0</v>
      </c>
      <c r="GY216" s="2"/>
      <c r="GZ216" s="2"/>
      <c r="HA216" s="2">
        <v>0</v>
      </c>
      <c r="HB216" s="2">
        <v>0</v>
      </c>
      <c r="HC216" s="2">
        <f t="shared" si="185"/>
        <v>0</v>
      </c>
      <c r="HD216" s="2"/>
      <c r="HE216" s="2" t="s">
        <v>39</v>
      </c>
      <c r="HF216" s="2" t="s">
        <v>156</v>
      </c>
      <c r="HG216" s="2"/>
      <c r="HH216" s="2"/>
      <c r="HI216" s="2"/>
      <c r="HJ216" s="2"/>
      <c r="HK216" s="2"/>
      <c r="HL216" s="2"/>
      <c r="HM216" s="2" t="s">
        <v>3</v>
      </c>
      <c r="HN216" s="2" t="s">
        <v>3</v>
      </c>
      <c r="HO216" s="2" t="s">
        <v>3</v>
      </c>
      <c r="HP216" s="2" t="s">
        <v>3</v>
      </c>
      <c r="HQ216" s="2" t="s">
        <v>3</v>
      </c>
      <c r="HR216" s="2"/>
      <c r="HS216" s="2">
        <v>0</v>
      </c>
      <c r="HT216" s="2"/>
      <c r="HU216" s="2"/>
      <c r="HV216" s="2"/>
      <c r="HW216" s="2"/>
      <c r="HX216" s="2"/>
      <c r="HY216" s="2"/>
      <c r="HZ216" s="2"/>
      <c r="IA216" s="2"/>
      <c r="IB216" s="2"/>
      <c r="IC216" s="2"/>
      <c r="ID216" s="2"/>
      <c r="IE216" s="2"/>
      <c r="IF216" s="2"/>
      <c r="IG216" s="2"/>
      <c r="IH216" s="2"/>
      <c r="II216" s="2"/>
      <c r="IJ216" s="2"/>
      <c r="IK216" s="2">
        <v>0</v>
      </c>
      <c r="IL216" s="2"/>
      <c r="IM216" s="2"/>
      <c r="IN216" s="2"/>
      <c r="IO216" s="2"/>
      <c r="IP216" s="2"/>
      <c r="IQ216" s="2"/>
      <c r="IR216" s="2"/>
      <c r="IS216" s="2"/>
      <c r="IT216" s="2"/>
      <c r="IU216" s="2"/>
    </row>
    <row r="217" spans="1:255" x14ac:dyDescent="0.25">
      <c r="A217" s="3">
        <v>17</v>
      </c>
      <c r="B217" s="3">
        <v>1</v>
      </c>
      <c r="E217" s="3" t="s">
        <v>287</v>
      </c>
      <c r="F217" s="3" t="s">
        <v>288</v>
      </c>
      <c r="G217" s="3" t="s">
        <v>289</v>
      </c>
      <c r="H217" s="3" t="s">
        <v>152</v>
      </c>
      <c r="I217" s="3">
        <v>2</v>
      </c>
      <c r="J217" s="3">
        <v>0</v>
      </c>
      <c r="K217" s="3">
        <v>2</v>
      </c>
      <c r="O217" s="3">
        <f t="shared" si="159"/>
        <v>7983.47</v>
      </c>
      <c r="P217" s="3">
        <f t="shared" si="160"/>
        <v>7983.47</v>
      </c>
      <c r="Q217" s="3">
        <f>(ROUND((ROUND(((ET217)*AV217*I217),2)*BB217),2)+ROUND((ROUND(((AE217-(EU217))*AV217*I217),2)*BS217),2))</f>
        <v>0</v>
      </c>
      <c r="R217" s="3">
        <f>(ROUND((ROUND(((EU217)*AV217*I217),2)*BS217),2)+ROUND((ROUND(((AE217-(EU217))*AV217*I217),2)*BS217),2))</f>
        <v>0</v>
      </c>
      <c r="S217" s="3">
        <f t="shared" si="161"/>
        <v>0</v>
      </c>
      <c r="T217" s="3">
        <f t="shared" si="162"/>
        <v>0</v>
      </c>
      <c r="U217" s="3">
        <f t="shared" si="163"/>
        <v>0</v>
      </c>
      <c r="V217" s="3">
        <f t="shared" si="164"/>
        <v>0</v>
      </c>
      <c r="W217" s="3">
        <f t="shared" si="165"/>
        <v>0</v>
      </c>
      <c r="X217" s="3">
        <f>(ROUND((((S217+ROUND((ROUND(((EU217)*AV217*I217),2)*BS217),2))*AT217)/100),2)+ROUND(((ROUND((ROUND(((AE217-(EU217))*AV217*I217),2)*BS217),2)*AT217)/100),2))</f>
        <v>0</v>
      </c>
      <c r="Y217" s="3">
        <f>(ROUND((((S217+ROUND((ROUND(((EU217)*AV217*I217),2)*BS217),2))*AU217)/100),2)+ROUND(((ROUND((ROUND(((AE217-(EU217))*AV217*I217),2)*BS217),2)*AU217)/100),2))</f>
        <v>0</v>
      </c>
      <c r="AA217" s="3">
        <v>57014140</v>
      </c>
      <c r="AB217" s="3">
        <f t="shared" si="166"/>
        <v>527.30999999999995</v>
      </c>
      <c r="AC217" s="3">
        <f>ROUND((ES217),6)</f>
        <v>527.30999999999995</v>
      </c>
      <c r="AD217" s="3">
        <f>ROUND((((ET217)-(EU217))+AE217),6)</f>
        <v>0</v>
      </c>
      <c r="AE217" s="3">
        <f>ROUND((EU217),6)</f>
        <v>0</v>
      </c>
      <c r="AF217" s="3">
        <f>ROUND((EV217),6)</f>
        <v>0</v>
      </c>
      <c r="AG217" s="3">
        <f t="shared" si="168"/>
        <v>0</v>
      </c>
      <c r="AH217" s="3">
        <f>(EW217)</f>
        <v>0</v>
      </c>
      <c r="AI217" s="3">
        <f>(EX217)</f>
        <v>0</v>
      </c>
      <c r="AJ217" s="3">
        <f t="shared" si="170"/>
        <v>0</v>
      </c>
      <c r="AK217" s="3">
        <v>527.30999999999995</v>
      </c>
      <c r="AL217" s="3">
        <v>527.30999999999995</v>
      </c>
      <c r="AM217" s="3">
        <v>0</v>
      </c>
      <c r="AN217" s="3">
        <v>0</v>
      </c>
      <c r="AO217" s="3">
        <v>0</v>
      </c>
      <c r="AP217" s="3">
        <v>0</v>
      </c>
      <c r="AQ217" s="3">
        <v>0</v>
      </c>
      <c r="AR217" s="3">
        <v>0</v>
      </c>
      <c r="AS217" s="3">
        <v>0</v>
      </c>
      <c r="AT217" s="3">
        <v>0</v>
      </c>
      <c r="AU217" s="3">
        <v>0</v>
      </c>
      <c r="AV217" s="3">
        <v>1</v>
      </c>
      <c r="AW217" s="3">
        <v>1</v>
      </c>
      <c r="AZ217" s="3">
        <v>1</v>
      </c>
      <c r="BA217" s="3">
        <v>1</v>
      </c>
      <c r="BB217" s="3">
        <v>1</v>
      </c>
      <c r="BC217" s="3">
        <v>7.57</v>
      </c>
      <c r="BD217" s="3" t="s">
        <v>3</v>
      </c>
      <c r="BE217" s="3" t="s">
        <v>3</v>
      </c>
      <c r="BF217" s="3" t="s">
        <v>3</v>
      </c>
      <c r="BG217" s="3" t="s">
        <v>3</v>
      </c>
      <c r="BH217" s="3">
        <v>3</v>
      </c>
      <c r="BI217" s="3">
        <v>3</v>
      </c>
      <c r="BJ217" s="3" t="s">
        <v>288</v>
      </c>
      <c r="BM217" s="3">
        <v>400007</v>
      </c>
      <c r="BN217" s="3">
        <v>0</v>
      </c>
      <c r="BO217" s="3" t="s">
        <v>3</v>
      </c>
      <c r="BP217" s="3">
        <v>0</v>
      </c>
      <c r="BQ217" s="3">
        <v>214</v>
      </c>
      <c r="BR217" s="3">
        <v>0</v>
      </c>
      <c r="BS217" s="3">
        <v>1</v>
      </c>
      <c r="BT217" s="3">
        <v>1</v>
      </c>
      <c r="BU217" s="3">
        <v>1</v>
      </c>
      <c r="BV217" s="3">
        <v>1</v>
      </c>
      <c r="BW217" s="3">
        <v>1</v>
      </c>
      <c r="BX217" s="3">
        <v>1</v>
      </c>
      <c r="BY217" s="3" t="s">
        <v>3</v>
      </c>
      <c r="BZ217" s="3">
        <v>0</v>
      </c>
      <c r="CA217" s="3">
        <v>0</v>
      </c>
      <c r="CB217" s="3" t="s">
        <v>3</v>
      </c>
      <c r="CE217" s="3">
        <v>1566</v>
      </c>
      <c r="CF217" s="3">
        <v>0</v>
      </c>
      <c r="CG217" s="3">
        <v>0</v>
      </c>
      <c r="CM217" s="3">
        <v>0</v>
      </c>
      <c r="CN217" s="3" t="s">
        <v>3</v>
      </c>
      <c r="CO217" s="3">
        <v>0</v>
      </c>
      <c r="CP217" s="3">
        <f t="shared" si="171"/>
        <v>7983.47</v>
      </c>
      <c r="CQ217" s="3">
        <f t="shared" si="172"/>
        <v>3991.74</v>
      </c>
      <c r="CR217" s="3">
        <f>(ROUND((ROUND(((ET217)*AV217*1),2)*BB217),2)+ROUND((ROUND(((AE217-(EU217))*AV217*1),2)*BS217),2))</f>
        <v>0</v>
      </c>
      <c r="CS217" s="3">
        <f>(ROUND((ROUND(((EU217)*AV217*1),2)*BS217),2)+ROUND((ROUND(((AE217-(EU217))*AV217*1),2)*BS217),2))</f>
        <v>0</v>
      </c>
      <c r="CT217" s="3">
        <f t="shared" si="173"/>
        <v>0</v>
      </c>
      <c r="CU217" s="3">
        <f t="shared" si="174"/>
        <v>0</v>
      </c>
      <c r="CV217" s="3">
        <f t="shared" si="175"/>
        <v>0</v>
      </c>
      <c r="CW217" s="3">
        <f t="shared" si="176"/>
        <v>0</v>
      </c>
      <c r="CX217" s="3">
        <f t="shared" si="177"/>
        <v>0</v>
      </c>
      <c r="CY217" s="3">
        <f>(ROUND((((S217+ROUND((ROUND(((EU217)*AV217*1),2)*BS217),2))*AT217)/100),2)+ROUND(((ROUND((ROUND(((AE217-(EU217))*AV217*1),2)*BS217),2)*AT217)/100),2))</f>
        <v>0</v>
      </c>
      <c r="CZ217" s="3">
        <f>(ROUND((((S217+ROUND((ROUND(((EU217)*AV217*1),2)*BS217),2))*AU217)/100),2)+ROUND(((ROUND((ROUND(((AE217-(EU217))*AV217*1),2)*BS217),2)*AU217)/100),2))</f>
        <v>0</v>
      </c>
      <c r="DC217" s="3" t="s">
        <v>3</v>
      </c>
      <c r="DD217" s="3" t="s">
        <v>3</v>
      </c>
      <c r="DE217" s="3" t="s">
        <v>3</v>
      </c>
      <c r="DF217" s="3" t="s">
        <v>3</v>
      </c>
      <c r="DG217" s="3" t="s">
        <v>3</v>
      </c>
      <c r="DH217" s="3" t="s">
        <v>3</v>
      </c>
      <c r="DI217" s="3" t="s">
        <v>3</v>
      </c>
      <c r="DJ217" s="3" t="s">
        <v>3</v>
      </c>
      <c r="DK217" s="3" t="s">
        <v>3</v>
      </c>
      <c r="DL217" s="3" t="s">
        <v>3</v>
      </c>
      <c r="DM217" s="3" t="s">
        <v>3</v>
      </c>
      <c r="DN217" s="3">
        <v>0</v>
      </c>
      <c r="DO217" s="3">
        <v>0</v>
      </c>
      <c r="DP217" s="3">
        <v>1</v>
      </c>
      <c r="DQ217" s="3">
        <v>1</v>
      </c>
      <c r="DU217" s="3">
        <v>1013</v>
      </c>
      <c r="DV217" s="3" t="s">
        <v>152</v>
      </c>
      <c r="DW217" s="3" t="s">
        <v>152</v>
      </c>
      <c r="DX217" s="3">
        <v>1</v>
      </c>
      <c r="DZ217" s="3" t="s">
        <v>3</v>
      </c>
      <c r="EA217" s="3" t="s">
        <v>3</v>
      </c>
      <c r="EB217" s="3" t="s">
        <v>3</v>
      </c>
      <c r="EC217" s="3" t="s">
        <v>3</v>
      </c>
      <c r="EE217" s="3">
        <v>57042890</v>
      </c>
      <c r="EF217" s="3">
        <v>214</v>
      </c>
      <c r="EG217" s="3" t="s">
        <v>153</v>
      </c>
      <c r="EH217" s="3">
        <v>0</v>
      </c>
      <c r="EI217" s="3" t="s">
        <v>3</v>
      </c>
      <c r="EJ217" s="3">
        <v>3</v>
      </c>
      <c r="EK217" s="3">
        <v>400007</v>
      </c>
      <c r="EL217" s="3" t="s">
        <v>153</v>
      </c>
      <c r="EM217" s="3" t="s">
        <v>154</v>
      </c>
      <c r="EO217" s="3" t="s">
        <v>3</v>
      </c>
      <c r="EQ217" s="3">
        <v>16</v>
      </c>
      <c r="ER217" s="3">
        <v>0</v>
      </c>
      <c r="ES217" s="3">
        <v>527.30999999999995</v>
      </c>
      <c r="ET217" s="3">
        <v>0</v>
      </c>
      <c r="EU217" s="3">
        <v>0</v>
      </c>
      <c r="EV217" s="3">
        <v>0</v>
      </c>
      <c r="EW217" s="3">
        <v>0</v>
      </c>
      <c r="EX217" s="3">
        <v>0</v>
      </c>
      <c r="EY217" s="3">
        <v>0</v>
      </c>
      <c r="EZ217" s="3">
        <v>5</v>
      </c>
      <c r="FC217" s="3">
        <v>1</v>
      </c>
      <c r="FD217" s="3">
        <v>18</v>
      </c>
      <c r="FF217" s="3">
        <v>4672</v>
      </c>
      <c r="FQ217" s="3">
        <v>0</v>
      </c>
      <c r="FR217" s="3">
        <f>P217</f>
        <v>7983.47</v>
      </c>
      <c r="FS217" s="3">
        <v>0</v>
      </c>
      <c r="FX217" s="3">
        <v>0</v>
      </c>
      <c r="FY217" s="3">
        <v>0</v>
      </c>
      <c r="GA217" s="3" t="s">
        <v>290</v>
      </c>
      <c r="GD217" s="3">
        <v>1</v>
      </c>
      <c r="GF217" s="3">
        <v>-776876255</v>
      </c>
      <c r="GG217" s="3">
        <v>2</v>
      </c>
      <c r="GH217" s="3">
        <v>3</v>
      </c>
      <c r="GI217" s="3">
        <v>5</v>
      </c>
      <c r="GJ217" s="3">
        <v>0</v>
      </c>
      <c r="GK217" s="3">
        <v>0</v>
      </c>
      <c r="GL217" s="3">
        <f t="shared" si="178"/>
        <v>0</v>
      </c>
      <c r="GM217" s="3">
        <f t="shared" si="179"/>
        <v>7983.47</v>
      </c>
      <c r="GN217" s="3">
        <f t="shared" si="180"/>
        <v>0</v>
      </c>
      <c r="GO217" s="3">
        <f t="shared" si="181"/>
        <v>0</v>
      </c>
      <c r="GP217" s="3">
        <f t="shared" si="182"/>
        <v>0</v>
      </c>
      <c r="GR217" s="3">
        <v>1</v>
      </c>
      <c r="GS217" s="3">
        <v>1</v>
      </c>
      <c r="GT217" s="3">
        <v>0</v>
      </c>
      <c r="GU217" s="3" t="s">
        <v>3</v>
      </c>
      <c r="GV217" s="3">
        <f t="shared" si="183"/>
        <v>0</v>
      </c>
      <c r="GW217" s="3">
        <v>1</v>
      </c>
      <c r="GX217" s="3">
        <f t="shared" si="184"/>
        <v>0</v>
      </c>
      <c r="HA217" s="3">
        <v>0</v>
      </c>
      <c r="HB217" s="3">
        <v>0</v>
      </c>
      <c r="HC217" s="3">
        <f t="shared" si="185"/>
        <v>0</v>
      </c>
      <c r="HE217" s="3" t="s">
        <v>39</v>
      </c>
      <c r="HF217" s="3" t="s">
        <v>156</v>
      </c>
      <c r="HM217" s="3" t="s">
        <v>3</v>
      </c>
      <c r="HN217" s="3" t="s">
        <v>3</v>
      </c>
      <c r="HO217" s="3" t="s">
        <v>3</v>
      </c>
      <c r="HP217" s="3" t="s">
        <v>3</v>
      </c>
      <c r="HQ217" s="3" t="s">
        <v>3</v>
      </c>
      <c r="HS217" s="3">
        <v>0</v>
      </c>
      <c r="IK217" s="3">
        <v>0</v>
      </c>
    </row>
    <row r="218" spans="1:255" x14ac:dyDescent="0.25">
      <c r="A218" s="2">
        <v>17</v>
      </c>
      <c r="B218" s="2">
        <v>1</v>
      </c>
      <c r="C218" s="2">
        <f>ROW(SmtRes!A212)</f>
        <v>212</v>
      </c>
      <c r="D218" s="2">
        <f>ROW(EtalonRes!A271)</f>
        <v>271</v>
      </c>
      <c r="E218" s="2" t="s">
        <v>291</v>
      </c>
      <c r="F218" s="2" t="s">
        <v>56</v>
      </c>
      <c r="G218" s="2" t="s">
        <v>292</v>
      </c>
      <c r="H218" s="2" t="s">
        <v>27</v>
      </c>
      <c r="I218" s="2">
        <f>ROUND(144+42,9)</f>
        <v>186</v>
      </c>
      <c r="J218" s="2">
        <v>0</v>
      </c>
      <c r="K218" s="2">
        <f>ROUND(144+42,9)</f>
        <v>186</v>
      </c>
      <c r="L218" s="2"/>
      <c r="M218" s="2"/>
      <c r="N218" s="2"/>
      <c r="O218" s="2">
        <f t="shared" si="159"/>
        <v>10106.719999999999</v>
      </c>
      <c r="P218" s="2">
        <f t="shared" si="160"/>
        <v>4549.5600000000004</v>
      </c>
      <c r="Q218" s="2">
        <f>(ROUND((ROUND((((ET218*1.2))*AV218*I218),2)*BB218),2)+ROUND((ROUND(((AE218-((EU218*1.2)))*AV218*I218),2)*BS218),2))</f>
        <v>0</v>
      </c>
      <c r="R218" s="2">
        <f>(ROUND((ROUND((((EU218*1.2))*AV218*I218),2)*BS218),2)+ROUND((ROUND(((AE218-((EU218*1.2)))*AV218*I218),2)*BS218),2))</f>
        <v>0</v>
      </c>
      <c r="S218" s="2">
        <f t="shared" si="161"/>
        <v>5557.16</v>
      </c>
      <c r="T218" s="2">
        <f t="shared" si="162"/>
        <v>0</v>
      </c>
      <c r="U218" s="2">
        <f t="shared" si="163"/>
        <v>467.38079999999997</v>
      </c>
      <c r="V218" s="2">
        <f t="shared" si="164"/>
        <v>0</v>
      </c>
      <c r="W218" s="2">
        <f t="shared" si="165"/>
        <v>0</v>
      </c>
      <c r="X218" s="2">
        <f>(ROUND((((S218+ROUND((ROUND((((EU218*1.2))*AV218*I218),2)*BS218),2))*AT218)/100),2)+ROUND(((ROUND((ROUND(((AE218-((EU218*1.2)))*AV218*I218),2)*BS218),2)*AT218)/100),2))</f>
        <v>5279.3</v>
      </c>
      <c r="Y218" s="2">
        <f>(ROUND((((S218+ROUND((ROUND((((EU218*1.2))*AV218*I218),2)*BS218),2))*AU218)/100),2)+ROUND(((ROUND((ROUND(((AE218-((EU218*1.2)))*AV218*I218),2)*BS218),2)*AU218)/100),2))</f>
        <v>2945.29</v>
      </c>
      <c r="Z218" s="2"/>
      <c r="AA218" s="2">
        <v>57014138</v>
      </c>
      <c r="AB218" s="2">
        <f t="shared" si="166"/>
        <v>52.996000000000002</v>
      </c>
      <c r="AC218" s="2">
        <f>ROUND(((ES218*1)),6)</f>
        <v>24.46</v>
      </c>
      <c r="AD218" s="2">
        <f>ROUND(((((ET218*1.2))-((EU218*1.2)))+AE218),6)</f>
        <v>0</v>
      </c>
      <c r="AE218" s="2">
        <f>ROUND(((EU218*1.2)),6)</f>
        <v>0</v>
      </c>
      <c r="AF218" s="2">
        <f>ROUND(((EV218*1.2)),6)</f>
        <v>28.536000000000001</v>
      </c>
      <c r="AG218" s="2">
        <f t="shared" si="168"/>
        <v>0</v>
      </c>
      <c r="AH218" s="2">
        <f>((EW218*1.2))</f>
        <v>2.4</v>
      </c>
      <c r="AI218" s="2">
        <f>((EX218*1.2))</f>
        <v>0</v>
      </c>
      <c r="AJ218" s="2">
        <f t="shared" si="170"/>
        <v>0</v>
      </c>
      <c r="AK218" s="2">
        <v>48.24</v>
      </c>
      <c r="AL218" s="2">
        <v>24.46</v>
      </c>
      <c r="AM218" s="2">
        <v>0</v>
      </c>
      <c r="AN218" s="2">
        <v>0</v>
      </c>
      <c r="AO218" s="2">
        <v>23.78</v>
      </c>
      <c r="AP218" s="2">
        <v>0</v>
      </c>
      <c r="AQ218" s="2">
        <v>2</v>
      </c>
      <c r="AR218" s="2">
        <v>0</v>
      </c>
      <c r="AS218" s="2">
        <v>0</v>
      </c>
      <c r="AT218" s="2">
        <v>95</v>
      </c>
      <c r="AU218" s="2">
        <v>53</v>
      </c>
      <c r="AV218" s="2">
        <v>1.0469999999999999</v>
      </c>
      <c r="AW218" s="2">
        <v>1</v>
      </c>
      <c r="AX218" s="2"/>
      <c r="AY218" s="2"/>
      <c r="AZ218" s="2">
        <v>1</v>
      </c>
      <c r="BA218" s="2">
        <v>1</v>
      </c>
      <c r="BB218" s="2">
        <v>1</v>
      </c>
      <c r="BC218" s="2">
        <v>1</v>
      </c>
      <c r="BD218" s="2" t="s">
        <v>3</v>
      </c>
      <c r="BE218" s="2" t="s">
        <v>3</v>
      </c>
      <c r="BF218" s="2" t="s">
        <v>3</v>
      </c>
      <c r="BG218" s="2" t="s">
        <v>3</v>
      </c>
      <c r="BH218" s="2">
        <v>0</v>
      </c>
      <c r="BI218" s="2">
        <v>2</v>
      </c>
      <c r="BJ218" s="2" t="s">
        <v>58</v>
      </c>
      <c r="BK218" s="2"/>
      <c r="BL218" s="2"/>
      <c r="BM218" s="2">
        <v>69</v>
      </c>
      <c r="BN218" s="2">
        <v>0</v>
      </c>
      <c r="BO218" s="2" t="s">
        <v>56</v>
      </c>
      <c r="BP218" s="2">
        <v>1</v>
      </c>
      <c r="BQ218" s="2">
        <v>40</v>
      </c>
      <c r="BR218" s="2">
        <v>0</v>
      </c>
      <c r="BS218" s="2">
        <v>1</v>
      </c>
      <c r="BT218" s="2">
        <v>1</v>
      </c>
      <c r="BU218" s="2">
        <v>1</v>
      </c>
      <c r="BV218" s="2">
        <v>1</v>
      </c>
      <c r="BW218" s="2">
        <v>1</v>
      </c>
      <c r="BX218" s="2">
        <v>1</v>
      </c>
      <c r="BY218" s="2" t="s">
        <v>3</v>
      </c>
      <c r="BZ218" s="2">
        <v>95</v>
      </c>
      <c r="CA218" s="2">
        <v>53</v>
      </c>
      <c r="CB218" s="2" t="s">
        <v>3</v>
      </c>
      <c r="CC218" s="2"/>
      <c r="CD218" s="2"/>
      <c r="CE218" s="2">
        <v>1566</v>
      </c>
      <c r="CF218" s="2">
        <v>0</v>
      </c>
      <c r="CG218" s="2">
        <v>0</v>
      </c>
      <c r="CH218" s="2"/>
      <c r="CI218" s="2"/>
      <c r="CJ218" s="2"/>
      <c r="CK218" s="2"/>
      <c r="CL218" s="2"/>
      <c r="CM218" s="2">
        <v>0</v>
      </c>
      <c r="CN218" s="2" t="s">
        <v>624</v>
      </c>
      <c r="CO218" s="2">
        <v>0</v>
      </c>
      <c r="CP218" s="2">
        <f t="shared" si="171"/>
        <v>10106.720000000001</v>
      </c>
      <c r="CQ218" s="2">
        <f t="shared" si="172"/>
        <v>24.46</v>
      </c>
      <c r="CR218" s="2">
        <f>(ROUND((ROUND((((ET218*1.2))*AV218*1),2)*BB218),2)+ROUND((ROUND(((AE218-((EU218*1.2)))*AV218*1),2)*BS218),2))</f>
        <v>0</v>
      </c>
      <c r="CS218" s="2">
        <f>(ROUND((ROUND((((EU218*1.2))*AV218*1),2)*BS218),2)+ROUND((ROUND(((AE218-((EU218*1.2)))*AV218*1),2)*BS218),2))</f>
        <v>0</v>
      </c>
      <c r="CT218" s="2">
        <f t="shared" si="173"/>
        <v>29.88</v>
      </c>
      <c r="CU218" s="2">
        <f t="shared" si="174"/>
        <v>0</v>
      </c>
      <c r="CV218" s="2">
        <f t="shared" si="175"/>
        <v>2.5127999999999999</v>
      </c>
      <c r="CW218" s="2">
        <f t="shared" si="176"/>
        <v>0</v>
      </c>
      <c r="CX218" s="2">
        <f t="shared" si="177"/>
        <v>0</v>
      </c>
      <c r="CY218" s="2">
        <f>(ROUND((((S218+ROUND((ROUND((((EU218*1.2))*AV218*1),2)*BS218),2))*AT218)/100),2)+ROUND(((ROUND((ROUND(((AE218-((EU218*1.2)))*AV218*1),2)*BS218),2)*AT218)/100),2))</f>
        <v>5279.3</v>
      </c>
      <c r="CZ218" s="2">
        <f>(ROUND((((S218+ROUND((ROUND((((EU218*1.2))*AV218*1),2)*BS218),2))*AU218)/100),2)+ROUND(((ROUND((ROUND(((AE218-((EU218*1.2)))*AV218*1),2)*BS218),2)*AU218)/100),2))</f>
        <v>2945.29</v>
      </c>
      <c r="DA218" s="2"/>
      <c r="DB218" s="2">
        <v>87</v>
      </c>
      <c r="DC218" s="2" t="s">
        <v>3</v>
      </c>
      <c r="DD218" s="2" t="s">
        <v>70</v>
      </c>
      <c r="DE218" s="2" t="s">
        <v>71</v>
      </c>
      <c r="DF218" s="2" t="s">
        <v>71</v>
      </c>
      <c r="DG218" s="2" t="s">
        <v>71</v>
      </c>
      <c r="DH218" s="2" t="s">
        <v>3</v>
      </c>
      <c r="DI218" s="2" t="s">
        <v>71</v>
      </c>
      <c r="DJ218" s="2" t="s">
        <v>71</v>
      </c>
      <c r="DK218" s="2" t="s">
        <v>3</v>
      </c>
      <c r="DL218" s="2" t="s">
        <v>3</v>
      </c>
      <c r="DM218" s="2" t="s">
        <v>3</v>
      </c>
      <c r="DN218" s="2">
        <v>0</v>
      </c>
      <c r="DO218" s="2">
        <v>0</v>
      </c>
      <c r="DP218" s="2">
        <v>1</v>
      </c>
      <c r="DQ218" s="2">
        <v>1</v>
      </c>
      <c r="DR218" s="2"/>
      <c r="DS218" s="2"/>
      <c r="DT218" s="2"/>
      <c r="DU218" s="2">
        <v>1013</v>
      </c>
      <c r="DV218" s="2" t="s">
        <v>27</v>
      </c>
      <c r="DW218" s="2" t="s">
        <v>27</v>
      </c>
      <c r="DX218" s="2">
        <v>1</v>
      </c>
      <c r="DY218" s="2"/>
      <c r="DZ218" s="2" t="s">
        <v>3</v>
      </c>
      <c r="EA218" s="2" t="s">
        <v>3</v>
      </c>
      <c r="EB218" s="2" t="s">
        <v>3</v>
      </c>
      <c r="EC218" s="2" t="s">
        <v>3</v>
      </c>
      <c r="ED218" s="2"/>
      <c r="EE218" s="2">
        <v>57042959</v>
      </c>
      <c r="EF218" s="2">
        <v>40</v>
      </c>
      <c r="EG218" s="2" t="s">
        <v>31</v>
      </c>
      <c r="EH218" s="2">
        <v>0</v>
      </c>
      <c r="EI218" s="2" t="s">
        <v>3</v>
      </c>
      <c r="EJ218" s="2">
        <v>2</v>
      </c>
      <c r="EK218" s="2">
        <v>69</v>
      </c>
      <c r="EL218" s="2" t="s">
        <v>59</v>
      </c>
      <c r="EM218" s="2" t="s">
        <v>60</v>
      </c>
      <c r="EN218" s="2"/>
      <c r="EO218" s="2" t="s">
        <v>75</v>
      </c>
      <c r="EP218" s="2"/>
      <c r="EQ218" s="2">
        <v>0</v>
      </c>
      <c r="ER218" s="2">
        <v>48.24</v>
      </c>
      <c r="ES218" s="2">
        <v>24.46</v>
      </c>
      <c r="ET218" s="2">
        <v>0</v>
      </c>
      <c r="EU218" s="2">
        <v>0</v>
      </c>
      <c r="EV218" s="2">
        <v>23.78</v>
      </c>
      <c r="EW218" s="2">
        <v>2</v>
      </c>
      <c r="EX218" s="2">
        <v>0</v>
      </c>
      <c r="EY218" s="2">
        <v>0</v>
      </c>
      <c r="EZ218" s="2"/>
      <c r="FA218" s="2"/>
      <c r="FB218" s="2"/>
      <c r="FC218" s="2"/>
      <c r="FD218" s="2"/>
      <c r="FE218" s="2"/>
      <c r="FF218" s="2"/>
      <c r="FG218" s="2"/>
      <c r="FH218" s="2"/>
      <c r="FI218" s="2"/>
      <c r="FJ218" s="2"/>
      <c r="FK218" s="2"/>
      <c r="FL218" s="2"/>
      <c r="FM218" s="2"/>
      <c r="FN218" s="2"/>
      <c r="FO218" s="2"/>
      <c r="FP218" s="2"/>
      <c r="FQ218" s="2">
        <v>0</v>
      </c>
      <c r="FR218" s="2">
        <v>0</v>
      </c>
      <c r="FS218" s="2">
        <v>0</v>
      </c>
      <c r="FT218" s="2"/>
      <c r="FU218" s="2"/>
      <c r="FV218" s="2"/>
      <c r="FW218" s="2"/>
      <c r="FX218" s="2">
        <v>95</v>
      </c>
      <c r="FY218" s="2">
        <v>53</v>
      </c>
      <c r="FZ218" s="2"/>
      <c r="GA218" s="2" t="s">
        <v>3</v>
      </c>
      <c r="GB218" s="2"/>
      <c r="GC218" s="2"/>
      <c r="GD218" s="2">
        <v>1</v>
      </c>
      <c r="GE218" s="2"/>
      <c r="GF218" s="2">
        <v>-553049172</v>
      </c>
      <c r="GG218" s="2">
        <v>2</v>
      </c>
      <c r="GH218" s="2">
        <v>1</v>
      </c>
      <c r="GI218" s="2">
        <v>2</v>
      </c>
      <c r="GJ218" s="2">
        <v>0</v>
      </c>
      <c r="GK218" s="2">
        <v>0</v>
      </c>
      <c r="GL218" s="2">
        <f t="shared" si="178"/>
        <v>0</v>
      </c>
      <c r="GM218" s="2">
        <f t="shared" si="179"/>
        <v>18331.310000000001</v>
      </c>
      <c r="GN218" s="2">
        <f t="shared" si="180"/>
        <v>0</v>
      </c>
      <c r="GO218" s="2">
        <f t="shared" si="181"/>
        <v>18331.310000000001</v>
      </c>
      <c r="GP218" s="2">
        <f t="shared" si="182"/>
        <v>0</v>
      </c>
      <c r="GQ218" s="2"/>
      <c r="GR218" s="2">
        <v>0</v>
      </c>
      <c r="GS218" s="2">
        <v>3</v>
      </c>
      <c r="GT218" s="2">
        <v>0</v>
      </c>
      <c r="GU218" s="2" t="s">
        <v>3</v>
      </c>
      <c r="GV218" s="2">
        <f t="shared" si="183"/>
        <v>0</v>
      </c>
      <c r="GW218" s="2">
        <v>1</v>
      </c>
      <c r="GX218" s="2">
        <f t="shared" si="184"/>
        <v>0</v>
      </c>
      <c r="GY218" s="2"/>
      <c r="GZ218" s="2"/>
      <c r="HA218" s="2">
        <v>0</v>
      </c>
      <c r="HB218" s="2">
        <v>0</v>
      </c>
      <c r="HC218" s="2">
        <f t="shared" si="185"/>
        <v>0</v>
      </c>
      <c r="HD218" s="2"/>
      <c r="HE218" s="2" t="s">
        <v>3</v>
      </c>
      <c r="HF218" s="2" t="s">
        <v>3</v>
      </c>
      <c r="HG218" s="2"/>
      <c r="HH218" s="2"/>
      <c r="HI218" s="2"/>
      <c r="HJ218" s="2"/>
      <c r="HK218" s="2"/>
      <c r="HL218" s="2"/>
      <c r="HM218" s="2" t="s">
        <v>3</v>
      </c>
      <c r="HN218" s="2" t="s">
        <v>3</v>
      </c>
      <c r="HO218" s="2" t="s">
        <v>3</v>
      </c>
      <c r="HP218" s="2" t="s">
        <v>3</v>
      </c>
      <c r="HQ218" s="2" t="s">
        <v>3</v>
      </c>
      <c r="HR218" s="2"/>
      <c r="HS218" s="2">
        <v>0</v>
      </c>
      <c r="HT218" s="2"/>
      <c r="HU218" s="2"/>
      <c r="HV218" s="2"/>
      <c r="HW218" s="2"/>
      <c r="HX218" s="2"/>
      <c r="HY218" s="2"/>
      <c r="HZ218" s="2"/>
      <c r="IA218" s="2"/>
      <c r="IB218" s="2"/>
      <c r="IC218" s="2"/>
      <c r="ID218" s="2"/>
      <c r="IE218" s="2"/>
      <c r="IF218" s="2"/>
      <c r="IG218" s="2"/>
      <c r="IH218" s="2"/>
      <c r="II218" s="2"/>
      <c r="IJ218" s="2"/>
      <c r="IK218" s="2">
        <v>0</v>
      </c>
      <c r="IL218" s="2"/>
      <c r="IM218" s="2"/>
      <c r="IN218" s="2"/>
      <c r="IO218" s="2"/>
      <c r="IP218" s="2"/>
      <c r="IQ218" s="2"/>
      <c r="IR218" s="2"/>
      <c r="IS218" s="2"/>
      <c r="IT218" s="2"/>
      <c r="IU218" s="2"/>
    </row>
    <row r="219" spans="1:255" x14ac:dyDescent="0.25">
      <c r="A219" s="3">
        <v>17</v>
      </c>
      <c r="B219" s="3">
        <v>1</v>
      </c>
      <c r="C219" s="3">
        <f>ROW(SmtRes!A216)</f>
        <v>216</v>
      </c>
      <c r="D219" s="3">
        <f>ROW(EtalonRes!A276)</f>
        <v>276</v>
      </c>
      <c r="E219" s="3" t="s">
        <v>291</v>
      </c>
      <c r="F219" s="3" t="s">
        <v>56</v>
      </c>
      <c r="G219" s="3" t="s">
        <v>292</v>
      </c>
      <c r="H219" s="3" t="s">
        <v>27</v>
      </c>
      <c r="I219" s="3">
        <f>ROUND(144+42,9)</f>
        <v>186</v>
      </c>
      <c r="J219" s="3">
        <v>0</v>
      </c>
      <c r="K219" s="3">
        <f>ROUND(144+42,9)</f>
        <v>186</v>
      </c>
      <c r="O219" s="3">
        <f t="shared" si="159"/>
        <v>363691.58</v>
      </c>
      <c r="P219" s="3">
        <f t="shared" si="160"/>
        <v>50545.61</v>
      </c>
      <c r="Q219" s="3">
        <f>(ROUND((ROUND((((ET219*1.2))*AV219*I219),2)*BB219),2)+ROUND((ROUND(((AE219-((EU219*1.2)))*AV219*I219),2)*BS219),2))</f>
        <v>0</v>
      </c>
      <c r="R219" s="3">
        <f>(ROUND((ROUND((((EU219*1.2))*AV219*I219),2)*BS219),2)+ROUND((ROUND(((AE219-((EU219*1.2)))*AV219*I219),2)*BS219),2))</f>
        <v>0</v>
      </c>
      <c r="S219" s="3">
        <f t="shared" si="161"/>
        <v>313145.96999999997</v>
      </c>
      <c r="T219" s="3">
        <f t="shared" si="162"/>
        <v>0</v>
      </c>
      <c r="U219" s="3">
        <f t="shared" si="163"/>
        <v>467.38079999999997</v>
      </c>
      <c r="V219" s="3">
        <f t="shared" si="164"/>
        <v>0</v>
      </c>
      <c r="W219" s="3">
        <f t="shared" si="165"/>
        <v>0</v>
      </c>
      <c r="X219" s="3">
        <f>(ROUND((((S219+ROUND((ROUND((((EU219*1.2))*AV219*I219),2)*BS219),2))*AT219)/100),2)+ROUND(((ROUND((ROUND(((AE219-((EU219*1.2)))*AV219*I219),2)*BS219),2)*AT219)/100),2))</f>
        <v>297488.67</v>
      </c>
      <c r="Y219" s="3">
        <f>(ROUND((((S219+ROUND((ROUND((((EU219*1.2))*AV219*I219),2)*BS219),2))*AU219)/100),2)+ROUND(((ROUND((ROUND(((AE219-((EU219*1.2)))*AV219*I219),2)*BS219),2)*AU219)/100),2))</f>
        <v>165967.35999999999</v>
      </c>
      <c r="AA219" s="3">
        <v>57014140</v>
      </c>
      <c r="AB219" s="3">
        <f t="shared" si="166"/>
        <v>52.996000000000002</v>
      </c>
      <c r="AC219" s="3">
        <f>ROUND(((ES219*1)),6)</f>
        <v>24.46</v>
      </c>
      <c r="AD219" s="3">
        <f>ROUND(((((ET219*1.2))-((EU219*1.2)))+AE219),6)</f>
        <v>0</v>
      </c>
      <c r="AE219" s="3">
        <f>ROUND(((EU219*1.2)),6)</f>
        <v>0</v>
      </c>
      <c r="AF219" s="3">
        <f>ROUND(((EV219*1.2)),6)</f>
        <v>28.536000000000001</v>
      </c>
      <c r="AG219" s="3">
        <f t="shared" si="168"/>
        <v>0</v>
      </c>
      <c r="AH219" s="3">
        <f>((EW219*1.2))</f>
        <v>2.4</v>
      </c>
      <c r="AI219" s="3">
        <f>((EX219*1.2))</f>
        <v>0</v>
      </c>
      <c r="AJ219" s="3">
        <f t="shared" si="170"/>
        <v>0</v>
      </c>
      <c r="AK219" s="3">
        <v>48.24</v>
      </c>
      <c r="AL219" s="3">
        <v>24.46</v>
      </c>
      <c r="AM219" s="3">
        <v>0</v>
      </c>
      <c r="AN219" s="3">
        <v>0</v>
      </c>
      <c r="AO219" s="3">
        <v>23.78</v>
      </c>
      <c r="AP219" s="3">
        <v>0</v>
      </c>
      <c r="AQ219" s="3">
        <v>2</v>
      </c>
      <c r="AR219" s="3">
        <v>0</v>
      </c>
      <c r="AS219" s="3">
        <v>0</v>
      </c>
      <c r="AT219" s="3">
        <v>95</v>
      </c>
      <c r="AU219" s="3">
        <v>53</v>
      </c>
      <c r="AV219" s="3">
        <v>1.0469999999999999</v>
      </c>
      <c r="AW219" s="3">
        <v>1</v>
      </c>
      <c r="AZ219" s="3">
        <v>1</v>
      </c>
      <c r="BA219" s="3">
        <v>56.35</v>
      </c>
      <c r="BB219" s="3">
        <v>1</v>
      </c>
      <c r="BC219" s="3">
        <v>11.11</v>
      </c>
      <c r="BD219" s="3" t="s">
        <v>3</v>
      </c>
      <c r="BE219" s="3" t="s">
        <v>3</v>
      </c>
      <c r="BF219" s="3" t="s">
        <v>3</v>
      </c>
      <c r="BG219" s="3" t="s">
        <v>3</v>
      </c>
      <c r="BH219" s="3">
        <v>0</v>
      </c>
      <c r="BI219" s="3">
        <v>2</v>
      </c>
      <c r="BJ219" s="3" t="s">
        <v>58</v>
      </c>
      <c r="BM219" s="3">
        <v>69</v>
      </c>
      <c r="BN219" s="3">
        <v>0</v>
      </c>
      <c r="BO219" s="3" t="s">
        <v>56</v>
      </c>
      <c r="BP219" s="3">
        <v>1</v>
      </c>
      <c r="BQ219" s="3">
        <v>40</v>
      </c>
      <c r="BR219" s="3">
        <v>0</v>
      </c>
      <c r="BS219" s="3">
        <v>56.35</v>
      </c>
      <c r="BT219" s="3">
        <v>1</v>
      </c>
      <c r="BU219" s="3">
        <v>1</v>
      </c>
      <c r="BV219" s="3">
        <v>1</v>
      </c>
      <c r="BW219" s="3">
        <v>1</v>
      </c>
      <c r="BX219" s="3">
        <v>1</v>
      </c>
      <c r="BY219" s="3" t="s">
        <v>3</v>
      </c>
      <c r="BZ219" s="3">
        <v>95</v>
      </c>
      <c r="CA219" s="3">
        <v>53</v>
      </c>
      <c r="CB219" s="3" t="s">
        <v>3</v>
      </c>
      <c r="CE219" s="3">
        <v>1566</v>
      </c>
      <c r="CF219" s="3">
        <v>0</v>
      </c>
      <c r="CG219" s="3">
        <v>0</v>
      </c>
      <c r="CM219" s="3">
        <v>0</v>
      </c>
      <c r="CN219" s="3" t="s">
        <v>624</v>
      </c>
      <c r="CO219" s="3">
        <v>0</v>
      </c>
      <c r="CP219" s="3">
        <f t="shared" si="171"/>
        <v>363691.57999999996</v>
      </c>
      <c r="CQ219" s="3">
        <f t="shared" si="172"/>
        <v>271.75</v>
      </c>
      <c r="CR219" s="3">
        <f>(ROUND((ROUND((((ET219*1.2))*AV219*1),2)*BB219),2)+ROUND((ROUND(((AE219-((EU219*1.2)))*AV219*1),2)*BS219),2))</f>
        <v>0</v>
      </c>
      <c r="CS219" s="3">
        <f>(ROUND((ROUND((((EU219*1.2))*AV219*1),2)*BS219),2)+ROUND((ROUND(((AE219-((EU219*1.2)))*AV219*1),2)*BS219),2))</f>
        <v>0</v>
      </c>
      <c r="CT219" s="3">
        <f t="shared" si="173"/>
        <v>1683.74</v>
      </c>
      <c r="CU219" s="3">
        <f t="shared" si="174"/>
        <v>0</v>
      </c>
      <c r="CV219" s="3">
        <f t="shared" si="175"/>
        <v>2.5127999999999999</v>
      </c>
      <c r="CW219" s="3">
        <f t="shared" si="176"/>
        <v>0</v>
      </c>
      <c r="CX219" s="3">
        <f t="shared" si="177"/>
        <v>0</v>
      </c>
      <c r="CY219" s="3">
        <f>(ROUND((((S219+ROUND((ROUND((((EU219*1.2))*AV219*1),2)*BS219),2))*AT219)/100),2)+ROUND(((ROUND((ROUND(((AE219-((EU219*1.2)))*AV219*1),2)*BS219),2)*AT219)/100),2))</f>
        <v>297488.67</v>
      </c>
      <c r="CZ219" s="3">
        <f>(ROUND((((S219+ROUND((ROUND((((EU219*1.2))*AV219*1),2)*BS219),2))*AU219)/100),2)+ROUND(((ROUND((ROUND(((AE219-((EU219*1.2)))*AV219*1),2)*BS219),2)*AU219)/100),2))</f>
        <v>165967.35999999999</v>
      </c>
      <c r="DB219" s="3">
        <v>88</v>
      </c>
      <c r="DC219" s="3" t="s">
        <v>3</v>
      </c>
      <c r="DD219" s="3" t="s">
        <v>70</v>
      </c>
      <c r="DE219" s="3" t="s">
        <v>71</v>
      </c>
      <c r="DF219" s="3" t="s">
        <v>71</v>
      </c>
      <c r="DG219" s="3" t="s">
        <v>71</v>
      </c>
      <c r="DH219" s="3" t="s">
        <v>3</v>
      </c>
      <c r="DI219" s="3" t="s">
        <v>71</v>
      </c>
      <c r="DJ219" s="3" t="s">
        <v>71</v>
      </c>
      <c r="DK219" s="3" t="s">
        <v>3</v>
      </c>
      <c r="DL219" s="3" t="s">
        <v>3</v>
      </c>
      <c r="DM219" s="3" t="s">
        <v>3</v>
      </c>
      <c r="DN219" s="3">
        <v>0</v>
      </c>
      <c r="DO219" s="3">
        <v>0</v>
      </c>
      <c r="DP219" s="3">
        <v>1</v>
      </c>
      <c r="DQ219" s="3">
        <v>1</v>
      </c>
      <c r="DU219" s="3">
        <v>1013</v>
      </c>
      <c r="DV219" s="3" t="s">
        <v>27</v>
      </c>
      <c r="DW219" s="3" t="s">
        <v>27</v>
      </c>
      <c r="DX219" s="3">
        <v>1</v>
      </c>
      <c r="DZ219" s="3" t="s">
        <v>3</v>
      </c>
      <c r="EA219" s="3" t="s">
        <v>3</v>
      </c>
      <c r="EB219" s="3" t="s">
        <v>3</v>
      </c>
      <c r="EC219" s="3" t="s">
        <v>3</v>
      </c>
      <c r="EE219" s="3">
        <v>57042959</v>
      </c>
      <c r="EF219" s="3">
        <v>40</v>
      </c>
      <c r="EG219" s="3" t="s">
        <v>31</v>
      </c>
      <c r="EH219" s="3">
        <v>0</v>
      </c>
      <c r="EI219" s="3" t="s">
        <v>3</v>
      </c>
      <c r="EJ219" s="3">
        <v>2</v>
      </c>
      <c r="EK219" s="3">
        <v>69</v>
      </c>
      <c r="EL219" s="3" t="s">
        <v>59</v>
      </c>
      <c r="EM219" s="3" t="s">
        <v>60</v>
      </c>
      <c r="EO219" s="3" t="s">
        <v>75</v>
      </c>
      <c r="EQ219" s="3">
        <v>0</v>
      </c>
      <c r="ER219" s="3">
        <v>48.24</v>
      </c>
      <c r="ES219" s="3">
        <v>24.46</v>
      </c>
      <c r="ET219" s="3">
        <v>0</v>
      </c>
      <c r="EU219" s="3">
        <v>0</v>
      </c>
      <c r="EV219" s="3">
        <v>23.78</v>
      </c>
      <c r="EW219" s="3">
        <v>2</v>
      </c>
      <c r="EX219" s="3">
        <v>0</v>
      </c>
      <c r="EY219" s="3">
        <v>0</v>
      </c>
      <c r="FQ219" s="3">
        <v>0</v>
      </c>
      <c r="FR219" s="3">
        <v>0</v>
      </c>
      <c r="FS219" s="3">
        <v>0</v>
      </c>
      <c r="FX219" s="3">
        <v>95</v>
      </c>
      <c r="FY219" s="3">
        <v>53</v>
      </c>
      <c r="GA219" s="3" t="s">
        <v>3</v>
      </c>
      <c r="GD219" s="3">
        <v>1</v>
      </c>
      <c r="GF219" s="3">
        <v>-553049172</v>
      </c>
      <c r="GG219" s="3">
        <v>2</v>
      </c>
      <c r="GH219" s="3">
        <v>1</v>
      </c>
      <c r="GI219" s="3">
        <v>2</v>
      </c>
      <c r="GJ219" s="3">
        <v>0</v>
      </c>
      <c r="GK219" s="3">
        <v>0</v>
      </c>
      <c r="GL219" s="3">
        <f t="shared" si="178"/>
        <v>0</v>
      </c>
      <c r="GM219" s="3">
        <f t="shared" si="179"/>
        <v>827147.61</v>
      </c>
      <c r="GN219" s="3">
        <f t="shared" si="180"/>
        <v>0</v>
      </c>
      <c r="GO219" s="3">
        <f t="shared" si="181"/>
        <v>827147.61</v>
      </c>
      <c r="GP219" s="3">
        <f t="shared" si="182"/>
        <v>0</v>
      </c>
      <c r="GR219" s="3">
        <v>0</v>
      </c>
      <c r="GS219" s="3">
        <v>3</v>
      </c>
      <c r="GT219" s="3">
        <v>0</v>
      </c>
      <c r="GU219" s="3" t="s">
        <v>3</v>
      </c>
      <c r="GV219" s="3">
        <f t="shared" si="183"/>
        <v>0</v>
      </c>
      <c r="GW219" s="3">
        <v>1</v>
      </c>
      <c r="GX219" s="3">
        <f t="shared" si="184"/>
        <v>0</v>
      </c>
      <c r="HA219" s="3">
        <v>0</v>
      </c>
      <c r="HB219" s="3">
        <v>0</v>
      </c>
      <c r="HC219" s="3">
        <f t="shared" si="185"/>
        <v>0</v>
      </c>
      <c r="HE219" s="3" t="s">
        <v>3</v>
      </c>
      <c r="HF219" s="3" t="s">
        <v>3</v>
      </c>
      <c r="HM219" s="3" t="s">
        <v>3</v>
      </c>
      <c r="HN219" s="3" t="s">
        <v>3</v>
      </c>
      <c r="HO219" s="3" t="s">
        <v>3</v>
      </c>
      <c r="HP219" s="3" t="s">
        <v>3</v>
      </c>
      <c r="HQ219" s="3" t="s">
        <v>3</v>
      </c>
      <c r="HS219" s="3">
        <v>0</v>
      </c>
      <c r="IK219" s="3">
        <v>0</v>
      </c>
    </row>
    <row r="220" spans="1:255" x14ac:dyDescent="0.25">
      <c r="A220" s="2">
        <v>17</v>
      </c>
      <c r="B220" s="2">
        <v>1</v>
      </c>
      <c r="C220" s="2"/>
      <c r="D220" s="2"/>
      <c r="E220" s="2" t="s">
        <v>293</v>
      </c>
      <c r="F220" s="2" t="s">
        <v>294</v>
      </c>
      <c r="G220" s="2" t="s">
        <v>295</v>
      </c>
      <c r="H220" s="2" t="s">
        <v>251</v>
      </c>
      <c r="I220" s="2">
        <v>144</v>
      </c>
      <c r="J220" s="2">
        <v>0</v>
      </c>
      <c r="K220" s="2">
        <v>144</v>
      </c>
      <c r="L220" s="2"/>
      <c r="M220" s="2"/>
      <c r="N220" s="2"/>
      <c r="O220" s="2">
        <f t="shared" si="159"/>
        <v>46177.919999999998</v>
      </c>
      <c r="P220" s="2">
        <f>ROUND((ROUND((AC220*I220),2)*BC220),2)</f>
        <v>46177.919999999998</v>
      </c>
      <c r="Q220" s="2">
        <f>(ROUND((ROUND(((ET220)*AV220*I220),2)*BB220),2)+ROUND((ROUND(((AE220-(EU220))*AV220*I220),2)*BS220),2))</f>
        <v>0</v>
      </c>
      <c r="R220" s="2">
        <f>(ROUND((ROUND(((EU220)*AV220*I220),2)*BS220),2)+ROUND((ROUND(((AE220-(EU220))*AV220*I220),2)*BS220),2))</f>
        <v>0</v>
      </c>
      <c r="S220" s="2">
        <f t="shared" si="161"/>
        <v>0</v>
      </c>
      <c r="T220" s="2">
        <f t="shared" si="162"/>
        <v>0</v>
      </c>
      <c r="U220" s="2">
        <f t="shared" si="163"/>
        <v>0</v>
      </c>
      <c r="V220" s="2">
        <f t="shared" si="164"/>
        <v>0</v>
      </c>
      <c r="W220" s="2">
        <f t="shared" si="165"/>
        <v>0</v>
      </c>
      <c r="X220" s="2">
        <f>(ROUND((((S220+ROUND((ROUND(((EU220)*AV220*I220),2)*BS220),2))*AT220)/100),2)+ROUND(((ROUND((ROUND(((AE220-(EU220))*AV220*I220),2)*BS220),2)*AT220)/100),2))</f>
        <v>0</v>
      </c>
      <c r="Y220" s="2">
        <f>(ROUND((((S220+ROUND((ROUND(((EU220)*AV220*I220),2)*BS220),2))*AU220)/100),2)+ROUND(((ROUND((ROUND(((AE220-(EU220))*AV220*I220),2)*BS220),2)*AU220)/100),2))</f>
        <v>0</v>
      </c>
      <c r="Z220" s="2"/>
      <c r="AA220" s="2">
        <v>57014138</v>
      </c>
      <c r="AB220" s="2">
        <f t="shared" si="166"/>
        <v>320.68</v>
      </c>
      <c r="AC220" s="2">
        <f>ROUND((ES220),6)</f>
        <v>320.68</v>
      </c>
      <c r="AD220" s="2">
        <f>ROUND((((ET220)-(EU220))+AE220),6)</f>
        <v>0</v>
      </c>
      <c r="AE220" s="2">
        <f t="shared" ref="AE220:AF223" si="200">ROUND((EU220),6)</f>
        <v>0</v>
      </c>
      <c r="AF220" s="2">
        <f t="shared" si="200"/>
        <v>0</v>
      </c>
      <c r="AG220" s="2">
        <f t="shared" si="168"/>
        <v>0</v>
      </c>
      <c r="AH220" s="2">
        <f t="shared" ref="AH220:AI223" si="201">(EW220)</f>
        <v>0</v>
      </c>
      <c r="AI220" s="2">
        <f t="shared" si="201"/>
        <v>0</v>
      </c>
      <c r="AJ220" s="2">
        <f t="shared" si="170"/>
        <v>0</v>
      </c>
      <c r="AK220" s="2">
        <v>320.68</v>
      </c>
      <c r="AL220" s="2">
        <v>320.68</v>
      </c>
      <c r="AM220" s="2">
        <v>0</v>
      </c>
      <c r="AN220" s="2">
        <v>0</v>
      </c>
      <c r="AO220" s="2">
        <v>0</v>
      </c>
      <c r="AP220" s="2">
        <v>0</v>
      </c>
      <c r="AQ220" s="2">
        <v>0</v>
      </c>
      <c r="AR220" s="2">
        <v>0</v>
      </c>
      <c r="AS220" s="2">
        <v>0</v>
      </c>
      <c r="AT220" s="2">
        <v>0</v>
      </c>
      <c r="AU220" s="2">
        <v>0</v>
      </c>
      <c r="AV220" s="2">
        <v>1</v>
      </c>
      <c r="AW220" s="2">
        <v>1</v>
      </c>
      <c r="AX220" s="2"/>
      <c r="AY220" s="2"/>
      <c r="AZ220" s="2">
        <v>1</v>
      </c>
      <c r="BA220" s="2">
        <v>1</v>
      </c>
      <c r="BB220" s="2">
        <v>1</v>
      </c>
      <c r="BC220" s="2">
        <v>1</v>
      </c>
      <c r="BD220" s="2" t="s">
        <v>3</v>
      </c>
      <c r="BE220" s="2" t="s">
        <v>3</v>
      </c>
      <c r="BF220" s="2" t="s">
        <v>3</v>
      </c>
      <c r="BG220" s="2" t="s">
        <v>3</v>
      </c>
      <c r="BH220" s="2">
        <v>3</v>
      </c>
      <c r="BI220" s="2">
        <v>3</v>
      </c>
      <c r="BJ220" s="2" t="s">
        <v>296</v>
      </c>
      <c r="BK220" s="2"/>
      <c r="BL220" s="2"/>
      <c r="BM220" s="2">
        <v>746</v>
      </c>
      <c r="BN220" s="2">
        <v>0</v>
      </c>
      <c r="BO220" s="2" t="s">
        <v>3</v>
      </c>
      <c r="BP220" s="2">
        <v>0</v>
      </c>
      <c r="BQ220" s="2">
        <v>130</v>
      </c>
      <c r="BR220" s="2">
        <v>0</v>
      </c>
      <c r="BS220" s="2">
        <v>1</v>
      </c>
      <c r="BT220" s="2">
        <v>1</v>
      </c>
      <c r="BU220" s="2">
        <v>1</v>
      </c>
      <c r="BV220" s="2">
        <v>1</v>
      </c>
      <c r="BW220" s="2">
        <v>1</v>
      </c>
      <c r="BX220" s="2">
        <v>1</v>
      </c>
      <c r="BY220" s="2" t="s">
        <v>3</v>
      </c>
      <c r="BZ220" s="2">
        <v>0</v>
      </c>
      <c r="CA220" s="2">
        <v>0</v>
      </c>
      <c r="CB220" s="2" t="s">
        <v>3</v>
      </c>
      <c r="CC220" s="2"/>
      <c r="CD220" s="2"/>
      <c r="CE220" s="2">
        <v>1566</v>
      </c>
      <c r="CF220" s="2">
        <v>0</v>
      </c>
      <c r="CG220" s="2">
        <v>0</v>
      </c>
      <c r="CH220" s="2"/>
      <c r="CI220" s="2"/>
      <c r="CJ220" s="2"/>
      <c r="CK220" s="2"/>
      <c r="CL220" s="2"/>
      <c r="CM220" s="2">
        <v>0</v>
      </c>
      <c r="CN220" s="2" t="s">
        <v>3</v>
      </c>
      <c r="CO220" s="2">
        <v>0</v>
      </c>
      <c r="CP220" s="2">
        <f t="shared" si="171"/>
        <v>46177.919999999998</v>
      </c>
      <c r="CQ220" s="2">
        <f>ROUND((ROUND((AC220*1),2)*BC220),2)</f>
        <v>320.68</v>
      </c>
      <c r="CR220" s="2">
        <f>(ROUND((ROUND(((ET220)*AV220*1),2)*BB220),2)+ROUND((ROUND(((AE220-(EU220))*AV220*1),2)*BS220),2))</f>
        <v>0</v>
      </c>
      <c r="CS220" s="2">
        <f>(ROUND((ROUND(((EU220)*AV220*1),2)*BS220),2)+ROUND((ROUND(((AE220-(EU220))*AV220*1),2)*BS220),2))</f>
        <v>0</v>
      </c>
      <c r="CT220" s="2">
        <f t="shared" si="173"/>
        <v>0</v>
      </c>
      <c r="CU220" s="2">
        <f t="shared" si="174"/>
        <v>0</v>
      </c>
      <c r="CV220" s="2">
        <f t="shared" si="175"/>
        <v>0</v>
      </c>
      <c r="CW220" s="2">
        <f t="shared" si="176"/>
        <v>0</v>
      </c>
      <c r="CX220" s="2">
        <f t="shared" si="177"/>
        <v>0</v>
      </c>
      <c r="CY220" s="2">
        <f>(ROUND((((S220+ROUND((ROUND(((EU220)*AV220*1),2)*BS220),2))*AT220)/100),2)+ROUND(((ROUND((ROUND(((AE220-(EU220))*AV220*1),2)*BS220),2)*AT220)/100),2))</f>
        <v>0</v>
      </c>
      <c r="CZ220" s="2">
        <f>(ROUND((((S220+ROUND((ROUND(((EU220)*AV220*1),2)*BS220),2))*AU220)/100),2)+ROUND(((ROUND((ROUND(((AE220-(EU220))*AV220*1),2)*BS220),2)*AU220)/100),2))</f>
        <v>0</v>
      </c>
      <c r="DA220" s="2"/>
      <c r="DB220" s="2"/>
      <c r="DC220" s="2" t="s">
        <v>3</v>
      </c>
      <c r="DD220" s="2" t="s">
        <v>3</v>
      </c>
      <c r="DE220" s="2" t="s">
        <v>3</v>
      </c>
      <c r="DF220" s="2" t="s">
        <v>3</v>
      </c>
      <c r="DG220" s="2" t="s">
        <v>3</v>
      </c>
      <c r="DH220" s="2" t="s">
        <v>3</v>
      </c>
      <c r="DI220" s="2" t="s">
        <v>3</v>
      </c>
      <c r="DJ220" s="2" t="s">
        <v>3</v>
      </c>
      <c r="DK220" s="2" t="s">
        <v>3</v>
      </c>
      <c r="DL220" s="2" t="s">
        <v>3</v>
      </c>
      <c r="DM220" s="2" t="s">
        <v>3</v>
      </c>
      <c r="DN220" s="2">
        <v>0</v>
      </c>
      <c r="DO220" s="2">
        <v>0</v>
      </c>
      <c r="DP220" s="2">
        <v>1</v>
      </c>
      <c r="DQ220" s="2">
        <v>1</v>
      </c>
      <c r="DR220" s="2"/>
      <c r="DS220" s="2"/>
      <c r="DT220" s="2"/>
      <c r="DU220" s="2">
        <v>1010</v>
      </c>
      <c r="DV220" s="2" t="s">
        <v>251</v>
      </c>
      <c r="DW220" s="2" t="s">
        <v>251</v>
      </c>
      <c r="DX220" s="2">
        <v>1</v>
      </c>
      <c r="DY220" s="2"/>
      <c r="DZ220" s="2" t="s">
        <v>3</v>
      </c>
      <c r="EA220" s="2" t="s">
        <v>3</v>
      </c>
      <c r="EB220" s="2" t="s">
        <v>3</v>
      </c>
      <c r="EC220" s="2" t="s">
        <v>3</v>
      </c>
      <c r="ED220" s="2"/>
      <c r="EE220" s="2">
        <v>57043064</v>
      </c>
      <c r="EF220" s="2">
        <v>130</v>
      </c>
      <c r="EG220" s="2" t="s">
        <v>297</v>
      </c>
      <c r="EH220" s="2">
        <v>0</v>
      </c>
      <c r="EI220" s="2" t="s">
        <v>3</v>
      </c>
      <c r="EJ220" s="2">
        <v>3</v>
      </c>
      <c r="EK220" s="2">
        <v>746</v>
      </c>
      <c r="EL220" s="2" t="s">
        <v>298</v>
      </c>
      <c r="EM220" s="2" t="s">
        <v>299</v>
      </c>
      <c r="EN220" s="2"/>
      <c r="EO220" s="2" t="s">
        <v>3</v>
      </c>
      <c r="EP220" s="2"/>
      <c r="EQ220" s="2">
        <v>0</v>
      </c>
      <c r="ER220" s="2">
        <v>320.68</v>
      </c>
      <c r="ES220" s="2">
        <v>320.68</v>
      </c>
      <c r="ET220" s="2">
        <v>0</v>
      </c>
      <c r="EU220" s="2">
        <v>0</v>
      </c>
      <c r="EV220" s="2">
        <v>0</v>
      </c>
      <c r="EW220" s="2">
        <v>0</v>
      </c>
      <c r="EX220" s="2">
        <v>0</v>
      </c>
      <c r="EY220" s="2">
        <v>0</v>
      </c>
      <c r="EZ220" s="2"/>
      <c r="FA220" s="2"/>
      <c r="FB220" s="2"/>
      <c r="FC220" s="2"/>
      <c r="FD220" s="2"/>
      <c r="FE220" s="2"/>
      <c r="FF220" s="2"/>
      <c r="FG220" s="2"/>
      <c r="FH220" s="2"/>
      <c r="FI220" s="2"/>
      <c r="FJ220" s="2"/>
      <c r="FK220" s="2"/>
      <c r="FL220" s="2"/>
      <c r="FM220" s="2"/>
      <c r="FN220" s="2"/>
      <c r="FO220" s="2"/>
      <c r="FP220" s="2"/>
      <c r="FQ220" s="2">
        <v>0</v>
      </c>
      <c r="FR220" s="2">
        <f>P220</f>
        <v>46177.919999999998</v>
      </c>
      <c r="FS220" s="2">
        <v>0</v>
      </c>
      <c r="FT220" s="2"/>
      <c r="FU220" s="2"/>
      <c r="FV220" s="2"/>
      <c r="FW220" s="2"/>
      <c r="FX220" s="2">
        <v>0</v>
      </c>
      <c r="FY220" s="2">
        <v>0</v>
      </c>
      <c r="FZ220" s="2"/>
      <c r="GA220" s="2" t="s">
        <v>3</v>
      </c>
      <c r="GB220" s="2"/>
      <c r="GC220" s="2"/>
      <c r="GD220" s="2">
        <v>1</v>
      </c>
      <c r="GE220" s="2"/>
      <c r="GF220" s="2">
        <v>-954106654</v>
      </c>
      <c r="GG220" s="2">
        <v>2</v>
      </c>
      <c r="GH220" s="2">
        <v>1</v>
      </c>
      <c r="GI220" s="2">
        <v>-2</v>
      </c>
      <c r="GJ220" s="2">
        <v>0</v>
      </c>
      <c r="GK220" s="2">
        <v>0</v>
      </c>
      <c r="GL220" s="2">
        <f t="shared" si="178"/>
        <v>0</v>
      </c>
      <c r="GM220" s="2">
        <f t="shared" si="179"/>
        <v>46177.919999999998</v>
      </c>
      <c r="GN220" s="2">
        <f t="shared" si="180"/>
        <v>0</v>
      </c>
      <c r="GO220" s="2">
        <f t="shared" si="181"/>
        <v>0</v>
      </c>
      <c r="GP220" s="2">
        <f t="shared" si="182"/>
        <v>0</v>
      </c>
      <c r="GQ220" s="2"/>
      <c r="GR220" s="2">
        <v>0</v>
      </c>
      <c r="GS220" s="2">
        <v>3</v>
      </c>
      <c r="GT220" s="2">
        <v>0</v>
      </c>
      <c r="GU220" s="2" t="s">
        <v>3</v>
      </c>
      <c r="GV220" s="2">
        <f t="shared" si="183"/>
        <v>0</v>
      </c>
      <c r="GW220" s="2">
        <v>1</v>
      </c>
      <c r="GX220" s="2">
        <f t="shared" si="184"/>
        <v>0</v>
      </c>
      <c r="GY220" s="2"/>
      <c r="GZ220" s="2"/>
      <c r="HA220" s="2">
        <v>0</v>
      </c>
      <c r="HB220" s="2">
        <v>0</v>
      </c>
      <c r="HC220" s="2">
        <f t="shared" si="185"/>
        <v>0</v>
      </c>
      <c r="HD220" s="2"/>
      <c r="HE220" s="2" t="s">
        <v>3</v>
      </c>
      <c r="HF220" s="2" t="s">
        <v>3</v>
      </c>
      <c r="HG220" s="2"/>
      <c r="HH220" s="2"/>
      <c r="HI220" s="2"/>
      <c r="HJ220" s="2"/>
      <c r="HK220" s="2"/>
      <c r="HL220" s="2"/>
      <c r="HM220" s="2" t="s">
        <v>3</v>
      </c>
      <c r="HN220" s="2" t="s">
        <v>3</v>
      </c>
      <c r="HO220" s="2" t="s">
        <v>3</v>
      </c>
      <c r="HP220" s="2" t="s">
        <v>3</v>
      </c>
      <c r="HQ220" s="2" t="s">
        <v>3</v>
      </c>
      <c r="HR220" s="2"/>
      <c r="HS220" s="2">
        <v>0</v>
      </c>
      <c r="HT220" s="2"/>
      <c r="HU220" s="2"/>
      <c r="HV220" s="2"/>
      <c r="HW220" s="2"/>
      <c r="HX220" s="2"/>
      <c r="HY220" s="2"/>
      <c r="HZ220" s="2"/>
      <c r="IA220" s="2"/>
      <c r="IB220" s="2"/>
      <c r="IC220" s="2"/>
      <c r="ID220" s="2"/>
      <c r="IE220" s="2"/>
      <c r="IF220" s="2"/>
      <c r="IG220" s="2"/>
      <c r="IH220" s="2"/>
      <c r="II220" s="2"/>
      <c r="IJ220" s="2"/>
      <c r="IK220" s="2">
        <v>0</v>
      </c>
      <c r="IL220" s="2"/>
      <c r="IM220" s="2"/>
      <c r="IN220" s="2"/>
      <c r="IO220" s="2"/>
      <c r="IP220" s="2"/>
      <c r="IQ220" s="2"/>
      <c r="IR220" s="2"/>
      <c r="IS220" s="2"/>
      <c r="IT220" s="2"/>
      <c r="IU220" s="2"/>
    </row>
    <row r="221" spans="1:255" x14ac:dyDescent="0.25">
      <c r="A221" s="3">
        <v>17</v>
      </c>
      <c r="B221" s="3">
        <v>1</v>
      </c>
      <c r="E221" s="3" t="s">
        <v>293</v>
      </c>
      <c r="F221" s="3" t="s">
        <v>294</v>
      </c>
      <c r="G221" s="3" t="s">
        <v>295</v>
      </c>
      <c r="H221" s="3" t="s">
        <v>251</v>
      </c>
      <c r="I221" s="3">
        <v>144</v>
      </c>
      <c r="J221" s="3">
        <v>0</v>
      </c>
      <c r="K221" s="3">
        <v>144</v>
      </c>
      <c r="O221" s="3">
        <f t="shared" si="159"/>
        <v>337098.82</v>
      </c>
      <c r="P221" s="3">
        <f>ROUND((ROUND((AC221*I221),2)*BC221),2)</f>
        <v>337098.82</v>
      </c>
      <c r="Q221" s="3">
        <f>(ROUND((ROUND(((ET221)*AV221*I221),2)*BB221),2)+ROUND((ROUND(((AE221-(EU221))*AV221*I221),2)*BS221),2))</f>
        <v>0</v>
      </c>
      <c r="R221" s="3">
        <f>(ROUND((ROUND(((EU221)*AV221*I221),2)*BS221),2)+ROUND((ROUND(((AE221-(EU221))*AV221*I221),2)*BS221),2))</f>
        <v>0</v>
      </c>
      <c r="S221" s="3">
        <f t="shared" si="161"/>
        <v>0</v>
      </c>
      <c r="T221" s="3">
        <f t="shared" si="162"/>
        <v>0</v>
      </c>
      <c r="U221" s="3">
        <f t="shared" si="163"/>
        <v>0</v>
      </c>
      <c r="V221" s="3">
        <f t="shared" si="164"/>
        <v>0</v>
      </c>
      <c r="W221" s="3">
        <f t="shared" si="165"/>
        <v>0</v>
      </c>
      <c r="X221" s="3">
        <f>(ROUND((((S221+ROUND((ROUND(((EU221)*AV221*I221),2)*BS221),2))*AT221)/100),2)+ROUND(((ROUND((ROUND(((AE221-(EU221))*AV221*I221),2)*BS221),2)*AT221)/100),2))</f>
        <v>0</v>
      </c>
      <c r="Y221" s="3">
        <f>(ROUND((((S221+ROUND((ROUND(((EU221)*AV221*I221),2)*BS221),2))*AU221)/100),2)+ROUND(((ROUND((ROUND(((AE221-(EU221))*AV221*I221),2)*BS221),2)*AU221)/100),2))</f>
        <v>0</v>
      </c>
      <c r="AA221" s="3">
        <v>57014140</v>
      </c>
      <c r="AB221" s="3">
        <f t="shared" si="166"/>
        <v>320.68</v>
      </c>
      <c r="AC221" s="3">
        <f>ROUND((ES221),6)</f>
        <v>320.68</v>
      </c>
      <c r="AD221" s="3">
        <f>ROUND((((ET221)-(EU221))+AE221),6)</f>
        <v>0</v>
      </c>
      <c r="AE221" s="3">
        <f t="shared" si="200"/>
        <v>0</v>
      </c>
      <c r="AF221" s="3">
        <f t="shared" si="200"/>
        <v>0</v>
      </c>
      <c r="AG221" s="3">
        <f t="shared" si="168"/>
        <v>0</v>
      </c>
      <c r="AH221" s="3">
        <f t="shared" si="201"/>
        <v>0</v>
      </c>
      <c r="AI221" s="3">
        <f t="shared" si="201"/>
        <v>0</v>
      </c>
      <c r="AJ221" s="3">
        <f t="shared" si="170"/>
        <v>0</v>
      </c>
      <c r="AK221" s="3">
        <v>320.68</v>
      </c>
      <c r="AL221" s="3">
        <v>320.68</v>
      </c>
      <c r="AM221" s="3">
        <v>0</v>
      </c>
      <c r="AN221" s="3">
        <v>0</v>
      </c>
      <c r="AO221" s="3">
        <v>0</v>
      </c>
      <c r="AP221" s="3">
        <v>0</v>
      </c>
      <c r="AQ221" s="3">
        <v>0</v>
      </c>
      <c r="AR221" s="3">
        <v>0</v>
      </c>
      <c r="AS221" s="3">
        <v>0</v>
      </c>
      <c r="AT221" s="3">
        <v>0</v>
      </c>
      <c r="AU221" s="3">
        <v>0</v>
      </c>
      <c r="AV221" s="3">
        <v>1</v>
      </c>
      <c r="AW221" s="3">
        <v>1</v>
      </c>
      <c r="AZ221" s="3">
        <v>1</v>
      </c>
      <c r="BA221" s="3">
        <v>1</v>
      </c>
      <c r="BB221" s="3">
        <v>1</v>
      </c>
      <c r="BC221" s="3">
        <v>7.3</v>
      </c>
      <c r="BD221" s="3" t="s">
        <v>3</v>
      </c>
      <c r="BE221" s="3" t="s">
        <v>3</v>
      </c>
      <c r="BF221" s="3" t="s">
        <v>3</v>
      </c>
      <c r="BG221" s="3" t="s">
        <v>3</v>
      </c>
      <c r="BH221" s="3">
        <v>3</v>
      </c>
      <c r="BI221" s="3">
        <v>3</v>
      </c>
      <c r="BJ221" s="3" t="s">
        <v>296</v>
      </c>
      <c r="BM221" s="3">
        <v>746</v>
      </c>
      <c r="BN221" s="3">
        <v>0</v>
      </c>
      <c r="BO221" s="3" t="s">
        <v>3</v>
      </c>
      <c r="BP221" s="3">
        <v>0</v>
      </c>
      <c r="BQ221" s="3">
        <v>130</v>
      </c>
      <c r="BR221" s="3">
        <v>0</v>
      </c>
      <c r="BS221" s="3">
        <v>1</v>
      </c>
      <c r="BT221" s="3">
        <v>1</v>
      </c>
      <c r="BU221" s="3">
        <v>1</v>
      </c>
      <c r="BV221" s="3">
        <v>1</v>
      </c>
      <c r="BW221" s="3">
        <v>1</v>
      </c>
      <c r="BX221" s="3">
        <v>1</v>
      </c>
      <c r="BY221" s="3" t="s">
        <v>3</v>
      </c>
      <c r="BZ221" s="3">
        <v>0</v>
      </c>
      <c r="CA221" s="3">
        <v>0</v>
      </c>
      <c r="CB221" s="3" t="s">
        <v>3</v>
      </c>
      <c r="CE221" s="3">
        <v>1566</v>
      </c>
      <c r="CF221" s="3">
        <v>0</v>
      </c>
      <c r="CG221" s="3">
        <v>0</v>
      </c>
      <c r="CM221" s="3">
        <v>0</v>
      </c>
      <c r="CN221" s="3" t="s">
        <v>3</v>
      </c>
      <c r="CO221" s="3">
        <v>0</v>
      </c>
      <c r="CP221" s="3">
        <f t="shared" si="171"/>
        <v>337098.82</v>
      </c>
      <c r="CQ221" s="3">
        <f>ROUND((ROUND((AC221*1),2)*BC221),2)</f>
        <v>2340.96</v>
      </c>
      <c r="CR221" s="3">
        <f>(ROUND((ROUND(((ET221)*AV221*1),2)*BB221),2)+ROUND((ROUND(((AE221-(EU221))*AV221*1),2)*BS221),2))</f>
        <v>0</v>
      </c>
      <c r="CS221" s="3">
        <f>(ROUND((ROUND(((EU221)*AV221*1),2)*BS221),2)+ROUND((ROUND(((AE221-(EU221))*AV221*1),2)*BS221),2))</f>
        <v>0</v>
      </c>
      <c r="CT221" s="3">
        <f t="shared" si="173"/>
        <v>0</v>
      </c>
      <c r="CU221" s="3">
        <f t="shared" si="174"/>
        <v>0</v>
      </c>
      <c r="CV221" s="3">
        <f t="shared" si="175"/>
        <v>0</v>
      </c>
      <c r="CW221" s="3">
        <f t="shared" si="176"/>
        <v>0</v>
      </c>
      <c r="CX221" s="3">
        <f t="shared" si="177"/>
        <v>0</v>
      </c>
      <c r="CY221" s="3">
        <f>(ROUND((((S221+ROUND((ROUND(((EU221)*AV221*1),2)*BS221),2))*AT221)/100),2)+ROUND(((ROUND((ROUND(((AE221-(EU221))*AV221*1),2)*BS221),2)*AT221)/100),2))</f>
        <v>0</v>
      </c>
      <c r="CZ221" s="3">
        <f>(ROUND((((S221+ROUND((ROUND(((EU221)*AV221*1),2)*BS221),2))*AU221)/100),2)+ROUND(((ROUND((ROUND(((AE221-(EU221))*AV221*1),2)*BS221),2)*AU221)/100),2))</f>
        <v>0</v>
      </c>
      <c r="DC221" s="3" t="s">
        <v>3</v>
      </c>
      <c r="DD221" s="3" t="s">
        <v>3</v>
      </c>
      <c r="DE221" s="3" t="s">
        <v>3</v>
      </c>
      <c r="DF221" s="3" t="s">
        <v>3</v>
      </c>
      <c r="DG221" s="3" t="s">
        <v>3</v>
      </c>
      <c r="DH221" s="3" t="s">
        <v>3</v>
      </c>
      <c r="DI221" s="3" t="s">
        <v>3</v>
      </c>
      <c r="DJ221" s="3" t="s">
        <v>3</v>
      </c>
      <c r="DK221" s="3" t="s">
        <v>3</v>
      </c>
      <c r="DL221" s="3" t="s">
        <v>3</v>
      </c>
      <c r="DM221" s="3" t="s">
        <v>3</v>
      </c>
      <c r="DN221" s="3">
        <v>0</v>
      </c>
      <c r="DO221" s="3">
        <v>0</v>
      </c>
      <c r="DP221" s="3">
        <v>1</v>
      </c>
      <c r="DQ221" s="3">
        <v>1</v>
      </c>
      <c r="DU221" s="3">
        <v>1010</v>
      </c>
      <c r="DV221" s="3" t="s">
        <v>251</v>
      </c>
      <c r="DW221" s="3" t="s">
        <v>251</v>
      </c>
      <c r="DX221" s="3">
        <v>1</v>
      </c>
      <c r="DZ221" s="3" t="s">
        <v>3</v>
      </c>
      <c r="EA221" s="3" t="s">
        <v>3</v>
      </c>
      <c r="EB221" s="3" t="s">
        <v>3</v>
      </c>
      <c r="EC221" s="3" t="s">
        <v>3</v>
      </c>
      <c r="EE221" s="3">
        <v>57043064</v>
      </c>
      <c r="EF221" s="3">
        <v>130</v>
      </c>
      <c r="EG221" s="3" t="s">
        <v>297</v>
      </c>
      <c r="EH221" s="3">
        <v>0</v>
      </c>
      <c r="EI221" s="3" t="s">
        <v>3</v>
      </c>
      <c r="EJ221" s="3">
        <v>3</v>
      </c>
      <c r="EK221" s="3">
        <v>746</v>
      </c>
      <c r="EL221" s="3" t="s">
        <v>298</v>
      </c>
      <c r="EM221" s="3" t="s">
        <v>299</v>
      </c>
      <c r="EO221" s="3" t="s">
        <v>3</v>
      </c>
      <c r="EQ221" s="3">
        <v>0</v>
      </c>
      <c r="ER221" s="3">
        <v>320.68</v>
      </c>
      <c r="ES221" s="3">
        <v>320.68</v>
      </c>
      <c r="ET221" s="3">
        <v>0</v>
      </c>
      <c r="EU221" s="3">
        <v>0</v>
      </c>
      <c r="EV221" s="3">
        <v>0</v>
      </c>
      <c r="EW221" s="3">
        <v>0</v>
      </c>
      <c r="EX221" s="3">
        <v>0</v>
      </c>
      <c r="EY221" s="3">
        <v>0</v>
      </c>
      <c r="FQ221" s="3">
        <v>0</v>
      </c>
      <c r="FR221" s="3">
        <f>P221</f>
        <v>337098.82</v>
      </c>
      <c r="FS221" s="3">
        <v>0</v>
      </c>
      <c r="FX221" s="3">
        <v>0</v>
      </c>
      <c r="FY221" s="3">
        <v>0</v>
      </c>
      <c r="GA221" s="3" t="s">
        <v>3</v>
      </c>
      <c r="GD221" s="3">
        <v>1</v>
      </c>
      <c r="GF221" s="3">
        <v>-954106654</v>
      </c>
      <c r="GG221" s="3">
        <v>2</v>
      </c>
      <c r="GH221" s="3">
        <v>1</v>
      </c>
      <c r="GI221" s="3">
        <v>2</v>
      </c>
      <c r="GJ221" s="3">
        <v>0</v>
      </c>
      <c r="GK221" s="3">
        <v>0</v>
      </c>
      <c r="GL221" s="3">
        <f t="shared" si="178"/>
        <v>0</v>
      </c>
      <c r="GM221" s="3">
        <f t="shared" si="179"/>
        <v>337098.82</v>
      </c>
      <c r="GN221" s="3">
        <f t="shared" si="180"/>
        <v>0</v>
      </c>
      <c r="GO221" s="3">
        <f t="shared" si="181"/>
        <v>0</v>
      </c>
      <c r="GP221" s="3">
        <f t="shared" si="182"/>
        <v>0</v>
      </c>
      <c r="GR221" s="3">
        <v>0</v>
      </c>
      <c r="GS221" s="3">
        <v>3</v>
      </c>
      <c r="GT221" s="3">
        <v>0</v>
      </c>
      <c r="GU221" s="3" t="s">
        <v>3</v>
      </c>
      <c r="GV221" s="3">
        <f t="shared" si="183"/>
        <v>0</v>
      </c>
      <c r="GW221" s="3">
        <v>1</v>
      </c>
      <c r="GX221" s="3">
        <f t="shared" si="184"/>
        <v>0</v>
      </c>
      <c r="HA221" s="3">
        <v>0</v>
      </c>
      <c r="HB221" s="3">
        <v>0</v>
      </c>
      <c r="HC221" s="3">
        <f t="shared" si="185"/>
        <v>0</v>
      </c>
      <c r="HE221" s="3" t="s">
        <v>3</v>
      </c>
      <c r="HF221" s="3" t="s">
        <v>3</v>
      </c>
      <c r="HM221" s="3" t="s">
        <v>3</v>
      </c>
      <c r="HN221" s="3" t="s">
        <v>3</v>
      </c>
      <c r="HO221" s="3" t="s">
        <v>3</v>
      </c>
      <c r="HP221" s="3" t="s">
        <v>3</v>
      </c>
      <c r="HQ221" s="3" t="s">
        <v>3</v>
      </c>
      <c r="HS221" s="3">
        <v>0</v>
      </c>
      <c r="IK221" s="3">
        <v>0</v>
      </c>
    </row>
    <row r="222" spans="1:255" x14ac:dyDescent="0.25">
      <c r="A222" s="2">
        <v>17</v>
      </c>
      <c r="B222" s="2">
        <v>1</v>
      </c>
      <c r="C222" s="2"/>
      <c r="D222" s="2"/>
      <c r="E222" s="2" t="s">
        <v>300</v>
      </c>
      <c r="F222" s="2" t="s">
        <v>301</v>
      </c>
      <c r="G222" s="2" t="s">
        <v>302</v>
      </c>
      <c r="H222" s="2" t="s">
        <v>251</v>
      </c>
      <c r="I222" s="2">
        <v>42</v>
      </c>
      <c r="J222" s="2">
        <v>0</v>
      </c>
      <c r="K222" s="2">
        <v>42</v>
      </c>
      <c r="L222" s="2"/>
      <c r="M222" s="2"/>
      <c r="N222" s="2"/>
      <c r="O222" s="2">
        <f t="shared" si="159"/>
        <v>13072.08</v>
      </c>
      <c r="P222" s="2">
        <f>ROUND((ROUND((AC222*I222),2)*BC222),2)</f>
        <v>13072.08</v>
      </c>
      <c r="Q222" s="2">
        <f>(ROUND((ROUND(((ET222)*AV222*I222),2)*BB222),2)+ROUND((ROUND(((AE222-(EU222))*AV222*I222),2)*BS222),2))</f>
        <v>0</v>
      </c>
      <c r="R222" s="2">
        <f>(ROUND((ROUND(((EU222)*AV222*I222),2)*BS222),2)+ROUND((ROUND(((AE222-(EU222))*AV222*I222),2)*BS222),2))</f>
        <v>0</v>
      </c>
      <c r="S222" s="2">
        <f t="shared" si="161"/>
        <v>0</v>
      </c>
      <c r="T222" s="2">
        <f t="shared" si="162"/>
        <v>0</v>
      </c>
      <c r="U222" s="2">
        <f t="shared" si="163"/>
        <v>0</v>
      </c>
      <c r="V222" s="2">
        <f t="shared" si="164"/>
        <v>0</v>
      </c>
      <c r="W222" s="2">
        <f t="shared" si="165"/>
        <v>0</v>
      </c>
      <c r="X222" s="2">
        <f>(ROUND((((S222+ROUND((ROUND(((EU222)*AV222*I222),2)*BS222),2))*AT222)/100),2)+ROUND(((ROUND((ROUND(((AE222-(EU222))*AV222*I222),2)*BS222),2)*AT222)/100),2))</f>
        <v>0</v>
      </c>
      <c r="Y222" s="2">
        <f>(ROUND((((S222+ROUND((ROUND(((EU222)*AV222*I222),2)*BS222),2))*AU222)/100),2)+ROUND(((ROUND((ROUND(((AE222-(EU222))*AV222*I222),2)*BS222),2)*AU222)/100),2))</f>
        <v>0</v>
      </c>
      <c r="Z222" s="2"/>
      <c r="AA222" s="2">
        <v>57014138</v>
      </c>
      <c r="AB222" s="2">
        <f t="shared" si="166"/>
        <v>311.24</v>
      </c>
      <c r="AC222" s="2">
        <f>ROUND((ES222),6)</f>
        <v>311.24</v>
      </c>
      <c r="AD222" s="2">
        <f>ROUND((((ET222)-(EU222))+AE222),6)</f>
        <v>0</v>
      </c>
      <c r="AE222" s="2">
        <f t="shared" si="200"/>
        <v>0</v>
      </c>
      <c r="AF222" s="2">
        <f t="shared" si="200"/>
        <v>0</v>
      </c>
      <c r="AG222" s="2">
        <f t="shared" si="168"/>
        <v>0</v>
      </c>
      <c r="AH222" s="2">
        <f t="shared" si="201"/>
        <v>0</v>
      </c>
      <c r="AI222" s="2">
        <f t="shared" si="201"/>
        <v>0</v>
      </c>
      <c r="AJ222" s="2">
        <f t="shared" si="170"/>
        <v>0</v>
      </c>
      <c r="AK222" s="2">
        <v>311.24</v>
      </c>
      <c r="AL222" s="2">
        <v>311.24</v>
      </c>
      <c r="AM222" s="2">
        <v>0</v>
      </c>
      <c r="AN222" s="2">
        <v>0</v>
      </c>
      <c r="AO222" s="2">
        <v>0</v>
      </c>
      <c r="AP222" s="2">
        <v>0</v>
      </c>
      <c r="AQ222" s="2">
        <v>0</v>
      </c>
      <c r="AR222" s="2">
        <v>0</v>
      </c>
      <c r="AS222" s="2">
        <v>0</v>
      </c>
      <c r="AT222" s="2">
        <v>0</v>
      </c>
      <c r="AU222" s="2">
        <v>0</v>
      </c>
      <c r="AV222" s="2">
        <v>1</v>
      </c>
      <c r="AW222" s="2">
        <v>1</v>
      </c>
      <c r="AX222" s="2"/>
      <c r="AY222" s="2"/>
      <c r="AZ222" s="2">
        <v>1</v>
      </c>
      <c r="BA222" s="2">
        <v>1</v>
      </c>
      <c r="BB222" s="2">
        <v>1</v>
      </c>
      <c r="BC222" s="2">
        <v>1</v>
      </c>
      <c r="BD222" s="2" t="s">
        <v>3</v>
      </c>
      <c r="BE222" s="2" t="s">
        <v>3</v>
      </c>
      <c r="BF222" s="2" t="s">
        <v>3</v>
      </c>
      <c r="BG222" s="2" t="s">
        <v>3</v>
      </c>
      <c r="BH222" s="2">
        <v>3</v>
      </c>
      <c r="BI222" s="2">
        <v>3</v>
      </c>
      <c r="BJ222" s="2" t="s">
        <v>303</v>
      </c>
      <c r="BK222" s="2"/>
      <c r="BL222" s="2"/>
      <c r="BM222" s="2">
        <v>746</v>
      </c>
      <c r="BN222" s="2">
        <v>0</v>
      </c>
      <c r="BO222" s="2" t="s">
        <v>3</v>
      </c>
      <c r="BP222" s="2">
        <v>0</v>
      </c>
      <c r="BQ222" s="2">
        <v>130</v>
      </c>
      <c r="BR222" s="2">
        <v>0</v>
      </c>
      <c r="BS222" s="2">
        <v>1</v>
      </c>
      <c r="BT222" s="2">
        <v>1</v>
      </c>
      <c r="BU222" s="2">
        <v>1</v>
      </c>
      <c r="BV222" s="2">
        <v>1</v>
      </c>
      <c r="BW222" s="2">
        <v>1</v>
      </c>
      <c r="BX222" s="2">
        <v>1</v>
      </c>
      <c r="BY222" s="2" t="s">
        <v>3</v>
      </c>
      <c r="BZ222" s="2">
        <v>0</v>
      </c>
      <c r="CA222" s="2">
        <v>0</v>
      </c>
      <c r="CB222" s="2" t="s">
        <v>3</v>
      </c>
      <c r="CC222" s="2"/>
      <c r="CD222" s="2"/>
      <c r="CE222" s="2">
        <v>1566</v>
      </c>
      <c r="CF222" s="2">
        <v>0</v>
      </c>
      <c r="CG222" s="2">
        <v>0</v>
      </c>
      <c r="CH222" s="2"/>
      <c r="CI222" s="2"/>
      <c r="CJ222" s="2"/>
      <c r="CK222" s="2"/>
      <c r="CL222" s="2"/>
      <c r="CM222" s="2">
        <v>0</v>
      </c>
      <c r="CN222" s="2" t="s">
        <v>3</v>
      </c>
      <c r="CO222" s="2">
        <v>0</v>
      </c>
      <c r="CP222" s="2">
        <f t="shared" si="171"/>
        <v>13072.08</v>
      </c>
      <c r="CQ222" s="2">
        <f>ROUND((ROUND((AC222*1),2)*BC222),2)</f>
        <v>311.24</v>
      </c>
      <c r="CR222" s="2">
        <f>(ROUND((ROUND(((ET222)*AV222*1),2)*BB222),2)+ROUND((ROUND(((AE222-(EU222))*AV222*1),2)*BS222),2))</f>
        <v>0</v>
      </c>
      <c r="CS222" s="2">
        <f>(ROUND((ROUND(((EU222)*AV222*1),2)*BS222),2)+ROUND((ROUND(((AE222-(EU222))*AV222*1),2)*BS222),2))</f>
        <v>0</v>
      </c>
      <c r="CT222" s="2">
        <f t="shared" si="173"/>
        <v>0</v>
      </c>
      <c r="CU222" s="2">
        <f t="shared" si="174"/>
        <v>0</v>
      </c>
      <c r="CV222" s="2">
        <f t="shared" si="175"/>
        <v>0</v>
      </c>
      <c r="CW222" s="2">
        <f t="shared" si="176"/>
        <v>0</v>
      </c>
      <c r="CX222" s="2">
        <f t="shared" si="177"/>
        <v>0</v>
      </c>
      <c r="CY222" s="2">
        <f>(ROUND((((S222+ROUND((ROUND(((EU222)*AV222*1),2)*BS222),2))*AT222)/100),2)+ROUND(((ROUND((ROUND(((AE222-(EU222))*AV222*1),2)*BS222),2)*AT222)/100),2))</f>
        <v>0</v>
      </c>
      <c r="CZ222" s="2">
        <f>(ROUND((((S222+ROUND((ROUND(((EU222)*AV222*1),2)*BS222),2))*AU222)/100),2)+ROUND(((ROUND((ROUND(((AE222-(EU222))*AV222*1),2)*BS222),2)*AU222)/100),2))</f>
        <v>0</v>
      </c>
      <c r="DA222" s="2"/>
      <c r="DB222" s="2"/>
      <c r="DC222" s="2" t="s">
        <v>3</v>
      </c>
      <c r="DD222" s="2" t="s">
        <v>3</v>
      </c>
      <c r="DE222" s="2" t="s">
        <v>3</v>
      </c>
      <c r="DF222" s="2" t="s">
        <v>3</v>
      </c>
      <c r="DG222" s="2" t="s">
        <v>3</v>
      </c>
      <c r="DH222" s="2" t="s">
        <v>3</v>
      </c>
      <c r="DI222" s="2" t="s">
        <v>3</v>
      </c>
      <c r="DJ222" s="2" t="s">
        <v>3</v>
      </c>
      <c r="DK222" s="2" t="s">
        <v>3</v>
      </c>
      <c r="DL222" s="2" t="s">
        <v>3</v>
      </c>
      <c r="DM222" s="2" t="s">
        <v>3</v>
      </c>
      <c r="DN222" s="2">
        <v>0</v>
      </c>
      <c r="DO222" s="2">
        <v>0</v>
      </c>
      <c r="DP222" s="2">
        <v>1</v>
      </c>
      <c r="DQ222" s="2">
        <v>1</v>
      </c>
      <c r="DR222" s="2"/>
      <c r="DS222" s="2"/>
      <c r="DT222" s="2"/>
      <c r="DU222" s="2">
        <v>1010</v>
      </c>
      <c r="DV222" s="2" t="s">
        <v>251</v>
      </c>
      <c r="DW222" s="2" t="s">
        <v>251</v>
      </c>
      <c r="DX222" s="2">
        <v>1</v>
      </c>
      <c r="DY222" s="2"/>
      <c r="DZ222" s="2" t="s">
        <v>3</v>
      </c>
      <c r="EA222" s="2" t="s">
        <v>3</v>
      </c>
      <c r="EB222" s="2" t="s">
        <v>3</v>
      </c>
      <c r="EC222" s="2" t="s">
        <v>3</v>
      </c>
      <c r="ED222" s="2"/>
      <c r="EE222" s="2">
        <v>57043064</v>
      </c>
      <c r="EF222" s="2">
        <v>130</v>
      </c>
      <c r="EG222" s="2" t="s">
        <v>297</v>
      </c>
      <c r="EH222" s="2">
        <v>0</v>
      </c>
      <c r="EI222" s="2" t="s">
        <v>3</v>
      </c>
      <c r="EJ222" s="2">
        <v>3</v>
      </c>
      <c r="EK222" s="2">
        <v>746</v>
      </c>
      <c r="EL222" s="2" t="s">
        <v>298</v>
      </c>
      <c r="EM222" s="2" t="s">
        <v>299</v>
      </c>
      <c r="EN222" s="2"/>
      <c r="EO222" s="2" t="s">
        <v>3</v>
      </c>
      <c r="EP222" s="2"/>
      <c r="EQ222" s="2">
        <v>0</v>
      </c>
      <c r="ER222" s="2">
        <v>311.24</v>
      </c>
      <c r="ES222" s="2">
        <v>311.24</v>
      </c>
      <c r="ET222" s="2">
        <v>0</v>
      </c>
      <c r="EU222" s="2">
        <v>0</v>
      </c>
      <c r="EV222" s="2">
        <v>0</v>
      </c>
      <c r="EW222" s="2">
        <v>0</v>
      </c>
      <c r="EX222" s="2">
        <v>0</v>
      </c>
      <c r="EY222" s="2">
        <v>0</v>
      </c>
      <c r="EZ222" s="2"/>
      <c r="FA222" s="2"/>
      <c r="FB222" s="2"/>
      <c r="FC222" s="2"/>
      <c r="FD222" s="2"/>
      <c r="FE222" s="2"/>
      <c r="FF222" s="2"/>
      <c r="FG222" s="2"/>
      <c r="FH222" s="2"/>
      <c r="FI222" s="2"/>
      <c r="FJ222" s="2"/>
      <c r="FK222" s="2"/>
      <c r="FL222" s="2"/>
      <c r="FM222" s="2"/>
      <c r="FN222" s="2"/>
      <c r="FO222" s="2"/>
      <c r="FP222" s="2"/>
      <c r="FQ222" s="2">
        <v>0</v>
      </c>
      <c r="FR222" s="2">
        <f>P222</f>
        <v>13072.08</v>
      </c>
      <c r="FS222" s="2">
        <v>0</v>
      </c>
      <c r="FT222" s="2"/>
      <c r="FU222" s="2"/>
      <c r="FV222" s="2"/>
      <c r="FW222" s="2"/>
      <c r="FX222" s="2">
        <v>0</v>
      </c>
      <c r="FY222" s="2">
        <v>0</v>
      </c>
      <c r="FZ222" s="2"/>
      <c r="GA222" s="2" t="s">
        <v>3</v>
      </c>
      <c r="GB222" s="2"/>
      <c r="GC222" s="2"/>
      <c r="GD222" s="2">
        <v>1</v>
      </c>
      <c r="GE222" s="2"/>
      <c r="GF222" s="2">
        <v>971933846</v>
      </c>
      <c r="GG222" s="2">
        <v>2</v>
      </c>
      <c r="GH222" s="2">
        <v>1</v>
      </c>
      <c r="GI222" s="2">
        <v>-2</v>
      </c>
      <c r="GJ222" s="2">
        <v>0</v>
      </c>
      <c r="GK222" s="2">
        <v>0</v>
      </c>
      <c r="GL222" s="2">
        <f t="shared" si="178"/>
        <v>0</v>
      </c>
      <c r="GM222" s="2">
        <f t="shared" si="179"/>
        <v>13072.08</v>
      </c>
      <c r="GN222" s="2">
        <f t="shared" si="180"/>
        <v>0</v>
      </c>
      <c r="GO222" s="2">
        <f t="shared" si="181"/>
        <v>0</v>
      </c>
      <c r="GP222" s="2">
        <f t="shared" si="182"/>
        <v>0</v>
      </c>
      <c r="GQ222" s="2"/>
      <c r="GR222" s="2">
        <v>0</v>
      </c>
      <c r="GS222" s="2">
        <v>3</v>
      </c>
      <c r="GT222" s="2">
        <v>0</v>
      </c>
      <c r="GU222" s="2" t="s">
        <v>3</v>
      </c>
      <c r="GV222" s="2">
        <f t="shared" si="183"/>
        <v>0</v>
      </c>
      <c r="GW222" s="2">
        <v>1</v>
      </c>
      <c r="GX222" s="2">
        <f t="shared" si="184"/>
        <v>0</v>
      </c>
      <c r="GY222" s="2"/>
      <c r="GZ222" s="2"/>
      <c r="HA222" s="2">
        <v>0</v>
      </c>
      <c r="HB222" s="2">
        <v>0</v>
      </c>
      <c r="HC222" s="2">
        <f t="shared" si="185"/>
        <v>0</v>
      </c>
      <c r="HD222" s="2"/>
      <c r="HE222" s="2" t="s">
        <v>3</v>
      </c>
      <c r="HF222" s="2" t="s">
        <v>3</v>
      </c>
      <c r="HG222" s="2"/>
      <c r="HH222" s="2"/>
      <c r="HI222" s="2"/>
      <c r="HJ222" s="2"/>
      <c r="HK222" s="2"/>
      <c r="HL222" s="2"/>
      <c r="HM222" s="2" t="s">
        <v>3</v>
      </c>
      <c r="HN222" s="2" t="s">
        <v>3</v>
      </c>
      <c r="HO222" s="2" t="s">
        <v>3</v>
      </c>
      <c r="HP222" s="2" t="s">
        <v>3</v>
      </c>
      <c r="HQ222" s="2" t="s">
        <v>3</v>
      </c>
      <c r="HR222" s="2"/>
      <c r="HS222" s="2">
        <v>0</v>
      </c>
      <c r="HT222" s="2"/>
      <c r="HU222" s="2"/>
      <c r="HV222" s="2"/>
      <c r="HW222" s="2"/>
      <c r="HX222" s="2"/>
      <c r="HY222" s="2"/>
      <c r="HZ222" s="2"/>
      <c r="IA222" s="2"/>
      <c r="IB222" s="2"/>
      <c r="IC222" s="2"/>
      <c r="ID222" s="2"/>
      <c r="IE222" s="2"/>
      <c r="IF222" s="2"/>
      <c r="IG222" s="2"/>
      <c r="IH222" s="2"/>
      <c r="II222" s="2"/>
      <c r="IJ222" s="2"/>
      <c r="IK222" s="2">
        <v>0</v>
      </c>
      <c r="IL222" s="2"/>
      <c r="IM222" s="2"/>
      <c r="IN222" s="2"/>
      <c r="IO222" s="2"/>
      <c r="IP222" s="2"/>
      <c r="IQ222" s="2"/>
      <c r="IR222" s="2"/>
      <c r="IS222" s="2"/>
      <c r="IT222" s="2"/>
      <c r="IU222" s="2"/>
    </row>
    <row r="223" spans="1:255" x14ac:dyDescent="0.25">
      <c r="A223" s="3">
        <v>17</v>
      </c>
      <c r="B223" s="3">
        <v>1</v>
      </c>
      <c r="E223" s="3" t="s">
        <v>300</v>
      </c>
      <c r="F223" s="3" t="s">
        <v>301</v>
      </c>
      <c r="G223" s="3" t="s">
        <v>302</v>
      </c>
      <c r="H223" s="3" t="s">
        <v>251</v>
      </c>
      <c r="I223" s="3">
        <v>42</v>
      </c>
      <c r="J223" s="3">
        <v>0</v>
      </c>
      <c r="K223" s="3">
        <v>42</v>
      </c>
      <c r="O223" s="3">
        <f t="shared" si="159"/>
        <v>93073.21</v>
      </c>
      <c r="P223" s="3">
        <f>ROUND((ROUND((AC223*I223),2)*BC223),2)</f>
        <v>93073.21</v>
      </c>
      <c r="Q223" s="3">
        <f>(ROUND((ROUND(((ET223)*AV223*I223),2)*BB223),2)+ROUND((ROUND(((AE223-(EU223))*AV223*I223),2)*BS223),2))</f>
        <v>0</v>
      </c>
      <c r="R223" s="3">
        <f>(ROUND((ROUND(((EU223)*AV223*I223),2)*BS223),2)+ROUND((ROUND(((AE223-(EU223))*AV223*I223),2)*BS223),2))</f>
        <v>0</v>
      </c>
      <c r="S223" s="3">
        <f t="shared" si="161"/>
        <v>0</v>
      </c>
      <c r="T223" s="3">
        <f t="shared" si="162"/>
        <v>0</v>
      </c>
      <c r="U223" s="3">
        <f t="shared" si="163"/>
        <v>0</v>
      </c>
      <c r="V223" s="3">
        <f t="shared" si="164"/>
        <v>0</v>
      </c>
      <c r="W223" s="3">
        <f t="shared" si="165"/>
        <v>0</v>
      </c>
      <c r="X223" s="3">
        <f>(ROUND((((S223+ROUND((ROUND(((EU223)*AV223*I223),2)*BS223),2))*AT223)/100),2)+ROUND(((ROUND((ROUND(((AE223-(EU223))*AV223*I223),2)*BS223),2)*AT223)/100),2))</f>
        <v>0</v>
      </c>
      <c r="Y223" s="3">
        <f>(ROUND((((S223+ROUND((ROUND(((EU223)*AV223*I223),2)*BS223),2))*AU223)/100),2)+ROUND(((ROUND((ROUND(((AE223-(EU223))*AV223*I223),2)*BS223),2)*AU223)/100),2))</f>
        <v>0</v>
      </c>
      <c r="AA223" s="3">
        <v>57014140</v>
      </c>
      <c r="AB223" s="3">
        <f t="shared" si="166"/>
        <v>311.24</v>
      </c>
      <c r="AC223" s="3">
        <f>ROUND((ES223),6)</f>
        <v>311.24</v>
      </c>
      <c r="AD223" s="3">
        <f>ROUND((((ET223)-(EU223))+AE223),6)</f>
        <v>0</v>
      </c>
      <c r="AE223" s="3">
        <f t="shared" si="200"/>
        <v>0</v>
      </c>
      <c r="AF223" s="3">
        <f t="shared" si="200"/>
        <v>0</v>
      </c>
      <c r="AG223" s="3">
        <f t="shared" si="168"/>
        <v>0</v>
      </c>
      <c r="AH223" s="3">
        <f t="shared" si="201"/>
        <v>0</v>
      </c>
      <c r="AI223" s="3">
        <f t="shared" si="201"/>
        <v>0</v>
      </c>
      <c r="AJ223" s="3">
        <f t="shared" si="170"/>
        <v>0</v>
      </c>
      <c r="AK223" s="3">
        <v>311.24</v>
      </c>
      <c r="AL223" s="3">
        <v>311.24</v>
      </c>
      <c r="AM223" s="3">
        <v>0</v>
      </c>
      <c r="AN223" s="3">
        <v>0</v>
      </c>
      <c r="AO223" s="3">
        <v>0</v>
      </c>
      <c r="AP223" s="3">
        <v>0</v>
      </c>
      <c r="AQ223" s="3">
        <v>0</v>
      </c>
      <c r="AR223" s="3">
        <v>0</v>
      </c>
      <c r="AS223" s="3">
        <v>0</v>
      </c>
      <c r="AT223" s="3">
        <v>0</v>
      </c>
      <c r="AU223" s="3">
        <v>0</v>
      </c>
      <c r="AV223" s="3">
        <v>1</v>
      </c>
      <c r="AW223" s="3">
        <v>1</v>
      </c>
      <c r="AZ223" s="3">
        <v>1</v>
      </c>
      <c r="BA223" s="3">
        <v>1</v>
      </c>
      <c r="BB223" s="3">
        <v>1</v>
      </c>
      <c r="BC223" s="3">
        <v>7.12</v>
      </c>
      <c r="BD223" s="3" t="s">
        <v>3</v>
      </c>
      <c r="BE223" s="3" t="s">
        <v>3</v>
      </c>
      <c r="BF223" s="3" t="s">
        <v>3</v>
      </c>
      <c r="BG223" s="3" t="s">
        <v>3</v>
      </c>
      <c r="BH223" s="3">
        <v>3</v>
      </c>
      <c r="BI223" s="3">
        <v>3</v>
      </c>
      <c r="BJ223" s="3" t="s">
        <v>303</v>
      </c>
      <c r="BM223" s="3">
        <v>746</v>
      </c>
      <c r="BN223" s="3">
        <v>0</v>
      </c>
      <c r="BO223" s="3" t="s">
        <v>3</v>
      </c>
      <c r="BP223" s="3">
        <v>0</v>
      </c>
      <c r="BQ223" s="3">
        <v>130</v>
      </c>
      <c r="BR223" s="3">
        <v>0</v>
      </c>
      <c r="BS223" s="3">
        <v>1</v>
      </c>
      <c r="BT223" s="3">
        <v>1</v>
      </c>
      <c r="BU223" s="3">
        <v>1</v>
      </c>
      <c r="BV223" s="3">
        <v>1</v>
      </c>
      <c r="BW223" s="3">
        <v>1</v>
      </c>
      <c r="BX223" s="3">
        <v>1</v>
      </c>
      <c r="BY223" s="3" t="s">
        <v>3</v>
      </c>
      <c r="BZ223" s="3">
        <v>0</v>
      </c>
      <c r="CA223" s="3">
        <v>0</v>
      </c>
      <c r="CB223" s="3" t="s">
        <v>3</v>
      </c>
      <c r="CE223" s="3">
        <v>1566</v>
      </c>
      <c r="CF223" s="3">
        <v>0</v>
      </c>
      <c r="CG223" s="3">
        <v>0</v>
      </c>
      <c r="CM223" s="3">
        <v>0</v>
      </c>
      <c r="CN223" s="3" t="s">
        <v>3</v>
      </c>
      <c r="CO223" s="3">
        <v>0</v>
      </c>
      <c r="CP223" s="3">
        <f t="shared" si="171"/>
        <v>93073.21</v>
      </c>
      <c r="CQ223" s="3">
        <f>ROUND((ROUND((AC223*1),2)*BC223),2)</f>
        <v>2216.0300000000002</v>
      </c>
      <c r="CR223" s="3">
        <f>(ROUND((ROUND(((ET223)*AV223*1),2)*BB223),2)+ROUND((ROUND(((AE223-(EU223))*AV223*1),2)*BS223),2))</f>
        <v>0</v>
      </c>
      <c r="CS223" s="3">
        <f>(ROUND((ROUND(((EU223)*AV223*1),2)*BS223),2)+ROUND((ROUND(((AE223-(EU223))*AV223*1),2)*BS223),2))</f>
        <v>0</v>
      </c>
      <c r="CT223" s="3">
        <f t="shared" si="173"/>
        <v>0</v>
      </c>
      <c r="CU223" s="3">
        <f t="shared" si="174"/>
        <v>0</v>
      </c>
      <c r="CV223" s="3">
        <f t="shared" si="175"/>
        <v>0</v>
      </c>
      <c r="CW223" s="3">
        <f t="shared" si="176"/>
        <v>0</v>
      </c>
      <c r="CX223" s="3">
        <f t="shared" si="177"/>
        <v>0</v>
      </c>
      <c r="CY223" s="3">
        <f>(ROUND((((S223+ROUND((ROUND(((EU223)*AV223*1),2)*BS223),2))*AT223)/100),2)+ROUND(((ROUND((ROUND(((AE223-(EU223))*AV223*1),2)*BS223),2)*AT223)/100),2))</f>
        <v>0</v>
      </c>
      <c r="CZ223" s="3">
        <f>(ROUND((((S223+ROUND((ROUND(((EU223)*AV223*1),2)*BS223),2))*AU223)/100),2)+ROUND(((ROUND((ROUND(((AE223-(EU223))*AV223*1),2)*BS223),2)*AU223)/100),2))</f>
        <v>0</v>
      </c>
      <c r="DC223" s="3" t="s">
        <v>3</v>
      </c>
      <c r="DD223" s="3" t="s">
        <v>3</v>
      </c>
      <c r="DE223" s="3" t="s">
        <v>3</v>
      </c>
      <c r="DF223" s="3" t="s">
        <v>3</v>
      </c>
      <c r="DG223" s="3" t="s">
        <v>3</v>
      </c>
      <c r="DH223" s="3" t="s">
        <v>3</v>
      </c>
      <c r="DI223" s="3" t="s">
        <v>3</v>
      </c>
      <c r="DJ223" s="3" t="s">
        <v>3</v>
      </c>
      <c r="DK223" s="3" t="s">
        <v>3</v>
      </c>
      <c r="DL223" s="3" t="s">
        <v>3</v>
      </c>
      <c r="DM223" s="3" t="s">
        <v>3</v>
      </c>
      <c r="DN223" s="3">
        <v>0</v>
      </c>
      <c r="DO223" s="3">
        <v>0</v>
      </c>
      <c r="DP223" s="3">
        <v>1</v>
      </c>
      <c r="DQ223" s="3">
        <v>1</v>
      </c>
      <c r="DU223" s="3">
        <v>1010</v>
      </c>
      <c r="DV223" s="3" t="s">
        <v>251</v>
      </c>
      <c r="DW223" s="3" t="s">
        <v>251</v>
      </c>
      <c r="DX223" s="3">
        <v>1</v>
      </c>
      <c r="DZ223" s="3" t="s">
        <v>3</v>
      </c>
      <c r="EA223" s="3" t="s">
        <v>3</v>
      </c>
      <c r="EB223" s="3" t="s">
        <v>3</v>
      </c>
      <c r="EC223" s="3" t="s">
        <v>3</v>
      </c>
      <c r="EE223" s="3">
        <v>57043064</v>
      </c>
      <c r="EF223" s="3">
        <v>130</v>
      </c>
      <c r="EG223" s="3" t="s">
        <v>297</v>
      </c>
      <c r="EH223" s="3">
        <v>0</v>
      </c>
      <c r="EI223" s="3" t="s">
        <v>3</v>
      </c>
      <c r="EJ223" s="3">
        <v>3</v>
      </c>
      <c r="EK223" s="3">
        <v>746</v>
      </c>
      <c r="EL223" s="3" t="s">
        <v>298</v>
      </c>
      <c r="EM223" s="3" t="s">
        <v>299</v>
      </c>
      <c r="EO223" s="3" t="s">
        <v>3</v>
      </c>
      <c r="EQ223" s="3">
        <v>0</v>
      </c>
      <c r="ER223" s="3">
        <v>311.24</v>
      </c>
      <c r="ES223" s="3">
        <v>311.24</v>
      </c>
      <c r="ET223" s="3">
        <v>0</v>
      </c>
      <c r="EU223" s="3">
        <v>0</v>
      </c>
      <c r="EV223" s="3">
        <v>0</v>
      </c>
      <c r="EW223" s="3">
        <v>0</v>
      </c>
      <c r="EX223" s="3">
        <v>0</v>
      </c>
      <c r="EY223" s="3">
        <v>0</v>
      </c>
      <c r="FQ223" s="3">
        <v>0</v>
      </c>
      <c r="FR223" s="3">
        <f>P223</f>
        <v>93073.21</v>
      </c>
      <c r="FS223" s="3">
        <v>0</v>
      </c>
      <c r="FX223" s="3">
        <v>0</v>
      </c>
      <c r="FY223" s="3">
        <v>0</v>
      </c>
      <c r="GA223" s="3" t="s">
        <v>3</v>
      </c>
      <c r="GD223" s="3">
        <v>1</v>
      </c>
      <c r="GF223" s="3">
        <v>971933846</v>
      </c>
      <c r="GG223" s="3">
        <v>2</v>
      </c>
      <c r="GH223" s="3">
        <v>1</v>
      </c>
      <c r="GI223" s="3">
        <v>2</v>
      </c>
      <c r="GJ223" s="3">
        <v>0</v>
      </c>
      <c r="GK223" s="3">
        <v>0</v>
      </c>
      <c r="GL223" s="3">
        <f t="shared" si="178"/>
        <v>0</v>
      </c>
      <c r="GM223" s="3">
        <f t="shared" si="179"/>
        <v>93073.21</v>
      </c>
      <c r="GN223" s="3">
        <f t="shared" si="180"/>
        <v>0</v>
      </c>
      <c r="GO223" s="3">
        <f t="shared" si="181"/>
        <v>0</v>
      </c>
      <c r="GP223" s="3">
        <f t="shared" si="182"/>
        <v>0</v>
      </c>
      <c r="GR223" s="3">
        <v>0</v>
      </c>
      <c r="GS223" s="3">
        <v>3</v>
      </c>
      <c r="GT223" s="3">
        <v>0</v>
      </c>
      <c r="GU223" s="3" t="s">
        <v>3</v>
      </c>
      <c r="GV223" s="3">
        <f t="shared" si="183"/>
        <v>0</v>
      </c>
      <c r="GW223" s="3">
        <v>1</v>
      </c>
      <c r="GX223" s="3">
        <f t="shared" si="184"/>
        <v>0</v>
      </c>
      <c r="HA223" s="3">
        <v>0</v>
      </c>
      <c r="HB223" s="3">
        <v>0</v>
      </c>
      <c r="HC223" s="3">
        <f t="shared" si="185"/>
        <v>0</v>
      </c>
      <c r="HE223" s="3" t="s">
        <v>3</v>
      </c>
      <c r="HF223" s="3" t="s">
        <v>3</v>
      </c>
      <c r="HM223" s="3" t="s">
        <v>3</v>
      </c>
      <c r="HN223" s="3" t="s">
        <v>3</v>
      </c>
      <c r="HO223" s="3" t="s">
        <v>3</v>
      </c>
      <c r="HP223" s="3" t="s">
        <v>3</v>
      </c>
      <c r="HQ223" s="3" t="s">
        <v>3</v>
      </c>
      <c r="HS223" s="3">
        <v>0</v>
      </c>
      <c r="IK223" s="3">
        <v>0</v>
      </c>
    </row>
    <row r="224" spans="1:255" x14ac:dyDescent="0.25">
      <c r="A224" s="2">
        <v>17</v>
      </c>
      <c r="B224" s="2">
        <v>1</v>
      </c>
      <c r="C224" s="2">
        <f>ROW(SmtRes!A217)</f>
        <v>217</v>
      </c>
      <c r="D224" s="2">
        <f>ROW(EtalonRes!A277)</f>
        <v>277</v>
      </c>
      <c r="E224" s="2" t="s">
        <v>304</v>
      </c>
      <c r="F224" s="2" t="s">
        <v>52</v>
      </c>
      <c r="G224" s="2" t="s">
        <v>247</v>
      </c>
      <c r="H224" s="2" t="s">
        <v>27</v>
      </c>
      <c r="I224" s="2">
        <v>1</v>
      </c>
      <c r="J224" s="2">
        <v>0</v>
      </c>
      <c r="K224" s="2">
        <v>1</v>
      </c>
      <c r="L224" s="2"/>
      <c r="M224" s="2"/>
      <c r="N224" s="2"/>
      <c r="O224" s="2">
        <f t="shared" si="159"/>
        <v>27.98</v>
      </c>
      <c r="P224" s="2">
        <f>ROUND((ROUND((AC224*AW224*I224),2)*BC224),2)</f>
        <v>1.26</v>
      </c>
      <c r="Q224" s="2">
        <f>(ROUND((ROUND((((ET224*1.2))*AV224*I224),2)*BB224),2)+ROUND((ROUND(((AE224-((EU224*1.2)))*AV224*I224),2)*BS224),2))</f>
        <v>0.08</v>
      </c>
      <c r="R224" s="2">
        <f>(ROUND((ROUND((((EU224*1.2))*AV224*I224),2)*BS224),2)+ROUND((ROUND(((AE224-((EU224*1.2)))*AV224*I224),2)*BS224),2))</f>
        <v>0.01</v>
      </c>
      <c r="S224" s="2">
        <f t="shared" si="161"/>
        <v>26.64</v>
      </c>
      <c r="T224" s="2">
        <f t="shared" si="162"/>
        <v>0</v>
      </c>
      <c r="U224" s="2">
        <f t="shared" si="163"/>
        <v>2.1107519999999997</v>
      </c>
      <c r="V224" s="2">
        <f t="shared" si="164"/>
        <v>0</v>
      </c>
      <c r="W224" s="2">
        <f t="shared" si="165"/>
        <v>0</v>
      </c>
      <c r="X224" s="2">
        <f>(ROUND((((S224+ROUND((ROUND((((EU224*1.2))*AV224*I224),2)*BS224),2))*AT224)/100),2)+ROUND(((ROUND((ROUND(((AE224-((EU224*1.2)))*AV224*I224),2)*BS224),2)*AT224)/100),2))</f>
        <v>23.99</v>
      </c>
      <c r="Y224" s="2">
        <f>(ROUND((((S224+ROUND((ROUND((((EU224*1.2))*AV224*I224),2)*BS224),2))*AU224)/100),2)+ROUND(((ROUND((ROUND(((AE224-((EU224*1.2)))*AV224*I224),2)*BS224),2)*AU224)/100),2))</f>
        <v>12.26</v>
      </c>
      <c r="Z224" s="2"/>
      <c r="AA224" s="2">
        <v>57014138</v>
      </c>
      <c r="AB224" s="2">
        <f t="shared" si="166"/>
        <v>26.771999999999998</v>
      </c>
      <c r="AC224" s="2">
        <f>ROUND(((ES224*1)),6)</f>
        <v>1.26</v>
      </c>
      <c r="AD224" s="2">
        <f>ROUND(((((ET224*1.2))-((EU224*1.2)))+AE224),6)</f>
        <v>7.1999999999999995E-2</v>
      </c>
      <c r="AE224" s="2">
        <f>ROUND(((EU224*1.2)),6)</f>
        <v>1.2E-2</v>
      </c>
      <c r="AF224" s="2">
        <f>ROUND(((EV224*1.2)),6)</f>
        <v>25.44</v>
      </c>
      <c r="AG224" s="2">
        <f t="shared" si="168"/>
        <v>0</v>
      </c>
      <c r="AH224" s="2">
        <f>((EW224*1.2))</f>
        <v>2.016</v>
      </c>
      <c r="AI224" s="2">
        <f>((EX224*1.2))</f>
        <v>0</v>
      </c>
      <c r="AJ224" s="2">
        <f t="shared" si="170"/>
        <v>0</v>
      </c>
      <c r="AK224" s="2">
        <v>22.52</v>
      </c>
      <c r="AL224" s="2">
        <v>1.26</v>
      </c>
      <c r="AM224" s="2">
        <v>0.06</v>
      </c>
      <c r="AN224" s="2">
        <v>0.01</v>
      </c>
      <c r="AO224" s="2">
        <v>21.2</v>
      </c>
      <c r="AP224" s="2">
        <v>0</v>
      </c>
      <c r="AQ224" s="2">
        <v>1.68</v>
      </c>
      <c r="AR224" s="2">
        <v>0</v>
      </c>
      <c r="AS224" s="2">
        <v>0</v>
      </c>
      <c r="AT224" s="2">
        <v>90</v>
      </c>
      <c r="AU224" s="2">
        <v>46</v>
      </c>
      <c r="AV224" s="2">
        <v>1.0469999999999999</v>
      </c>
      <c r="AW224" s="2">
        <v>1</v>
      </c>
      <c r="AX224" s="2"/>
      <c r="AY224" s="2"/>
      <c r="AZ224" s="2">
        <v>1</v>
      </c>
      <c r="BA224" s="2">
        <v>1</v>
      </c>
      <c r="BB224" s="2">
        <v>1</v>
      </c>
      <c r="BC224" s="2">
        <v>1</v>
      </c>
      <c r="BD224" s="2" t="s">
        <v>3</v>
      </c>
      <c r="BE224" s="2" t="s">
        <v>3</v>
      </c>
      <c r="BF224" s="2" t="s">
        <v>3</v>
      </c>
      <c r="BG224" s="2" t="s">
        <v>3</v>
      </c>
      <c r="BH224" s="2">
        <v>0</v>
      </c>
      <c r="BI224" s="2">
        <v>2</v>
      </c>
      <c r="BJ224" s="2" t="s">
        <v>54</v>
      </c>
      <c r="BK224" s="2"/>
      <c r="BL224" s="2"/>
      <c r="BM224" s="2">
        <v>68</v>
      </c>
      <c r="BN224" s="2">
        <v>0</v>
      </c>
      <c r="BO224" s="2" t="s">
        <v>52</v>
      </c>
      <c r="BP224" s="2">
        <v>1</v>
      </c>
      <c r="BQ224" s="2">
        <v>40</v>
      </c>
      <c r="BR224" s="2">
        <v>0</v>
      </c>
      <c r="BS224" s="2">
        <v>1</v>
      </c>
      <c r="BT224" s="2">
        <v>1</v>
      </c>
      <c r="BU224" s="2">
        <v>1</v>
      </c>
      <c r="BV224" s="2">
        <v>1</v>
      </c>
      <c r="BW224" s="2">
        <v>1</v>
      </c>
      <c r="BX224" s="2">
        <v>1</v>
      </c>
      <c r="BY224" s="2" t="s">
        <v>3</v>
      </c>
      <c r="BZ224" s="2">
        <v>90</v>
      </c>
      <c r="CA224" s="2">
        <v>46</v>
      </c>
      <c r="CB224" s="2" t="s">
        <v>3</v>
      </c>
      <c r="CC224" s="2"/>
      <c r="CD224" s="2"/>
      <c r="CE224" s="2">
        <v>1566</v>
      </c>
      <c r="CF224" s="2">
        <v>0</v>
      </c>
      <c r="CG224" s="2">
        <v>0</v>
      </c>
      <c r="CH224" s="2"/>
      <c r="CI224" s="2"/>
      <c r="CJ224" s="2"/>
      <c r="CK224" s="2"/>
      <c r="CL224" s="2"/>
      <c r="CM224" s="2">
        <v>0</v>
      </c>
      <c r="CN224" s="2" t="s">
        <v>624</v>
      </c>
      <c r="CO224" s="2">
        <v>0</v>
      </c>
      <c r="CP224" s="2">
        <f t="shared" si="171"/>
        <v>27.98</v>
      </c>
      <c r="CQ224" s="2">
        <f>ROUND((ROUND((AC224*AW224*1),2)*BC224),2)</f>
        <v>1.26</v>
      </c>
      <c r="CR224" s="2">
        <f>(ROUND((ROUND((((ET224*1.2))*AV224*1),2)*BB224),2)+ROUND((ROUND(((AE224-((EU224*1.2)))*AV224*1),2)*BS224),2))</f>
        <v>0.08</v>
      </c>
      <c r="CS224" s="2">
        <f>(ROUND((ROUND((((EU224*1.2))*AV224*1),2)*BS224),2)+ROUND((ROUND(((AE224-((EU224*1.2)))*AV224*1),2)*BS224),2))</f>
        <v>0.01</v>
      </c>
      <c r="CT224" s="2">
        <f t="shared" si="173"/>
        <v>26.64</v>
      </c>
      <c r="CU224" s="2">
        <f t="shared" si="174"/>
        <v>0</v>
      </c>
      <c r="CV224" s="2">
        <f t="shared" si="175"/>
        <v>2.1107519999999997</v>
      </c>
      <c r="CW224" s="2">
        <f t="shared" si="176"/>
        <v>0</v>
      </c>
      <c r="CX224" s="2">
        <f t="shared" si="177"/>
        <v>0</v>
      </c>
      <c r="CY224" s="2">
        <f>(ROUND((((S224+ROUND((ROUND((((EU224*1.2))*AV224*1),2)*BS224),2))*AT224)/100),2)+ROUND(((ROUND((ROUND(((AE224-((EU224*1.2)))*AV224*1),2)*BS224),2)*AT224)/100),2))</f>
        <v>23.99</v>
      </c>
      <c r="CZ224" s="2">
        <f>(ROUND((((S224+ROUND((ROUND((((EU224*1.2))*AV224*1),2)*BS224),2))*AU224)/100),2)+ROUND(((ROUND((ROUND(((AE224-((EU224*1.2)))*AV224*1),2)*BS224),2)*AU224)/100),2))</f>
        <v>12.26</v>
      </c>
      <c r="DA224" s="2"/>
      <c r="DB224" s="2">
        <v>89</v>
      </c>
      <c r="DC224" s="2" t="s">
        <v>3</v>
      </c>
      <c r="DD224" s="2" t="s">
        <v>70</v>
      </c>
      <c r="DE224" s="2" t="s">
        <v>71</v>
      </c>
      <c r="DF224" s="2" t="s">
        <v>71</v>
      </c>
      <c r="DG224" s="2" t="s">
        <v>71</v>
      </c>
      <c r="DH224" s="2" t="s">
        <v>3</v>
      </c>
      <c r="DI224" s="2" t="s">
        <v>71</v>
      </c>
      <c r="DJ224" s="2" t="s">
        <v>71</v>
      </c>
      <c r="DK224" s="2" t="s">
        <v>3</v>
      </c>
      <c r="DL224" s="2" t="s">
        <v>3</v>
      </c>
      <c r="DM224" s="2" t="s">
        <v>3</v>
      </c>
      <c r="DN224" s="2">
        <v>0</v>
      </c>
      <c r="DO224" s="2">
        <v>0</v>
      </c>
      <c r="DP224" s="2">
        <v>1</v>
      </c>
      <c r="DQ224" s="2">
        <v>1</v>
      </c>
      <c r="DR224" s="2"/>
      <c r="DS224" s="2"/>
      <c r="DT224" s="2"/>
      <c r="DU224" s="2">
        <v>1013</v>
      </c>
      <c r="DV224" s="2" t="s">
        <v>27</v>
      </c>
      <c r="DW224" s="2" t="s">
        <v>27</v>
      </c>
      <c r="DX224" s="2">
        <v>1</v>
      </c>
      <c r="DY224" s="2"/>
      <c r="DZ224" s="2" t="s">
        <v>3</v>
      </c>
      <c r="EA224" s="2" t="s">
        <v>3</v>
      </c>
      <c r="EB224" s="2" t="s">
        <v>3</v>
      </c>
      <c r="EC224" s="2" t="s">
        <v>3</v>
      </c>
      <c r="ED224" s="2"/>
      <c r="EE224" s="2">
        <v>57042958</v>
      </c>
      <c r="EF224" s="2">
        <v>40</v>
      </c>
      <c r="EG224" s="2" t="s">
        <v>31</v>
      </c>
      <c r="EH224" s="2">
        <v>0</v>
      </c>
      <c r="EI224" s="2" t="s">
        <v>3</v>
      </c>
      <c r="EJ224" s="2">
        <v>2</v>
      </c>
      <c r="EK224" s="2">
        <v>68</v>
      </c>
      <c r="EL224" s="2" t="s">
        <v>32</v>
      </c>
      <c r="EM224" s="2" t="s">
        <v>33</v>
      </c>
      <c r="EN224" s="2"/>
      <c r="EO224" s="2" t="s">
        <v>75</v>
      </c>
      <c r="EP224" s="2"/>
      <c r="EQ224" s="2">
        <v>0</v>
      </c>
      <c r="ER224" s="2">
        <v>22.52</v>
      </c>
      <c r="ES224" s="2">
        <v>1.26</v>
      </c>
      <c r="ET224" s="2">
        <v>0.06</v>
      </c>
      <c r="EU224" s="2">
        <v>0.01</v>
      </c>
      <c r="EV224" s="2">
        <v>21.2</v>
      </c>
      <c r="EW224" s="2">
        <v>1.68</v>
      </c>
      <c r="EX224" s="2">
        <v>0</v>
      </c>
      <c r="EY224" s="2">
        <v>0</v>
      </c>
      <c r="EZ224" s="2"/>
      <c r="FA224" s="2"/>
      <c r="FB224" s="2"/>
      <c r="FC224" s="2"/>
      <c r="FD224" s="2"/>
      <c r="FE224" s="2"/>
      <c r="FF224" s="2"/>
      <c r="FG224" s="2"/>
      <c r="FH224" s="2"/>
      <c r="FI224" s="2"/>
      <c r="FJ224" s="2"/>
      <c r="FK224" s="2"/>
      <c r="FL224" s="2"/>
      <c r="FM224" s="2"/>
      <c r="FN224" s="2"/>
      <c r="FO224" s="2"/>
      <c r="FP224" s="2"/>
      <c r="FQ224" s="2">
        <v>0</v>
      </c>
      <c r="FR224" s="2">
        <v>0</v>
      </c>
      <c r="FS224" s="2">
        <v>0</v>
      </c>
      <c r="FT224" s="2"/>
      <c r="FU224" s="2"/>
      <c r="FV224" s="2"/>
      <c r="FW224" s="2"/>
      <c r="FX224" s="2">
        <v>90</v>
      </c>
      <c r="FY224" s="2">
        <v>46</v>
      </c>
      <c r="FZ224" s="2"/>
      <c r="GA224" s="2" t="s">
        <v>3</v>
      </c>
      <c r="GB224" s="2"/>
      <c r="GC224" s="2"/>
      <c r="GD224" s="2">
        <v>1</v>
      </c>
      <c r="GE224" s="2"/>
      <c r="GF224" s="2">
        <v>-2112753472</v>
      </c>
      <c r="GG224" s="2">
        <v>2</v>
      </c>
      <c r="GH224" s="2">
        <v>1</v>
      </c>
      <c r="GI224" s="2">
        <v>2</v>
      </c>
      <c r="GJ224" s="2">
        <v>0</v>
      </c>
      <c r="GK224" s="2">
        <v>0</v>
      </c>
      <c r="GL224" s="2">
        <f t="shared" si="178"/>
        <v>0</v>
      </c>
      <c r="GM224" s="2">
        <f t="shared" si="179"/>
        <v>64.23</v>
      </c>
      <c r="GN224" s="2">
        <f t="shared" si="180"/>
        <v>0</v>
      </c>
      <c r="GO224" s="2">
        <f t="shared" si="181"/>
        <v>64.23</v>
      </c>
      <c r="GP224" s="2">
        <f t="shared" si="182"/>
        <v>0</v>
      </c>
      <c r="GQ224" s="2"/>
      <c r="GR224" s="2">
        <v>0</v>
      </c>
      <c r="GS224" s="2">
        <v>3</v>
      </c>
      <c r="GT224" s="2">
        <v>0</v>
      </c>
      <c r="GU224" s="2" t="s">
        <v>3</v>
      </c>
      <c r="GV224" s="2">
        <f t="shared" si="183"/>
        <v>0</v>
      </c>
      <c r="GW224" s="2">
        <v>1</v>
      </c>
      <c r="GX224" s="2">
        <f t="shared" si="184"/>
        <v>0</v>
      </c>
      <c r="GY224" s="2"/>
      <c r="GZ224" s="2"/>
      <c r="HA224" s="2">
        <v>0</v>
      </c>
      <c r="HB224" s="2">
        <v>0</v>
      </c>
      <c r="HC224" s="2">
        <f t="shared" si="185"/>
        <v>0</v>
      </c>
      <c r="HD224" s="2"/>
      <c r="HE224" s="2" t="s">
        <v>3</v>
      </c>
      <c r="HF224" s="2" t="s">
        <v>3</v>
      </c>
      <c r="HG224" s="2"/>
      <c r="HH224" s="2"/>
      <c r="HI224" s="2"/>
      <c r="HJ224" s="2"/>
      <c r="HK224" s="2"/>
      <c r="HL224" s="2"/>
      <c r="HM224" s="2" t="s">
        <v>3</v>
      </c>
      <c r="HN224" s="2" t="s">
        <v>3</v>
      </c>
      <c r="HO224" s="2" t="s">
        <v>3</v>
      </c>
      <c r="HP224" s="2" t="s">
        <v>3</v>
      </c>
      <c r="HQ224" s="2" t="s">
        <v>3</v>
      </c>
      <c r="HR224" s="2"/>
      <c r="HS224" s="2">
        <v>0</v>
      </c>
      <c r="HT224" s="2"/>
      <c r="HU224" s="2"/>
      <c r="HV224" s="2"/>
      <c r="HW224" s="2"/>
      <c r="HX224" s="2"/>
      <c r="HY224" s="2"/>
      <c r="HZ224" s="2"/>
      <c r="IA224" s="2"/>
      <c r="IB224" s="2"/>
      <c r="IC224" s="2"/>
      <c r="ID224" s="2"/>
      <c r="IE224" s="2"/>
      <c r="IF224" s="2"/>
      <c r="IG224" s="2"/>
      <c r="IH224" s="2"/>
      <c r="II224" s="2"/>
      <c r="IJ224" s="2"/>
      <c r="IK224" s="2">
        <v>0</v>
      </c>
      <c r="IL224" s="2"/>
      <c r="IM224" s="2"/>
      <c r="IN224" s="2"/>
      <c r="IO224" s="2"/>
      <c r="IP224" s="2"/>
      <c r="IQ224" s="2"/>
      <c r="IR224" s="2"/>
      <c r="IS224" s="2"/>
      <c r="IT224" s="2"/>
      <c r="IU224" s="2"/>
    </row>
    <row r="225" spans="1:255" x14ac:dyDescent="0.25">
      <c r="A225" s="3">
        <v>17</v>
      </c>
      <c r="B225" s="3">
        <v>1</v>
      </c>
      <c r="C225" s="3">
        <f>ROW(SmtRes!A218)</f>
        <v>218</v>
      </c>
      <c r="D225" s="3">
        <f>ROW(EtalonRes!A278)</f>
        <v>278</v>
      </c>
      <c r="E225" s="3" t="s">
        <v>304</v>
      </c>
      <c r="F225" s="3" t="s">
        <v>52</v>
      </c>
      <c r="G225" s="3" t="s">
        <v>247</v>
      </c>
      <c r="H225" s="3" t="s">
        <v>27</v>
      </c>
      <c r="I225" s="3">
        <v>1</v>
      </c>
      <c r="J225" s="3">
        <v>0</v>
      </c>
      <c r="K225" s="3">
        <v>1</v>
      </c>
      <c r="O225" s="3">
        <f t="shared" si="159"/>
        <v>1515.04</v>
      </c>
      <c r="P225" s="3">
        <f>ROUND((ROUND((AC225*AW225*I225),2)*BC225),2)</f>
        <v>12.4</v>
      </c>
      <c r="Q225" s="3">
        <f>(ROUND((ROUND((((ET225*1.2))*AV225*I225),2)*BB225),2)+ROUND((ROUND(((AE225-((EU225*1.2)))*AV225*I225),2)*BS225),2))</f>
        <v>1.48</v>
      </c>
      <c r="R225" s="3">
        <f>(ROUND((ROUND((((EU225*1.2))*AV225*I225),2)*BS225),2)+ROUND((ROUND(((AE225-((EU225*1.2)))*AV225*I225),2)*BS225),2))</f>
        <v>0.56000000000000005</v>
      </c>
      <c r="S225" s="3">
        <f t="shared" si="161"/>
        <v>1501.16</v>
      </c>
      <c r="T225" s="3">
        <f t="shared" si="162"/>
        <v>0</v>
      </c>
      <c r="U225" s="3">
        <f t="shared" si="163"/>
        <v>2.1107519999999997</v>
      </c>
      <c r="V225" s="3">
        <f t="shared" si="164"/>
        <v>0</v>
      </c>
      <c r="W225" s="3">
        <f t="shared" si="165"/>
        <v>0</v>
      </c>
      <c r="X225" s="3">
        <f>(ROUND((((S225+ROUND((ROUND((((EU225*1.2))*AV225*I225),2)*BS225),2))*AT225)/100),2)+ROUND(((ROUND((ROUND(((AE225-((EU225*1.2)))*AV225*I225),2)*BS225),2)*AT225)/100),2))</f>
        <v>1351.55</v>
      </c>
      <c r="Y225" s="3">
        <f>(ROUND((((S225+ROUND((ROUND((((EU225*1.2))*AV225*I225),2)*BS225),2))*AU225)/100),2)+ROUND(((ROUND((ROUND(((AE225-((EU225*1.2)))*AV225*I225),2)*BS225),2)*AU225)/100),2))</f>
        <v>690.79</v>
      </c>
      <c r="AA225" s="3">
        <v>57014140</v>
      </c>
      <c r="AB225" s="3">
        <f t="shared" si="166"/>
        <v>26.771999999999998</v>
      </c>
      <c r="AC225" s="3">
        <f>ROUND(((ES225*1)),6)</f>
        <v>1.26</v>
      </c>
      <c r="AD225" s="3">
        <f>ROUND(((((ET225*1.2))-((EU225*1.2)))+AE225),6)</f>
        <v>7.1999999999999995E-2</v>
      </c>
      <c r="AE225" s="3">
        <f>ROUND(((EU225*1.2)),6)</f>
        <v>1.2E-2</v>
      </c>
      <c r="AF225" s="3">
        <f>ROUND(((EV225*1.2)),6)</f>
        <v>25.44</v>
      </c>
      <c r="AG225" s="3">
        <f t="shared" si="168"/>
        <v>0</v>
      </c>
      <c r="AH225" s="3">
        <f>((EW225*1.2))</f>
        <v>2.016</v>
      </c>
      <c r="AI225" s="3">
        <f>((EX225*1.2))</f>
        <v>0</v>
      </c>
      <c r="AJ225" s="3">
        <f t="shared" si="170"/>
        <v>0</v>
      </c>
      <c r="AK225" s="3">
        <v>22.52</v>
      </c>
      <c r="AL225" s="3">
        <v>1.26</v>
      </c>
      <c r="AM225" s="3">
        <v>0.06</v>
      </c>
      <c r="AN225" s="3">
        <v>0.01</v>
      </c>
      <c r="AO225" s="3">
        <v>21.2</v>
      </c>
      <c r="AP225" s="3">
        <v>0</v>
      </c>
      <c r="AQ225" s="3">
        <v>1.68</v>
      </c>
      <c r="AR225" s="3">
        <v>0</v>
      </c>
      <c r="AS225" s="3">
        <v>0</v>
      </c>
      <c r="AT225" s="3">
        <v>90</v>
      </c>
      <c r="AU225" s="3">
        <v>46</v>
      </c>
      <c r="AV225" s="3">
        <v>1.0469999999999999</v>
      </c>
      <c r="AW225" s="3">
        <v>1</v>
      </c>
      <c r="AZ225" s="3">
        <v>1</v>
      </c>
      <c r="BA225" s="3">
        <v>56.35</v>
      </c>
      <c r="BB225" s="3">
        <v>18.5</v>
      </c>
      <c r="BC225" s="3">
        <v>9.84</v>
      </c>
      <c r="BD225" s="3" t="s">
        <v>3</v>
      </c>
      <c r="BE225" s="3" t="s">
        <v>3</v>
      </c>
      <c r="BF225" s="3" t="s">
        <v>3</v>
      </c>
      <c r="BG225" s="3" t="s">
        <v>3</v>
      </c>
      <c r="BH225" s="3">
        <v>0</v>
      </c>
      <c r="BI225" s="3">
        <v>2</v>
      </c>
      <c r="BJ225" s="3" t="s">
        <v>54</v>
      </c>
      <c r="BM225" s="3">
        <v>68</v>
      </c>
      <c r="BN225" s="3">
        <v>0</v>
      </c>
      <c r="BO225" s="3" t="s">
        <v>52</v>
      </c>
      <c r="BP225" s="3">
        <v>1</v>
      </c>
      <c r="BQ225" s="3">
        <v>40</v>
      </c>
      <c r="BR225" s="3">
        <v>0</v>
      </c>
      <c r="BS225" s="3">
        <v>56.35</v>
      </c>
      <c r="BT225" s="3">
        <v>1</v>
      </c>
      <c r="BU225" s="3">
        <v>1</v>
      </c>
      <c r="BV225" s="3">
        <v>1</v>
      </c>
      <c r="BW225" s="3">
        <v>1</v>
      </c>
      <c r="BX225" s="3">
        <v>1</v>
      </c>
      <c r="BY225" s="3" t="s">
        <v>3</v>
      </c>
      <c r="BZ225" s="3">
        <v>90</v>
      </c>
      <c r="CA225" s="3">
        <v>46</v>
      </c>
      <c r="CB225" s="3" t="s">
        <v>3</v>
      </c>
      <c r="CE225" s="3">
        <v>1566</v>
      </c>
      <c r="CF225" s="3">
        <v>0</v>
      </c>
      <c r="CG225" s="3">
        <v>0</v>
      </c>
      <c r="CM225" s="3">
        <v>0</v>
      </c>
      <c r="CN225" s="3" t="s">
        <v>624</v>
      </c>
      <c r="CO225" s="3">
        <v>0</v>
      </c>
      <c r="CP225" s="3">
        <f t="shared" si="171"/>
        <v>1515.0400000000002</v>
      </c>
      <c r="CQ225" s="3">
        <f>ROUND((ROUND((AC225*AW225*1),2)*BC225),2)</f>
        <v>12.4</v>
      </c>
      <c r="CR225" s="3">
        <f>(ROUND((ROUND((((ET225*1.2))*AV225*1),2)*BB225),2)+ROUND((ROUND(((AE225-((EU225*1.2)))*AV225*1),2)*BS225),2))</f>
        <v>1.48</v>
      </c>
      <c r="CS225" s="3">
        <f>(ROUND((ROUND((((EU225*1.2))*AV225*1),2)*BS225),2)+ROUND((ROUND(((AE225-((EU225*1.2)))*AV225*1),2)*BS225),2))</f>
        <v>0.56000000000000005</v>
      </c>
      <c r="CT225" s="3">
        <f t="shared" si="173"/>
        <v>1501.16</v>
      </c>
      <c r="CU225" s="3">
        <f t="shared" si="174"/>
        <v>0</v>
      </c>
      <c r="CV225" s="3">
        <f t="shared" si="175"/>
        <v>2.1107519999999997</v>
      </c>
      <c r="CW225" s="3">
        <f t="shared" si="176"/>
        <v>0</v>
      </c>
      <c r="CX225" s="3">
        <f t="shared" si="177"/>
        <v>0</v>
      </c>
      <c r="CY225" s="3">
        <f>(ROUND((((S225+ROUND((ROUND((((EU225*1.2))*AV225*1),2)*BS225),2))*AT225)/100),2)+ROUND(((ROUND((ROUND(((AE225-((EU225*1.2)))*AV225*1),2)*BS225),2)*AT225)/100),2))</f>
        <v>1351.55</v>
      </c>
      <c r="CZ225" s="3">
        <f>(ROUND((((S225+ROUND((ROUND((((EU225*1.2))*AV225*1),2)*BS225),2))*AU225)/100),2)+ROUND(((ROUND((ROUND(((AE225-((EU225*1.2)))*AV225*1),2)*BS225),2)*AU225)/100),2))</f>
        <v>690.79</v>
      </c>
      <c r="DB225" s="3">
        <v>90</v>
      </c>
      <c r="DC225" s="3" t="s">
        <v>3</v>
      </c>
      <c r="DD225" s="3" t="s">
        <v>70</v>
      </c>
      <c r="DE225" s="3" t="s">
        <v>71</v>
      </c>
      <c r="DF225" s="3" t="s">
        <v>71</v>
      </c>
      <c r="DG225" s="3" t="s">
        <v>71</v>
      </c>
      <c r="DH225" s="3" t="s">
        <v>3</v>
      </c>
      <c r="DI225" s="3" t="s">
        <v>71</v>
      </c>
      <c r="DJ225" s="3" t="s">
        <v>71</v>
      </c>
      <c r="DK225" s="3" t="s">
        <v>3</v>
      </c>
      <c r="DL225" s="3" t="s">
        <v>3</v>
      </c>
      <c r="DM225" s="3" t="s">
        <v>3</v>
      </c>
      <c r="DN225" s="3">
        <v>0</v>
      </c>
      <c r="DO225" s="3">
        <v>0</v>
      </c>
      <c r="DP225" s="3">
        <v>1</v>
      </c>
      <c r="DQ225" s="3">
        <v>1</v>
      </c>
      <c r="DU225" s="3">
        <v>1013</v>
      </c>
      <c r="DV225" s="3" t="s">
        <v>27</v>
      </c>
      <c r="DW225" s="3" t="s">
        <v>27</v>
      </c>
      <c r="DX225" s="3">
        <v>1</v>
      </c>
      <c r="DZ225" s="3" t="s">
        <v>3</v>
      </c>
      <c r="EA225" s="3" t="s">
        <v>3</v>
      </c>
      <c r="EB225" s="3" t="s">
        <v>3</v>
      </c>
      <c r="EC225" s="3" t="s">
        <v>3</v>
      </c>
      <c r="EE225" s="3">
        <v>57042958</v>
      </c>
      <c r="EF225" s="3">
        <v>40</v>
      </c>
      <c r="EG225" s="3" t="s">
        <v>31</v>
      </c>
      <c r="EH225" s="3">
        <v>0</v>
      </c>
      <c r="EI225" s="3" t="s">
        <v>3</v>
      </c>
      <c r="EJ225" s="3">
        <v>2</v>
      </c>
      <c r="EK225" s="3">
        <v>68</v>
      </c>
      <c r="EL225" s="3" t="s">
        <v>32</v>
      </c>
      <c r="EM225" s="3" t="s">
        <v>33</v>
      </c>
      <c r="EO225" s="3" t="s">
        <v>75</v>
      </c>
      <c r="EQ225" s="3">
        <v>0</v>
      </c>
      <c r="ER225" s="3">
        <v>22.52</v>
      </c>
      <c r="ES225" s="3">
        <v>1.26</v>
      </c>
      <c r="ET225" s="3">
        <v>0.06</v>
      </c>
      <c r="EU225" s="3">
        <v>0.01</v>
      </c>
      <c r="EV225" s="3">
        <v>21.2</v>
      </c>
      <c r="EW225" s="3">
        <v>1.68</v>
      </c>
      <c r="EX225" s="3">
        <v>0</v>
      </c>
      <c r="EY225" s="3">
        <v>0</v>
      </c>
      <c r="FQ225" s="3">
        <v>0</v>
      </c>
      <c r="FR225" s="3">
        <v>0</v>
      </c>
      <c r="FS225" s="3">
        <v>0</v>
      </c>
      <c r="FX225" s="3">
        <v>90</v>
      </c>
      <c r="FY225" s="3">
        <v>46</v>
      </c>
      <c r="GA225" s="3" t="s">
        <v>3</v>
      </c>
      <c r="GD225" s="3">
        <v>1</v>
      </c>
      <c r="GF225" s="3">
        <v>-2112753472</v>
      </c>
      <c r="GG225" s="3">
        <v>2</v>
      </c>
      <c r="GH225" s="3">
        <v>1</v>
      </c>
      <c r="GI225" s="3">
        <v>2</v>
      </c>
      <c r="GJ225" s="3">
        <v>0</v>
      </c>
      <c r="GK225" s="3">
        <v>0</v>
      </c>
      <c r="GL225" s="3">
        <f t="shared" si="178"/>
        <v>0</v>
      </c>
      <c r="GM225" s="3">
        <f t="shared" si="179"/>
        <v>3557.38</v>
      </c>
      <c r="GN225" s="3">
        <f t="shared" si="180"/>
        <v>0</v>
      </c>
      <c r="GO225" s="3">
        <f t="shared" si="181"/>
        <v>3557.38</v>
      </c>
      <c r="GP225" s="3">
        <f t="shared" si="182"/>
        <v>0</v>
      </c>
      <c r="GR225" s="3">
        <v>0</v>
      </c>
      <c r="GS225" s="3">
        <v>3</v>
      </c>
      <c r="GT225" s="3">
        <v>0</v>
      </c>
      <c r="GU225" s="3" t="s">
        <v>3</v>
      </c>
      <c r="GV225" s="3">
        <f t="shared" si="183"/>
        <v>0</v>
      </c>
      <c r="GW225" s="3">
        <v>1</v>
      </c>
      <c r="GX225" s="3">
        <f t="shared" si="184"/>
        <v>0</v>
      </c>
      <c r="HA225" s="3">
        <v>0</v>
      </c>
      <c r="HB225" s="3">
        <v>0</v>
      </c>
      <c r="HC225" s="3">
        <f t="shared" si="185"/>
        <v>0</v>
      </c>
      <c r="HE225" s="3" t="s">
        <v>3</v>
      </c>
      <c r="HF225" s="3" t="s">
        <v>3</v>
      </c>
      <c r="HM225" s="3" t="s">
        <v>3</v>
      </c>
      <c r="HN225" s="3" t="s">
        <v>3</v>
      </c>
      <c r="HO225" s="3" t="s">
        <v>3</v>
      </c>
      <c r="HP225" s="3" t="s">
        <v>3</v>
      </c>
      <c r="HQ225" s="3" t="s">
        <v>3</v>
      </c>
      <c r="HS225" s="3">
        <v>0</v>
      </c>
      <c r="IK225" s="3">
        <v>0</v>
      </c>
    </row>
    <row r="226" spans="1:255" x14ac:dyDescent="0.25">
      <c r="A226" s="2">
        <v>17</v>
      </c>
      <c r="B226" s="2">
        <v>1</v>
      </c>
      <c r="C226" s="2"/>
      <c r="D226" s="2"/>
      <c r="E226" s="2" t="s">
        <v>305</v>
      </c>
      <c r="F226" s="2" t="s">
        <v>306</v>
      </c>
      <c r="G226" s="2" t="s">
        <v>307</v>
      </c>
      <c r="H226" s="2" t="s">
        <v>251</v>
      </c>
      <c r="I226" s="2">
        <v>1</v>
      </c>
      <c r="J226" s="2">
        <v>0</v>
      </c>
      <c r="K226" s="2">
        <v>1</v>
      </c>
      <c r="L226" s="2"/>
      <c r="M226" s="2"/>
      <c r="N226" s="2"/>
      <c r="O226" s="2">
        <f t="shared" si="159"/>
        <v>53.88</v>
      </c>
      <c r="P226" s="2">
        <f>ROUND((ROUND((AC226*I226),2)*BC226),2)</f>
        <v>53.88</v>
      </c>
      <c r="Q226" s="2">
        <f>(ROUND((ROUND(((ET226)*AV226*I226),2)*BB226),2)+ROUND((ROUND(((AE226-(EU226))*AV226*I226),2)*BS226),2))</f>
        <v>0</v>
      </c>
      <c r="R226" s="2">
        <f>(ROUND((ROUND(((EU226)*AV226*I226),2)*BS226),2)+ROUND((ROUND(((AE226-(EU226))*AV226*I226),2)*BS226),2))</f>
        <v>0</v>
      </c>
      <c r="S226" s="2">
        <f t="shared" si="161"/>
        <v>0</v>
      </c>
      <c r="T226" s="2">
        <f t="shared" si="162"/>
        <v>0</v>
      </c>
      <c r="U226" s="2">
        <f t="shared" si="163"/>
        <v>0</v>
      </c>
      <c r="V226" s="2">
        <f t="shared" si="164"/>
        <v>0</v>
      </c>
      <c r="W226" s="2">
        <f t="shared" si="165"/>
        <v>0</v>
      </c>
      <c r="X226" s="2">
        <f>(ROUND((((S226+ROUND((ROUND(((EU226)*AV226*I226),2)*BS226),2))*AT226)/100),2)+ROUND(((ROUND((ROUND(((AE226-(EU226))*AV226*I226),2)*BS226),2)*AT226)/100),2))</f>
        <v>0</v>
      </c>
      <c r="Y226" s="2">
        <f>(ROUND((((S226+ROUND((ROUND(((EU226)*AV226*I226),2)*BS226),2))*AU226)/100),2)+ROUND(((ROUND((ROUND(((AE226-(EU226))*AV226*I226),2)*BS226),2)*AU226)/100),2))</f>
        <v>0</v>
      </c>
      <c r="Z226" s="2"/>
      <c r="AA226" s="2">
        <v>57014138</v>
      </c>
      <c r="AB226" s="2">
        <f t="shared" si="166"/>
        <v>53.88</v>
      </c>
      <c r="AC226" s="2">
        <f>ROUND((ES226),6)</f>
        <v>53.88</v>
      </c>
      <c r="AD226" s="2">
        <f>ROUND((((ET226)-(EU226))+AE226),6)</f>
        <v>0</v>
      </c>
      <c r="AE226" s="2">
        <f>ROUND((EU226),6)</f>
        <v>0</v>
      </c>
      <c r="AF226" s="2">
        <f>ROUND((EV226),6)</f>
        <v>0</v>
      </c>
      <c r="AG226" s="2">
        <f t="shared" si="168"/>
        <v>0</v>
      </c>
      <c r="AH226" s="2">
        <f>(EW226)</f>
        <v>0</v>
      </c>
      <c r="AI226" s="2">
        <f>(EX226)</f>
        <v>0</v>
      </c>
      <c r="AJ226" s="2">
        <f t="shared" si="170"/>
        <v>0</v>
      </c>
      <c r="AK226" s="2">
        <v>53.88</v>
      </c>
      <c r="AL226" s="2">
        <v>53.88</v>
      </c>
      <c r="AM226" s="2">
        <v>0</v>
      </c>
      <c r="AN226" s="2">
        <v>0</v>
      </c>
      <c r="AO226" s="2">
        <v>0</v>
      </c>
      <c r="AP226" s="2">
        <v>0</v>
      </c>
      <c r="AQ226" s="2">
        <v>0</v>
      </c>
      <c r="AR226" s="2">
        <v>0</v>
      </c>
      <c r="AS226" s="2">
        <v>0</v>
      </c>
      <c r="AT226" s="2">
        <v>0</v>
      </c>
      <c r="AU226" s="2">
        <v>0</v>
      </c>
      <c r="AV226" s="2">
        <v>1</v>
      </c>
      <c r="AW226" s="2">
        <v>1</v>
      </c>
      <c r="AX226" s="2"/>
      <c r="AY226" s="2"/>
      <c r="AZ226" s="2">
        <v>1</v>
      </c>
      <c r="BA226" s="2">
        <v>1</v>
      </c>
      <c r="BB226" s="2">
        <v>1</v>
      </c>
      <c r="BC226" s="2">
        <v>1</v>
      </c>
      <c r="BD226" s="2" t="s">
        <v>3</v>
      </c>
      <c r="BE226" s="2" t="s">
        <v>3</v>
      </c>
      <c r="BF226" s="2" t="s">
        <v>3</v>
      </c>
      <c r="BG226" s="2" t="s">
        <v>3</v>
      </c>
      <c r="BH226" s="2">
        <v>3</v>
      </c>
      <c r="BI226" s="2">
        <v>3</v>
      </c>
      <c r="BJ226" s="2" t="s">
        <v>308</v>
      </c>
      <c r="BK226" s="2"/>
      <c r="BL226" s="2"/>
      <c r="BM226" s="2">
        <v>746</v>
      </c>
      <c r="BN226" s="2">
        <v>0</v>
      </c>
      <c r="BO226" s="2" t="s">
        <v>3</v>
      </c>
      <c r="BP226" s="2">
        <v>0</v>
      </c>
      <c r="BQ226" s="2">
        <v>130</v>
      </c>
      <c r="BR226" s="2">
        <v>0</v>
      </c>
      <c r="BS226" s="2">
        <v>1</v>
      </c>
      <c r="BT226" s="2">
        <v>1</v>
      </c>
      <c r="BU226" s="2">
        <v>1</v>
      </c>
      <c r="BV226" s="2">
        <v>1</v>
      </c>
      <c r="BW226" s="2">
        <v>1</v>
      </c>
      <c r="BX226" s="2">
        <v>1</v>
      </c>
      <c r="BY226" s="2" t="s">
        <v>3</v>
      </c>
      <c r="BZ226" s="2">
        <v>0</v>
      </c>
      <c r="CA226" s="2">
        <v>0</v>
      </c>
      <c r="CB226" s="2" t="s">
        <v>3</v>
      </c>
      <c r="CC226" s="2"/>
      <c r="CD226" s="2"/>
      <c r="CE226" s="2">
        <v>1566</v>
      </c>
      <c r="CF226" s="2">
        <v>0</v>
      </c>
      <c r="CG226" s="2">
        <v>0</v>
      </c>
      <c r="CH226" s="2"/>
      <c r="CI226" s="2"/>
      <c r="CJ226" s="2"/>
      <c r="CK226" s="2"/>
      <c r="CL226" s="2"/>
      <c r="CM226" s="2">
        <v>0</v>
      </c>
      <c r="CN226" s="2" t="s">
        <v>3</v>
      </c>
      <c r="CO226" s="2">
        <v>0</v>
      </c>
      <c r="CP226" s="2">
        <f t="shared" si="171"/>
        <v>53.88</v>
      </c>
      <c r="CQ226" s="2">
        <f>ROUND((ROUND((AC226*1),2)*BC226),2)</f>
        <v>53.88</v>
      </c>
      <c r="CR226" s="2">
        <f>(ROUND((ROUND(((ET226)*AV226*1),2)*BB226),2)+ROUND((ROUND(((AE226-(EU226))*AV226*1),2)*BS226),2))</f>
        <v>0</v>
      </c>
      <c r="CS226" s="2">
        <f>(ROUND((ROUND(((EU226)*AV226*1),2)*BS226),2)+ROUND((ROUND(((AE226-(EU226))*AV226*1),2)*BS226),2))</f>
        <v>0</v>
      </c>
      <c r="CT226" s="2">
        <f t="shared" si="173"/>
        <v>0</v>
      </c>
      <c r="CU226" s="2">
        <f t="shared" si="174"/>
        <v>0</v>
      </c>
      <c r="CV226" s="2">
        <f t="shared" si="175"/>
        <v>0</v>
      </c>
      <c r="CW226" s="2">
        <f t="shared" si="176"/>
        <v>0</v>
      </c>
      <c r="CX226" s="2">
        <f t="shared" si="177"/>
        <v>0</v>
      </c>
      <c r="CY226" s="2">
        <f>(ROUND((((S226+ROUND((ROUND(((EU226)*AV226*1),2)*BS226),2))*AT226)/100),2)+ROUND(((ROUND((ROUND(((AE226-(EU226))*AV226*1),2)*BS226),2)*AT226)/100),2))</f>
        <v>0</v>
      </c>
      <c r="CZ226" s="2">
        <f>(ROUND((((S226+ROUND((ROUND(((EU226)*AV226*1),2)*BS226),2))*AU226)/100),2)+ROUND(((ROUND((ROUND(((AE226-(EU226))*AV226*1),2)*BS226),2)*AU226)/100),2))</f>
        <v>0</v>
      </c>
      <c r="DA226" s="2"/>
      <c r="DB226" s="2"/>
      <c r="DC226" s="2" t="s">
        <v>3</v>
      </c>
      <c r="DD226" s="2" t="s">
        <v>3</v>
      </c>
      <c r="DE226" s="2" t="s">
        <v>3</v>
      </c>
      <c r="DF226" s="2" t="s">
        <v>3</v>
      </c>
      <c r="DG226" s="2" t="s">
        <v>3</v>
      </c>
      <c r="DH226" s="2" t="s">
        <v>3</v>
      </c>
      <c r="DI226" s="2" t="s">
        <v>3</v>
      </c>
      <c r="DJ226" s="2" t="s">
        <v>3</v>
      </c>
      <c r="DK226" s="2" t="s">
        <v>3</v>
      </c>
      <c r="DL226" s="2" t="s">
        <v>3</v>
      </c>
      <c r="DM226" s="2" t="s">
        <v>3</v>
      </c>
      <c r="DN226" s="2">
        <v>0</v>
      </c>
      <c r="DO226" s="2">
        <v>0</v>
      </c>
      <c r="DP226" s="2">
        <v>1</v>
      </c>
      <c r="DQ226" s="2">
        <v>1</v>
      </c>
      <c r="DR226" s="2"/>
      <c r="DS226" s="2"/>
      <c r="DT226" s="2"/>
      <c r="DU226" s="2">
        <v>1010</v>
      </c>
      <c r="DV226" s="2" t="s">
        <v>251</v>
      </c>
      <c r="DW226" s="2" t="s">
        <v>251</v>
      </c>
      <c r="DX226" s="2">
        <v>1</v>
      </c>
      <c r="DY226" s="2"/>
      <c r="DZ226" s="2" t="s">
        <v>3</v>
      </c>
      <c r="EA226" s="2" t="s">
        <v>3</v>
      </c>
      <c r="EB226" s="2" t="s">
        <v>3</v>
      </c>
      <c r="EC226" s="2" t="s">
        <v>3</v>
      </c>
      <c r="ED226" s="2"/>
      <c r="EE226" s="2">
        <v>57043064</v>
      </c>
      <c r="EF226" s="2">
        <v>130</v>
      </c>
      <c r="EG226" s="2" t="s">
        <v>297</v>
      </c>
      <c r="EH226" s="2">
        <v>0</v>
      </c>
      <c r="EI226" s="2" t="s">
        <v>3</v>
      </c>
      <c r="EJ226" s="2">
        <v>3</v>
      </c>
      <c r="EK226" s="2">
        <v>746</v>
      </c>
      <c r="EL226" s="2" t="s">
        <v>298</v>
      </c>
      <c r="EM226" s="2" t="s">
        <v>299</v>
      </c>
      <c r="EN226" s="2"/>
      <c r="EO226" s="2" t="s">
        <v>3</v>
      </c>
      <c r="EP226" s="2"/>
      <c r="EQ226" s="2">
        <v>0</v>
      </c>
      <c r="ER226" s="2">
        <v>53.88</v>
      </c>
      <c r="ES226" s="2">
        <v>53.88</v>
      </c>
      <c r="ET226" s="2">
        <v>0</v>
      </c>
      <c r="EU226" s="2">
        <v>0</v>
      </c>
      <c r="EV226" s="2">
        <v>0</v>
      </c>
      <c r="EW226" s="2">
        <v>0</v>
      </c>
      <c r="EX226" s="2">
        <v>0</v>
      </c>
      <c r="EY226" s="2">
        <v>0</v>
      </c>
      <c r="EZ226" s="2"/>
      <c r="FA226" s="2"/>
      <c r="FB226" s="2"/>
      <c r="FC226" s="2"/>
      <c r="FD226" s="2"/>
      <c r="FE226" s="2"/>
      <c r="FF226" s="2"/>
      <c r="FG226" s="2"/>
      <c r="FH226" s="2"/>
      <c r="FI226" s="2"/>
      <c r="FJ226" s="2"/>
      <c r="FK226" s="2"/>
      <c r="FL226" s="2"/>
      <c r="FM226" s="2"/>
      <c r="FN226" s="2"/>
      <c r="FO226" s="2"/>
      <c r="FP226" s="2"/>
      <c r="FQ226" s="2">
        <v>0</v>
      </c>
      <c r="FR226" s="2">
        <f>P226</f>
        <v>53.88</v>
      </c>
      <c r="FS226" s="2">
        <v>0</v>
      </c>
      <c r="FT226" s="2"/>
      <c r="FU226" s="2"/>
      <c r="FV226" s="2"/>
      <c r="FW226" s="2"/>
      <c r="FX226" s="2">
        <v>0</v>
      </c>
      <c r="FY226" s="2">
        <v>0</v>
      </c>
      <c r="FZ226" s="2"/>
      <c r="GA226" s="2" t="s">
        <v>3</v>
      </c>
      <c r="GB226" s="2"/>
      <c r="GC226" s="2"/>
      <c r="GD226" s="2">
        <v>1</v>
      </c>
      <c r="GE226" s="2"/>
      <c r="GF226" s="2">
        <v>-1475251711</v>
      </c>
      <c r="GG226" s="2">
        <v>2</v>
      </c>
      <c r="GH226" s="2">
        <v>1</v>
      </c>
      <c r="GI226" s="2">
        <v>-2</v>
      </c>
      <c r="GJ226" s="2">
        <v>0</v>
      </c>
      <c r="GK226" s="2">
        <v>0</v>
      </c>
      <c r="GL226" s="2">
        <f t="shared" si="178"/>
        <v>0</v>
      </c>
      <c r="GM226" s="2">
        <f t="shared" si="179"/>
        <v>53.88</v>
      </c>
      <c r="GN226" s="2">
        <f t="shared" si="180"/>
        <v>0</v>
      </c>
      <c r="GO226" s="2">
        <f t="shared" si="181"/>
        <v>0</v>
      </c>
      <c r="GP226" s="2">
        <f t="shared" si="182"/>
        <v>0</v>
      </c>
      <c r="GQ226" s="2"/>
      <c r="GR226" s="2">
        <v>0</v>
      </c>
      <c r="GS226" s="2">
        <v>3</v>
      </c>
      <c r="GT226" s="2">
        <v>0</v>
      </c>
      <c r="GU226" s="2" t="s">
        <v>3</v>
      </c>
      <c r="GV226" s="2">
        <f t="shared" si="183"/>
        <v>0</v>
      </c>
      <c r="GW226" s="2">
        <v>1</v>
      </c>
      <c r="GX226" s="2">
        <f t="shared" si="184"/>
        <v>0</v>
      </c>
      <c r="GY226" s="2"/>
      <c r="GZ226" s="2"/>
      <c r="HA226" s="2">
        <v>0</v>
      </c>
      <c r="HB226" s="2">
        <v>0</v>
      </c>
      <c r="HC226" s="2">
        <f t="shared" si="185"/>
        <v>0</v>
      </c>
      <c r="HD226" s="2"/>
      <c r="HE226" s="2" t="s">
        <v>3</v>
      </c>
      <c r="HF226" s="2" t="s">
        <v>3</v>
      </c>
      <c r="HG226" s="2"/>
      <c r="HH226" s="2"/>
      <c r="HI226" s="2"/>
      <c r="HJ226" s="2"/>
      <c r="HK226" s="2"/>
      <c r="HL226" s="2"/>
      <c r="HM226" s="2" t="s">
        <v>3</v>
      </c>
      <c r="HN226" s="2" t="s">
        <v>3</v>
      </c>
      <c r="HO226" s="2" t="s">
        <v>3</v>
      </c>
      <c r="HP226" s="2" t="s">
        <v>3</v>
      </c>
      <c r="HQ226" s="2" t="s">
        <v>3</v>
      </c>
      <c r="HR226" s="2"/>
      <c r="HS226" s="2">
        <v>0</v>
      </c>
      <c r="HT226" s="2"/>
      <c r="HU226" s="2"/>
      <c r="HV226" s="2"/>
      <c r="HW226" s="2"/>
      <c r="HX226" s="2"/>
      <c r="HY226" s="2"/>
      <c r="HZ226" s="2"/>
      <c r="IA226" s="2"/>
      <c r="IB226" s="2"/>
      <c r="IC226" s="2"/>
      <c r="ID226" s="2"/>
      <c r="IE226" s="2"/>
      <c r="IF226" s="2"/>
      <c r="IG226" s="2"/>
      <c r="IH226" s="2"/>
      <c r="II226" s="2"/>
      <c r="IJ226" s="2"/>
      <c r="IK226" s="2">
        <v>0</v>
      </c>
      <c r="IL226" s="2"/>
      <c r="IM226" s="2"/>
      <c r="IN226" s="2"/>
      <c r="IO226" s="2"/>
      <c r="IP226" s="2"/>
      <c r="IQ226" s="2"/>
      <c r="IR226" s="2"/>
      <c r="IS226" s="2"/>
      <c r="IT226" s="2"/>
      <c r="IU226" s="2"/>
    </row>
    <row r="227" spans="1:255" x14ac:dyDescent="0.25">
      <c r="A227" s="3">
        <v>17</v>
      </c>
      <c r="B227" s="3">
        <v>1</v>
      </c>
      <c r="E227" s="3" t="s">
        <v>305</v>
      </c>
      <c r="F227" s="3" t="s">
        <v>306</v>
      </c>
      <c r="G227" s="3" t="s">
        <v>307</v>
      </c>
      <c r="H227" s="3" t="s">
        <v>251</v>
      </c>
      <c r="I227" s="3">
        <v>1</v>
      </c>
      <c r="J227" s="3">
        <v>0</v>
      </c>
      <c r="K227" s="3">
        <v>1</v>
      </c>
      <c r="O227" s="3">
        <f t="shared" si="159"/>
        <v>191.81</v>
      </c>
      <c r="P227" s="3">
        <f>ROUND((ROUND((AC227*I227),2)*BC227),2)</f>
        <v>191.81</v>
      </c>
      <c r="Q227" s="3">
        <f>(ROUND((ROUND(((ET227)*AV227*I227),2)*BB227),2)+ROUND((ROUND(((AE227-(EU227))*AV227*I227),2)*BS227),2))</f>
        <v>0</v>
      </c>
      <c r="R227" s="3">
        <f>(ROUND((ROUND(((EU227)*AV227*I227),2)*BS227),2)+ROUND((ROUND(((AE227-(EU227))*AV227*I227),2)*BS227),2))</f>
        <v>0</v>
      </c>
      <c r="S227" s="3">
        <f t="shared" si="161"/>
        <v>0</v>
      </c>
      <c r="T227" s="3">
        <f t="shared" si="162"/>
        <v>0</v>
      </c>
      <c r="U227" s="3">
        <f t="shared" si="163"/>
        <v>0</v>
      </c>
      <c r="V227" s="3">
        <f t="shared" si="164"/>
        <v>0</v>
      </c>
      <c r="W227" s="3">
        <f t="shared" si="165"/>
        <v>0</v>
      </c>
      <c r="X227" s="3">
        <f>(ROUND((((S227+ROUND((ROUND(((EU227)*AV227*I227),2)*BS227),2))*AT227)/100),2)+ROUND(((ROUND((ROUND(((AE227-(EU227))*AV227*I227),2)*BS227),2)*AT227)/100),2))</f>
        <v>0</v>
      </c>
      <c r="Y227" s="3">
        <f>(ROUND((((S227+ROUND((ROUND(((EU227)*AV227*I227),2)*BS227),2))*AU227)/100),2)+ROUND(((ROUND((ROUND(((AE227-(EU227))*AV227*I227),2)*BS227),2)*AU227)/100),2))</f>
        <v>0</v>
      </c>
      <c r="AA227" s="3">
        <v>57014140</v>
      </c>
      <c r="AB227" s="3">
        <f t="shared" si="166"/>
        <v>53.88</v>
      </c>
      <c r="AC227" s="3">
        <f>ROUND((ES227),6)</f>
        <v>53.88</v>
      </c>
      <c r="AD227" s="3">
        <f>ROUND((((ET227)-(EU227))+AE227),6)</f>
        <v>0</v>
      </c>
      <c r="AE227" s="3">
        <f>ROUND((EU227),6)</f>
        <v>0</v>
      </c>
      <c r="AF227" s="3">
        <f>ROUND((EV227),6)</f>
        <v>0</v>
      </c>
      <c r="AG227" s="3">
        <f t="shared" si="168"/>
        <v>0</v>
      </c>
      <c r="AH227" s="3">
        <f>(EW227)</f>
        <v>0</v>
      </c>
      <c r="AI227" s="3">
        <f>(EX227)</f>
        <v>0</v>
      </c>
      <c r="AJ227" s="3">
        <f t="shared" si="170"/>
        <v>0</v>
      </c>
      <c r="AK227" s="3">
        <v>53.88</v>
      </c>
      <c r="AL227" s="3">
        <v>53.88</v>
      </c>
      <c r="AM227" s="3">
        <v>0</v>
      </c>
      <c r="AN227" s="3">
        <v>0</v>
      </c>
      <c r="AO227" s="3">
        <v>0</v>
      </c>
      <c r="AP227" s="3">
        <v>0</v>
      </c>
      <c r="AQ227" s="3">
        <v>0</v>
      </c>
      <c r="AR227" s="3">
        <v>0</v>
      </c>
      <c r="AS227" s="3">
        <v>0</v>
      </c>
      <c r="AT227" s="3">
        <v>0</v>
      </c>
      <c r="AU227" s="3">
        <v>0</v>
      </c>
      <c r="AV227" s="3">
        <v>1</v>
      </c>
      <c r="AW227" s="3">
        <v>1</v>
      </c>
      <c r="AZ227" s="3">
        <v>1</v>
      </c>
      <c r="BA227" s="3">
        <v>1</v>
      </c>
      <c r="BB227" s="3">
        <v>1</v>
      </c>
      <c r="BC227" s="3">
        <v>3.56</v>
      </c>
      <c r="BD227" s="3" t="s">
        <v>3</v>
      </c>
      <c r="BE227" s="3" t="s">
        <v>3</v>
      </c>
      <c r="BF227" s="3" t="s">
        <v>3</v>
      </c>
      <c r="BG227" s="3" t="s">
        <v>3</v>
      </c>
      <c r="BH227" s="3">
        <v>3</v>
      </c>
      <c r="BI227" s="3">
        <v>3</v>
      </c>
      <c r="BJ227" s="3" t="s">
        <v>308</v>
      </c>
      <c r="BM227" s="3">
        <v>746</v>
      </c>
      <c r="BN227" s="3">
        <v>0</v>
      </c>
      <c r="BO227" s="3" t="s">
        <v>3</v>
      </c>
      <c r="BP227" s="3">
        <v>0</v>
      </c>
      <c r="BQ227" s="3">
        <v>130</v>
      </c>
      <c r="BR227" s="3">
        <v>0</v>
      </c>
      <c r="BS227" s="3">
        <v>1</v>
      </c>
      <c r="BT227" s="3">
        <v>1</v>
      </c>
      <c r="BU227" s="3">
        <v>1</v>
      </c>
      <c r="BV227" s="3">
        <v>1</v>
      </c>
      <c r="BW227" s="3">
        <v>1</v>
      </c>
      <c r="BX227" s="3">
        <v>1</v>
      </c>
      <c r="BY227" s="3" t="s">
        <v>3</v>
      </c>
      <c r="BZ227" s="3">
        <v>0</v>
      </c>
      <c r="CA227" s="3">
        <v>0</v>
      </c>
      <c r="CB227" s="3" t="s">
        <v>3</v>
      </c>
      <c r="CE227" s="3">
        <v>1566</v>
      </c>
      <c r="CF227" s="3">
        <v>0</v>
      </c>
      <c r="CG227" s="3">
        <v>0</v>
      </c>
      <c r="CM227" s="3">
        <v>0</v>
      </c>
      <c r="CN227" s="3" t="s">
        <v>3</v>
      </c>
      <c r="CO227" s="3">
        <v>0</v>
      </c>
      <c r="CP227" s="3">
        <f t="shared" si="171"/>
        <v>191.81</v>
      </c>
      <c r="CQ227" s="3">
        <f>ROUND((ROUND((AC227*1),2)*BC227),2)</f>
        <v>191.81</v>
      </c>
      <c r="CR227" s="3">
        <f>(ROUND((ROUND(((ET227)*AV227*1),2)*BB227),2)+ROUND((ROUND(((AE227-(EU227))*AV227*1),2)*BS227),2))</f>
        <v>0</v>
      </c>
      <c r="CS227" s="3">
        <f>(ROUND((ROUND(((EU227)*AV227*1),2)*BS227),2)+ROUND((ROUND(((AE227-(EU227))*AV227*1),2)*BS227),2))</f>
        <v>0</v>
      </c>
      <c r="CT227" s="3">
        <f t="shared" si="173"/>
        <v>0</v>
      </c>
      <c r="CU227" s="3">
        <f t="shared" si="174"/>
        <v>0</v>
      </c>
      <c r="CV227" s="3">
        <f t="shared" si="175"/>
        <v>0</v>
      </c>
      <c r="CW227" s="3">
        <f t="shared" si="176"/>
        <v>0</v>
      </c>
      <c r="CX227" s="3">
        <f t="shared" si="177"/>
        <v>0</v>
      </c>
      <c r="CY227" s="3">
        <f>(ROUND((((S227+ROUND((ROUND(((EU227)*AV227*1),2)*BS227),2))*AT227)/100),2)+ROUND(((ROUND((ROUND(((AE227-(EU227))*AV227*1),2)*BS227),2)*AT227)/100),2))</f>
        <v>0</v>
      </c>
      <c r="CZ227" s="3">
        <f>(ROUND((((S227+ROUND((ROUND(((EU227)*AV227*1),2)*BS227),2))*AU227)/100),2)+ROUND(((ROUND((ROUND(((AE227-(EU227))*AV227*1),2)*BS227),2)*AU227)/100),2))</f>
        <v>0</v>
      </c>
      <c r="DC227" s="3" t="s">
        <v>3</v>
      </c>
      <c r="DD227" s="3" t="s">
        <v>3</v>
      </c>
      <c r="DE227" s="3" t="s">
        <v>3</v>
      </c>
      <c r="DF227" s="3" t="s">
        <v>3</v>
      </c>
      <c r="DG227" s="3" t="s">
        <v>3</v>
      </c>
      <c r="DH227" s="3" t="s">
        <v>3</v>
      </c>
      <c r="DI227" s="3" t="s">
        <v>3</v>
      </c>
      <c r="DJ227" s="3" t="s">
        <v>3</v>
      </c>
      <c r="DK227" s="3" t="s">
        <v>3</v>
      </c>
      <c r="DL227" s="3" t="s">
        <v>3</v>
      </c>
      <c r="DM227" s="3" t="s">
        <v>3</v>
      </c>
      <c r="DN227" s="3">
        <v>0</v>
      </c>
      <c r="DO227" s="3">
        <v>0</v>
      </c>
      <c r="DP227" s="3">
        <v>1</v>
      </c>
      <c r="DQ227" s="3">
        <v>1</v>
      </c>
      <c r="DU227" s="3">
        <v>1010</v>
      </c>
      <c r="DV227" s="3" t="s">
        <v>251</v>
      </c>
      <c r="DW227" s="3" t="s">
        <v>251</v>
      </c>
      <c r="DX227" s="3">
        <v>1</v>
      </c>
      <c r="DZ227" s="3" t="s">
        <v>3</v>
      </c>
      <c r="EA227" s="3" t="s">
        <v>3</v>
      </c>
      <c r="EB227" s="3" t="s">
        <v>3</v>
      </c>
      <c r="EC227" s="3" t="s">
        <v>3</v>
      </c>
      <c r="EE227" s="3">
        <v>57043064</v>
      </c>
      <c r="EF227" s="3">
        <v>130</v>
      </c>
      <c r="EG227" s="3" t="s">
        <v>297</v>
      </c>
      <c r="EH227" s="3">
        <v>0</v>
      </c>
      <c r="EI227" s="3" t="s">
        <v>3</v>
      </c>
      <c r="EJ227" s="3">
        <v>3</v>
      </c>
      <c r="EK227" s="3">
        <v>746</v>
      </c>
      <c r="EL227" s="3" t="s">
        <v>298</v>
      </c>
      <c r="EM227" s="3" t="s">
        <v>299</v>
      </c>
      <c r="EO227" s="3" t="s">
        <v>3</v>
      </c>
      <c r="EQ227" s="3">
        <v>0</v>
      </c>
      <c r="ER227" s="3">
        <v>53.88</v>
      </c>
      <c r="ES227" s="3">
        <v>53.88</v>
      </c>
      <c r="ET227" s="3">
        <v>0</v>
      </c>
      <c r="EU227" s="3">
        <v>0</v>
      </c>
      <c r="EV227" s="3">
        <v>0</v>
      </c>
      <c r="EW227" s="3">
        <v>0</v>
      </c>
      <c r="EX227" s="3">
        <v>0</v>
      </c>
      <c r="EY227" s="3">
        <v>0</v>
      </c>
      <c r="FQ227" s="3">
        <v>0</v>
      </c>
      <c r="FR227" s="3">
        <f>P227</f>
        <v>191.81</v>
      </c>
      <c r="FS227" s="3">
        <v>0</v>
      </c>
      <c r="FX227" s="3">
        <v>0</v>
      </c>
      <c r="FY227" s="3">
        <v>0</v>
      </c>
      <c r="GA227" s="3" t="s">
        <v>3</v>
      </c>
      <c r="GD227" s="3">
        <v>1</v>
      </c>
      <c r="GF227" s="3">
        <v>-1475251711</v>
      </c>
      <c r="GG227" s="3">
        <v>2</v>
      </c>
      <c r="GH227" s="3">
        <v>1</v>
      </c>
      <c r="GI227" s="3">
        <v>2</v>
      </c>
      <c r="GJ227" s="3">
        <v>0</v>
      </c>
      <c r="GK227" s="3">
        <v>0</v>
      </c>
      <c r="GL227" s="3">
        <f t="shared" si="178"/>
        <v>0</v>
      </c>
      <c r="GM227" s="3">
        <f t="shared" si="179"/>
        <v>191.81</v>
      </c>
      <c r="GN227" s="3">
        <f t="shared" si="180"/>
        <v>0</v>
      </c>
      <c r="GO227" s="3">
        <f t="shared" si="181"/>
        <v>0</v>
      </c>
      <c r="GP227" s="3">
        <f t="shared" si="182"/>
        <v>0</v>
      </c>
      <c r="GR227" s="3">
        <v>0</v>
      </c>
      <c r="GS227" s="3">
        <v>3</v>
      </c>
      <c r="GT227" s="3">
        <v>0</v>
      </c>
      <c r="GU227" s="3" t="s">
        <v>3</v>
      </c>
      <c r="GV227" s="3">
        <f t="shared" si="183"/>
        <v>0</v>
      </c>
      <c r="GW227" s="3">
        <v>1</v>
      </c>
      <c r="GX227" s="3">
        <f t="shared" si="184"/>
        <v>0</v>
      </c>
      <c r="HA227" s="3">
        <v>0</v>
      </c>
      <c r="HB227" s="3">
        <v>0</v>
      </c>
      <c r="HC227" s="3">
        <f t="shared" si="185"/>
        <v>0</v>
      </c>
      <c r="HE227" s="3" t="s">
        <v>3</v>
      </c>
      <c r="HF227" s="3" t="s">
        <v>3</v>
      </c>
      <c r="HM227" s="3" t="s">
        <v>3</v>
      </c>
      <c r="HN227" s="3" t="s">
        <v>3</v>
      </c>
      <c r="HO227" s="3" t="s">
        <v>3</v>
      </c>
      <c r="HP227" s="3" t="s">
        <v>3</v>
      </c>
      <c r="HQ227" s="3" t="s">
        <v>3</v>
      </c>
      <c r="HS227" s="3">
        <v>0</v>
      </c>
      <c r="IK227" s="3">
        <v>0</v>
      </c>
    </row>
    <row r="228" spans="1:255" x14ac:dyDescent="0.25">
      <c r="A228" s="2">
        <v>17</v>
      </c>
      <c r="B228" s="2">
        <v>1</v>
      </c>
      <c r="C228" s="2">
        <f>ROW(SmtRes!A223)</f>
        <v>223</v>
      </c>
      <c r="D228" s="2">
        <f>ROW(EtalonRes!A284)</f>
        <v>284</v>
      </c>
      <c r="E228" s="2" t="s">
        <v>309</v>
      </c>
      <c r="F228" s="2" t="s">
        <v>62</v>
      </c>
      <c r="G228" s="2" t="s">
        <v>310</v>
      </c>
      <c r="H228" s="2" t="s">
        <v>64</v>
      </c>
      <c r="I228" s="2">
        <f>ROUND(7/100,9)</f>
        <v>7.0000000000000007E-2</v>
      </c>
      <c r="J228" s="2">
        <v>0</v>
      </c>
      <c r="K228" s="2">
        <f>ROUND(7/100,9)</f>
        <v>7.0000000000000007E-2</v>
      </c>
      <c r="L228" s="2"/>
      <c r="M228" s="2"/>
      <c r="N228" s="2"/>
      <c r="O228" s="2">
        <f t="shared" si="159"/>
        <v>30.5</v>
      </c>
      <c r="P228" s="2">
        <f>ROUND((ROUND((AC228*AW228*I228),2)*BC228),2)</f>
        <v>5.99</v>
      </c>
      <c r="Q228" s="2">
        <f>(ROUND((ROUND((((ET228*1.2))*AV228*I228),2)*BB228),2)+ROUND((ROUND(((AE228-((EU228*1.2)))*AV228*I228),2)*BS228),2))</f>
        <v>0</v>
      </c>
      <c r="R228" s="2">
        <f>(ROUND((ROUND((((EU228*1.2))*AV228*I228),2)*BS228),2)+ROUND((ROUND(((AE228-((EU228*1.2)))*AV228*I228),2)*BS228),2))</f>
        <v>0</v>
      </c>
      <c r="S228" s="2">
        <f t="shared" si="161"/>
        <v>24.51</v>
      </c>
      <c r="T228" s="2">
        <f t="shared" si="162"/>
        <v>0</v>
      </c>
      <c r="U228" s="2">
        <f t="shared" si="163"/>
        <v>2.1107519999999997</v>
      </c>
      <c r="V228" s="2">
        <f t="shared" si="164"/>
        <v>0</v>
      </c>
      <c r="W228" s="2">
        <f t="shared" si="165"/>
        <v>0</v>
      </c>
      <c r="X228" s="2">
        <f>(ROUND((((S228+ROUND((ROUND((((EU228*1.2))*AV228*I228),2)*BS228),2))*AT228)/100),2)+ROUND(((ROUND((ROUND(((AE228-((EU228*1.2)))*AV228*I228),2)*BS228),2)*AT228)/100),2))</f>
        <v>22.06</v>
      </c>
      <c r="Y228" s="2">
        <f>(ROUND((((S228+ROUND((ROUND((((EU228*1.2))*AV228*I228),2)*BS228),2))*AU228)/100),2)+ROUND(((ROUND((ROUND(((AE228-((EU228*1.2)))*AV228*I228),2)*BS228),2)*AU228)/100),2))</f>
        <v>11.27</v>
      </c>
      <c r="Z228" s="2"/>
      <c r="AA228" s="2">
        <v>57014138</v>
      </c>
      <c r="AB228" s="2">
        <f t="shared" si="166"/>
        <v>419.96800000000002</v>
      </c>
      <c r="AC228" s="2">
        <f>ROUND(((ES228*1)),6)</f>
        <v>85.6</v>
      </c>
      <c r="AD228" s="2">
        <f>ROUND(((((ET228*1.2))-((EU228*1.2)))+AE228),6)</f>
        <v>0</v>
      </c>
      <c r="AE228" s="2">
        <f>ROUND(((EU228*1.2)),6)</f>
        <v>0</v>
      </c>
      <c r="AF228" s="2">
        <f>ROUND(((EV228*1.2)),6)</f>
        <v>334.36799999999999</v>
      </c>
      <c r="AG228" s="2">
        <f t="shared" si="168"/>
        <v>0</v>
      </c>
      <c r="AH228" s="2">
        <f>((EW228*1.2))</f>
        <v>28.799999999999997</v>
      </c>
      <c r="AI228" s="2">
        <f>((EX228*1.2))</f>
        <v>0</v>
      </c>
      <c r="AJ228" s="2">
        <f t="shared" si="170"/>
        <v>0</v>
      </c>
      <c r="AK228" s="2">
        <v>364.24</v>
      </c>
      <c r="AL228" s="2">
        <v>85.6</v>
      </c>
      <c r="AM228" s="2">
        <v>0</v>
      </c>
      <c r="AN228" s="2">
        <v>0</v>
      </c>
      <c r="AO228" s="2">
        <v>278.64</v>
      </c>
      <c r="AP228" s="2">
        <v>0</v>
      </c>
      <c r="AQ228" s="2">
        <v>24</v>
      </c>
      <c r="AR228" s="2">
        <v>0</v>
      </c>
      <c r="AS228" s="2">
        <v>0</v>
      </c>
      <c r="AT228" s="2">
        <v>90</v>
      </c>
      <c r="AU228" s="2">
        <v>46</v>
      </c>
      <c r="AV228" s="2">
        <v>1.0469999999999999</v>
      </c>
      <c r="AW228" s="2">
        <v>1</v>
      </c>
      <c r="AX228" s="2"/>
      <c r="AY228" s="2"/>
      <c r="AZ228" s="2">
        <v>1</v>
      </c>
      <c r="BA228" s="2">
        <v>1</v>
      </c>
      <c r="BB228" s="2">
        <v>1</v>
      </c>
      <c r="BC228" s="2">
        <v>1</v>
      </c>
      <c r="BD228" s="2" t="s">
        <v>3</v>
      </c>
      <c r="BE228" s="2" t="s">
        <v>3</v>
      </c>
      <c r="BF228" s="2" t="s">
        <v>3</v>
      </c>
      <c r="BG228" s="2" t="s">
        <v>3</v>
      </c>
      <c r="BH228" s="2">
        <v>0</v>
      </c>
      <c r="BI228" s="2">
        <v>2</v>
      </c>
      <c r="BJ228" s="2" t="s">
        <v>65</v>
      </c>
      <c r="BK228" s="2"/>
      <c r="BL228" s="2"/>
      <c r="BM228" s="2">
        <v>68</v>
      </c>
      <c r="BN228" s="2">
        <v>0</v>
      </c>
      <c r="BO228" s="2" t="s">
        <v>62</v>
      </c>
      <c r="BP228" s="2">
        <v>1</v>
      </c>
      <c r="BQ228" s="2">
        <v>40</v>
      </c>
      <c r="BR228" s="2">
        <v>0</v>
      </c>
      <c r="BS228" s="2">
        <v>1</v>
      </c>
      <c r="BT228" s="2">
        <v>1</v>
      </c>
      <c r="BU228" s="2">
        <v>1</v>
      </c>
      <c r="BV228" s="2">
        <v>1</v>
      </c>
      <c r="BW228" s="2">
        <v>1</v>
      </c>
      <c r="BX228" s="2">
        <v>1</v>
      </c>
      <c r="BY228" s="2" t="s">
        <v>3</v>
      </c>
      <c r="BZ228" s="2">
        <v>90</v>
      </c>
      <c r="CA228" s="2">
        <v>46</v>
      </c>
      <c r="CB228" s="2" t="s">
        <v>3</v>
      </c>
      <c r="CC228" s="2"/>
      <c r="CD228" s="2"/>
      <c r="CE228" s="2">
        <v>1566</v>
      </c>
      <c r="CF228" s="2">
        <v>0</v>
      </c>
      <c r="CG228" s="2">
        <v>0</v>
      </c>
      <c r="CH228" s="2"/>
      <c r="CI228" s="2"/>
      <c r="CJ228" s="2"/>
      <c r="CK228" s="2"/>
      <c r="CL228" s="2"/>
      <c r="CM228" s="2">
        <v>0</v>
      </c>
      <c r="CN228" s="2" t="s">
        <v>624</v>
      </c>
      <c r="CO228" s="2">
        <v>0</v>
      </c>
      <c r="CP228" s="2">
        <f t="shared" si="171"/>
        <v>30.5</v>
      </c>
      <c r="CQ228" s="2">
        <f>ROUND((ROUND((AC228*AW228*1),2)*BC228),2)</f>
        <v>85.6</v>
      </c>
      <c r="CR228" s="2">
        <f>(ROUND((ROUND((((ET228*1.2))*AV228*1),2)*BB228),2)+ROUND((ROUND(((AE228-((EU228*1.2)))*AV228*1),2)*BS228),2))</f>
        <v>0</v>
      </c>
      <c r="CS228" s="2">
        <f>(ROUND((ROUND((((EU228*1.2))*AV228*1),2)*BS228),2)+ROUND((ROUND(((AE228-((EU228*1.2)))*AV228*1),2)*BS228),2))</f>
        <v>0</v>
      </c>
      <c r="CT228" s="2">
        <f t="shared" si="173"/>
        <v>350.08</v>
      </c>
      <c r="CU228" s="2">
        <f t="shared" si="174"/>
        <v>0</v>
      </c>
      <c r="CV228" s="2">
        <f t="shared" si="175"/>
        <v>30.153599999999994</v>
      </c>
      <c r="CW228" s="2">
        <f t="shared" si="176"/>
        <v>0</v>
      </c>
      <c r="CX228" s="2">
        <f t="shared" si="177"/>
        <v>0</v>
      </c>
      <c r="CY228" s="2">
        <f>(ROUND((((S228+ROUND((ROUND((((EU228*1.2))*AV228*1),2)*BS228),2))*AT228)/100),2)+ROUND(((ROUND((ROUND(((AE228-((EU228*1.2)))*AV228*1),2)*BS228),2)*AT228)/100),2))</f>
        <v>22.06</v>
      </c>
      <c r="CZ228" s="2">
        <f>(ROUND((((S228+ROUND((ROUND((((EU228*1.2))*AV228*1),2)*BS228),2))*AU228)/100),2)+ROUND(((ROUND((ROUND(((AE228-((EU228*1.2)))*AV228*1),2)*BS228),2)*AU228)/100),2))</f>
        <v>11.27</v>
      </c>
      <c r="DA228" s="2"/>
      <c r="DB228" s="2">
        <v>91</v>
      </c>
      <c r="DC228" s="2" t="s">
        <v>3</v>
      </c>
      <c r="DD228" s="2" t="s">
        <v>70</v>
      </c>
      <c r="DE228" s="2" t="s">
        <v>71</v>
      </c>
      <c r="DF228" s="2" t="s">
        <v>71</v>
      </c>
      <c r="DG228" s="2" t="s">
        <v>71</v>
      </c>
      <c r="DH228" s="2" t="s">
        <v>3</v>
      </c>
      <c r="DI228" s="2" t="s">
        <v>71</v>
      </c>
      <c r="DJ228" s="2" t="s">
        <v>71</v>
      </c>
      <c r="DK228" s="2" t="s">
        <v>3</v>
      </c>
      <c r="DL228" s="2" t="s">
        <v>3</v>
      </c>
      <c r="DM228" s="2" t="s">
        <v>3</v>
      </c>
      <c r="DN228" s="2">
        <v>0</v>
      </c>
      <c r="DO228" s="2">
        <v>0</v>
      </c>
      <c r="DP228" s="2">
        <v>1</v>
      </c>
      <c r="DQ228" s="2">
        <v>1</v>
      </c>
      <c r="DR228" s="2"/>
      <c r="DS228" s="2"/>
      <c r="DT228" s="2"/>
      <c r="DU228" s="2">
        <v>1010</v>
      </c>
      <c r="DV228" s="2" t="s">
        <v>64</v>
      </c>
      <c r="DW228" s="2" t="s">
        <v>64</v>
      </c>
      <c r="DX228" s="2">
        <v>100</v>
      </c>
      <c r="DY228" s="2"/>
      <c r="DZ228" s="2" t="s">
        <v>3</v>
      </c>
      <c r="EA228" s="2" t="s">
        <v>3</v>
      </c>
      <c r="EB228" s="2" t="s">
        <v>3</v>
      </c>
      <c r="EC228" s="2" t="s">
        <v>3</v>
      </c>
      <c r="ED228" s="2"/>
      <c r="EE228" s="2">
        <v>57042958</v>
      </c>
      <c r="EF228" s="2">
        <v>40</v>
      </c>
      <c r="EG228" s="2" t="s">
        <v>31</v>
      </c>
      <c r="EH228" s="2">
        <v>0</v>
      </c>
      <c r="EI228" s="2" t="s">
        <v>3</v>
      </c>
      <c r="EJ228" s="2">
        <v>2</v>
      </c>
      <c r="EK228" s="2">
        <v>68</v>
      </c>
      <c r="EL228" s="2" t="s">
        <v>32</v>
      </c>
      <c r="EM228" s="2" t="s">
        <v>33</v>
      </c>
      <c r="EN228" s="2"/>
      <c r="EO228" s="2" t="s">
        <v>75</v>
      </c>
      <c r="EP228" s="2"/>
      <c r="EQ228" s="2">
        <v>0</v>
      </c>
      <c r="ER228" s="2">
        <v>364.24</v>
      </c>
      <c r="ES228" s="2">
        <v>85.6</v>
      </c>
      <c r="ET228" s="2">
        <v>0</v>
      </c>
      <c r="EU228" s="2">
        <v>0</v>
      </c>
      <c r="EV228" s="2">
        <v>278.64</v>
      </c>
      <c r="EW228" s="2">
        <v>24</v>
      </c>
      <c r="EX228" s="2">
        <v>0</v>
      </c>
      <c r="EY228" s="2">
        <v>0</v>
      </c>
      <c r="EZ228" s="2"/>
      <c r="FA228" s="2"/>
      <c r="FB228" s="2"/>
      <c r="FC228" s="2"/>
      <c r="FD228" s="2"/>
      <c r="FE228" s="2"/>
      <c r="FF228" s="2"/>
      <c r="FG228" s="2"/>
      <c r="FH228" s="2"/>
      <c r="FI228" s="2"/>
      <c r="FJ228" s="2"/>
      <c r="FK228" s="2"/>
      <c r="FL228" s="2"/>
      <c r="FM228" s="2"/>
      <c r="FN228" s="2"/>
      <c r="FO228" s="2"/>
      <c r="FP228" s="2"/>
      <c r="FQ228" s="2">
        <v>0</v>
      </c>
      <c r="FR228" s="2">
        <v>0</v>
      </c>
      <c r="FS228" s="2">
        <v>0</v>
      </c>
      <c r="FT228" s="2"/>
      <c r="FU228" s="2"/>
      <c r="FV228" s="2"/>
      <c r="FW228" s="2"/>
      <c r="FX228" s="2">
        <v>90</v>
      </c>
      <c r="FY228" s="2">
        <v>46</v>
      </c>
      <c r="FZ228" s="2"/>
      <c r="GA228" s="2" t="s">
        <v>3</v>
      </c>
      <c r="GB228" s="2"/>
      <c r="GC228" s="2"/>
      <c r="GD228" s="2">
        <v>1</v>
      </c>
      <c r="GE228" s="2"/>
      <c r="GF228" s="2">
        <v>-1655364999</v>
      </c>
      <c r="GG228" s="2">
        <v>2</v>
      </c>
      <c r="GH228" s="2">
        <v>1</v>
      </c>
      <c r="GI228" s="2">
        <v>2</v>
      </c>
      <c r="GJ228" s="2">
        <v>0</v>
      </c>
      <c r="GK228" s="2">
        <v>0</v>
      </c>
      <c r="GL228" s="2">
        <f t="shared" si="178"/>
        <v>0</v>
      </c>
      <c r="GM228" s="2">
        <f t="shared" si="179"/>
        <v>63.83</v>
      </c>
      <c r="GN228" s="2">
        <f t="shared" si="180"/>
        <v>0</v>
      </c>
      <c r="GO228" s="2">
        <f t="shared" si="181"/>
        <v>63.83</v>
      </c>
      <c r="GP228" s="2">
        <f t="shared" si="182"/>
        <v>0</v>
      </c>
      <c r="GQ228" s="2"/>
      <c r="GR228" s="2">
        <v>0</v>
      </c>
      <c r="GS228" s="2">
        <v>3</v>
      </c>
      <c r="GT228" s="2">
        <v>0</v>
      </c>
      <c r="GU228" s="2" t="s">
        <v>3</v>
      </c>
      <c r="GV228" s="2">
        <f t="shared" si="183"/>
        <v>0</v>
      </c>
      <c r="GW228" s="2">
        <v>1</v>
      </c>
      <c r="GX228" s="2">
        <f t="shared" si="184"/>
        <v>0</v>
      </c>
      <c r="GY228" s="2"/>
      <c r="GZ228" s="2"/>
      <c r="HA228" s="2">
        <v>0</v>
      </c>
      <c r="HB228" s="2">
        <v>0</v>
      </c>
      <c r="HC228" s="2">
        <f t="shared" si="185"/>
        <v>0</v>
      </c>
      <c r="HD228" s="2"/>
      <c r="HE228" s="2" t="s">
        <v>3</v>
      </c>
      <c r="HF228" s="2" t="s">
        <v>3</v>
      </c>
      <c r="HG228" s="2"/>
      <c r="HH228" s="2"/>
      <c r="HI228" s="2"/>
      <c r="HJ228" s="2"/>
      <c r="HK228" s="2"/>
      <c r="HL228" s="2"/>
      <c r="HM228" s="2" t="s">
        <v>3</v>
      </c>
      <c r="HN228" s="2" t="s">
        <v>3</v>
      </c>
      <c r="HO228" s="2" t="s">
        <v>3</v>
      </c>
      <c r="HP228" s="2" t="s">
        <v>3</v>
      </c>
      <c r="HQ228" s="2" t="s">
        <v>3</v>
      </c>
      <c r="HR228" s="2"/>
      <c r="HS228" s="2">
        <v>0</v>
      </c>
      <c r="HT228" s="2"/>
      <c r="HU228" s="2"/>
      <c r="HV228" s="2"/>
      <c r="HW228" s="2"/>
      <c r="HX228" s="2"/>
      <c r="HY228" s="2"/>
      <c r="HZ228" s="2"/>
      <c r="IA228" s="2"/>
      <c r="IB228" s="2"/>
      <c r="IC228" s="2"/>
      <c r="ID228" s="2"/>
      <c r="IE228" s="2"/>
      <c r="IF228" s="2"/>
      <c r="IG228" s="2"/>
      <c r="IH228" s="2"/>
      <c r="II228" s="2"/>
      <c r="IJ228" s="2"/>
      <c r="IK228" s="2">
        <v>0</v>
      </c>
      <c r="IL228" s="2"/>
      <c r="IM228" s="2"/>
      <c r="IN228" s="2"/>
      <c r="IO228" s="2"/>
      <c r="IP228" s="2"/>
      <c r="IQ228" s="2"/>
      <c r="IR228" s="2"/>
      <c r="IS228" s="2"/>
      <c r="IT228" s="2"/>
      <c r="IU228" s="2"/>
    </row>
    <row r="229" spans="1:255" x14ac:dyDescent="0.25">
      <c r="A229" s="3">
        <v>17</v>
      </c>
      <c r="B229" s="3">
        <v>1</v>
      </c>
      <c r="C229" s="3">
        <f>ROW(SmtRes!A228)</f>
        <v>228</v>
      </c>
      <c r="D229" s="3">
        <f>ROW(EtalonRes!A290)</f>
        <v>290</v>
      </c>
      <c r="E229" s="3" t="s">
        <v>309</v>
      </c>
      <c r="F229" s="3" t="s">
        <v>62</v>
      </c>
      <c r="G229" s="3" t="s">
        <v>310</v>
      </c>
      <c r="H229" s="3" t="s">
        <v>64</v>
      </c>
      <c r="I229" s="3">
        <f>ROUND(7/100,9)</f>
        <v>7.0000000000000007E-2</v>
      </c>
      <c r="J229" s="3">
        <v>0</v>
      </c>
      <c r="K229" s="3">
        <f>ROUND(7/100,9)</f>
        <v>7.0000000000000007E-2</v>
      </c>
      <c r="O229" s="3">
        <f t="shared" si="159"/>
        <v>1411.45</v>
      </c>
      <c r="P229" s="3">
        <f>ROUND((ROUND((AC229*AW229*I229),2)*BC229),2)</f>
        <v>30.31</v>
      </c>
      <c r="Q229" s="3">
        <f>(ROUND((ROUND((((ET229*1.2))*AV229*I229),2)*BB229),2)+ROUND((ROUND(((AE229-((EU229*1.2)))*AV229*I229),2)*BS229),2))</f>
        <v>0</v>
      </c>
      <c r="R229" s="3">
        <f>(ROUND((ROUND((((EU229*1.2))*AV229*I229),2)*BS229),2)+ROUND((ROUND(((AE229-((EU229*1.2)))*AV229*I229),2)*BS229),2))</f>
        <v>0</v>
      </c>
      <c r="S229" s="3">
        <f t="shared" si="161"/>
        <v>1381.14</v>
      </c>
      <c r="T229" s="3">
        <f t="shared" si="162"/>
        <v>0</v>
      </c>
      <c r="U229" s="3">
        <f t="shared" si="163"/>
        <v>2.1107519999999997</v>
      </c>
      <c r="V229" s="3">
        <f t="shared" si="164"/>
        <v>0</v>
      </c>
      <c r="W229" s="3">
        <f t="shared" si="165"/>
        <v>0</v>
      </c>
      <c r="X229" s="3">
        <f>(ROUND((((S229+ROUND((ROUND((((EU229*1.2))*AV229*I229),2)*BS229),2))*AT229)/100),2)+ROUND(((ROUND((ROUND(((AE229-((EU229*1.2)))*AV229*I229),2)*BS229),2)*AT229)/100),2))</f>
        <v>1243.03</v>
      </c>
      <c r="Y229" s="3">
        <f>(ROUND((((S229+ROUND((ROUND((((EU229*1.2))*AV229*I229),2)*BS229),2))*AU229)/100),2)+ROUND(((ROUND((ROUND(((AE229-((EU229*1.2)))*AV229*I229),2)*BS229),2)*AU229)/100),2))</f>
        <v>635.32000000000005</v>
      </c>
      <c r="AA229" s="3">
        <v>57014140</v>
      </c>
      <c r="AB229" s="3">
        <f t="shared" si="166"/>
        <v>419.96800000000002</v>
      </c>
      <c r="AC229" s="3">
        <f>ROUND(((ES229*1)),6)</f>
        <v>85.6</v>
      </c>
      <c r="AD229" s="3">
        <f>ROUND(((((ET229*1.2))-((EU229*1.2)))+AE229),6)</f>
        <v>0</v>
      </c>
      <c r="AE229" s="3">
        <f>ROUND(((EU229*1.2)),6)</f>
        <v>0</v>
      </c>
      <c r="AF229" s="3">
        <f>ROUND(((EV229*1.2)),6)</f>
        <v>334.36799999999999</v>
      </c>
      <c r="AG229" s="3">
        <f t="shared" si="168"/>
        <v>0</v>
      </c>
      <c r="AH229" s="3">
        <f>((EW229*1.2))</f>
        <v>28.799999999999997</v>
      </c>
      <c r="AI229" s="3">
        <f>((EX229*1.2))</f>
        <v>0</v>
      </c>
      <c r="AJ229" s="3">
        <f t="shared" si="170"/>
        <v>0</v>
      </c>
      <c r="AK229" s="3">
        <v>364.24</v>
      </c>
      <c r="AL229" s="3">
        <v>85.6</v>
      </c>
      <c r="AM229" s="3">
        <v>0</v>
      </c>
      <c r="AN229" s="3">
        <v>0</v>
      </c>
      <c r="AO229" s="3">
        <v>278.64</v>
      </c>
      <c r="AP229" s="3">
        <v>0</v>
      </c>
      <c r="AQ229" s="3">
        <v>24</v>
      </c>
      <c r="AR229" s="3">
        <v>0</v>
      </c>
      <c r="AS229" s="3">
        <v>0</v>
      </c>
      <c r="AT229" s="3">
        <v>90</v>
      </c>
      <c r="AU229" s="3">
        <v>46</v>
      </c>
      <c r="AV229" s="3">
        <v>1.0469999999999999</v>
      </c>
      <c r="AW229" s="3">
        <v>1</v>
      </c>
      <c r="AZ229" s="3">
        <v>1</v>
      </c>
      <c r="BA229" s="3">
        <v>56.35</v>
      </c>
      <c r="BB229" s="3">
        <v>1</v>
      </c>
      <c r="BC229" s="3">
        <v>5.0599999999999996</v>
      </c>
      <c r="BD229" s="3" t="s">
        <v>3</v>
      </c>
      <c r="BE229" s="3" t="s">
        <v>3</v>
      </c>
      <c r="BF229" s="3" t="s">
        <v>3</v>
      </c>
      <c r="BG229" s="3" t="s">
        <v>3</v>
      </c>
      <c r="BH229" s="3">
        <v>0</v>
      </c>
      <c r="BI229" s="3">
        <v>2</v>
      </c>
      <c r="BJ229" s="3" t="s">
        <v>65</v>
      </c>
      <c r="BM229" s="3">
        <v>68</v>
      </c>
      <c r="BN229" s="3">
        <v>0</v>
      </c>
      <c r="BO229" s="3" t="s">
        <v>62</v>
      </c>
      <c r="BP229" s="3">
        <v>1</v>
      </c>
      <c r="BQ229" s="3">
        <v>40</v>
      </c>
      <c r="BR229" s="3">
        <v>0</v>
      </c>
      <c r="BS229" s="3">
        <v>56.35</v>
      </c>
      <c r="BT229" s="3">
        <v>1</v>
      </c>
      <c r="BU229" s="3">
        <v>1</v>
      </c>
      <c r="BV229" s="3">
        <v>1</v>
      </c>
      <c r="BW229" s="3">
        <v>1</v>
      </c>
      <c r="BX229" s="3">
        <v>1</v>
      </c>
      <c r="BY229" s="3" t="s">
        <v>3</v>
      </c>
      <c r="BZ229" s="3">
        <v>90</v>
      </c>
      <c r="CA229" s="3">
        <v>46</v>
      </c>
      <c r="CB229" s="3" t="s">
        <v>3</v>
      </c>
      <c r="CE229" s="3">
        <v>1566</v>
      </c>
      <c r="CF229" s="3">
        <v>0</v>
      </c>
      <c r="CG229" s="3">
        <v>0</v>
      </c>
      <c r="CM229" s="3">
        <v>0</v>
      </c>
      <c r="CN229" s="3" t="s">
        <v>624</v>
      </c>
      <c r="CO229" s="3">
        <v>0</v>
      </c>
      <c r="CP229" s="3">
        <f t="shared" si="171"/>
        <v>1411.45</v>
      </c>
      <c r="CQ229" s="3">
        <f>ROUND((ROUND((AC229*AW229*1),2)*BC229),2)</f>
        <v>433.14</v>
      </c>
      <c r="CR229" s="3">
        <f>(ROUND((ROUND((((ET229*1.2))*AV229*1),2)*BB229),2)+ROUND((ROUND(((AE229-((EU229*1.2)))*AV229*1),2)*BS229),2))</f>
        <v>0</v>
      </c>
      <c r="CS229" s="3">
        <f>(ROUND((ROUND((((EU229*1.2))*AV229*1),2)*BS229),2)+ROUND((ROUND(((AE229-((EU229*1.2)))*AV229*1),2)*BS229),2))</f>
        <v>0</v>
      </c>
      <c r="CT229" s="3">
        <f t="shared" si="173"/>
        <v>19727.009999999998</v>
      </c>
      <c r="CU229" s="3">
        <f t="shared" si="174"/>
        <v>0</v>
      </c>
      <c r="CV229" s="3">
        <f t="shared" si="175"/>
        <v>30.153599999999994</v>
      </c>
      <c r="CW229" s="3">
        <f t="shared" si="176"/>
        <v>0</v>
      </c>
      <c r="CX229" s="3">
        <f t="shared" si="177"/>
        <v>0</v>
      </c>
      <c r="CY229" s="3">
        <f>(ROUND((((S229+ROUND((ROUND((((EU229*1.2))*AV229*1),2)*BS229),2))*AT229)/100),2)+ROUND(((ROUND((ROUND(((AE229-((EU229*1.2)))*AV229*1),2)*BS229),2)*AT229)/100),2))</f>
        <v>1243.03</v>
      </c>
      <c r="CZ229" s="3">
        <f>(ROUND((((S229+ROUND((ROUND((((EU229*1.2))*AV229*1),2)*BS229),2))*AU229)/100),2)+ROUND(((ROUND((ROUND(((AE229-((EU229*1.2)))*AV229*1),2)*BS229),2)*AU229)/100),2))</f>
        <v>635.32000000000005</v>
      </c>
      <c r="DB229" s="3">
        <v>92</v>
      </c>
      <c r="DC229" s="3" t="s">
        <v>3</v>
      </c>
      <c r="DD229" s="3" t="s">
        <v>70</v>
      </c>
      <c r="DE229" s="3" t="s">
        <v>71</v>
      </c>
      <c r="DF229" s="3" t="s">
        <v>71</v>
      </c>
      <c r="DG229" s="3" t="s">
        <v>71</v>
      </c>
      <c r="DH229" s="3" t="s">
        <v>3</v>
      </c>
      <c r="DI229" s="3" t="s">
        <v>71</v>
      </c>
      <c r="DJ229" s="3" t="s">
        <v>71</v>
      </c>
      <c r="DK229" s="3" t="s">
        <v>3</v>
      </c>
      <c r="DL229" s="3" t="s">
        <v>3</v>
      </c>
      <c r="DM229" s="3" t="s">
        <v>3</v>
      </c>
      <c r="DN229" s="3">
        <v>0</v>
      </c>
      <c r="DO229" s="3">
        <v>0</v>
      </c>
      <c r="DP229" s="3">
        <v>1</v>
      </c>
      <c r="DQ229" s="3">
        <v>1</v>
      </c>
      <c r="DU229" s="3">
        <v>1010</v>
      </c>
      <c r="DV229" s="3" t="s">
        <v>64</v>
      </c>
      <c r="DW229" s="3" t="s">
        <v>64</v>
      </c>
      <c r="DX229" s="3">
        <v>100</v>
      </c>
      <c r="DZ229" s="3" t="s">
        <v>3</v>
      </c>
      <c r="EA229" s="3" t="s">
        <v>3</v>
      </c>
      <c r="EB229" s="3" t="s">
        <v>3</v>
      </c>
      <c r="EC229" s="3" t="s">
        <v>3</v>
      </c>
      <c r="EE229" s="3">
        <v>57042958</v>
      </c>
      <c r="EF229" s="3">
        <v>40</v>
      </c>
      <c r="EG229" s="3" t="s">
        <v>31</v>
      </c>
      <c r="EH229" s="3">
        <v>0</v>
      </c>
      <c r="EI229" s="3" t="s">
        <v>3</v>
      </c>
      <c r="EJ229" s="3">
        <v>2</v>
      </c>
      <c r="EK229" s="3">
        <v>68</v>
      </c>
      <c r="EL229" s="3" t="s">
        <v>32</v>
      </c>
      <c r="EM229" s="3" t="s">
        <v>33</v>
      </c>
      <c r="EO229" s="3" t="s">
        <v>75</v>
      </c>
      <c r="EQ229" s="3">
        <v>0</v>
      </c>
      <c r="ER229" s="3">
        <v>364.24</v>
      </c>
      <c r="ES229" s="3">
        <v>85.6</v>
      </c>
      <c r="ET229" s="3">
        <v>0</v>
      </c>
      <c r="EU229" s="3">
        <v>0</v>
      </c>
      <c r="EV229" s="3">
        <v>278.64</v>
      </c>
      <c r="EW229" s="3">
        <v>24</v>
      </c>
      <c r="EX229" s="3">
        <v>0</v>
      </c>
      <c r="EY229" s="3">
        <v>0</v>
      </c>
      <c r="FQ229" s="3">
        <v>0</v>
      </c>
      <c r="FR229" s="3">
        <v>0</v>
      </c>
      <c r="FS229" s="3">
        <v>0</v>
      </c>
      <c r="FX229" s="3">
        <v>90</v>
      </c>
      <c r="FY229" s="3">
        <v>46</v>
      </c>
      <c r="GA229" s="3" t="s">
        <v>3</v>
      </c>
      <c r="GD229" s="3">
        <v>1</v>
      </c>
      <c r="GF229" s="3">
        <v>-1655364999</v>
      </c>
      <c r="GG229" s="3">
        <v>2</v>
      </c>
      <c r="GH229" s="3">
        <v>1</v>
      </c>
      <c r="GI229" s="3">
        <v>2</v>
      </c>
      <c r="GJ229" s="3">
        <v>0</v>
      </c>
      <c r="GK229" s="3">
        <v>0</v>
      </c>
      <c r="GL229" s="3">
        <f t="shared" si="178"/>
        <v>0</v>
      </c>
      <c r="GM229" s="3">
        <f t="shared" si="179"/>
        <v>3289.8</v>
      </c>
      <c r="GN229" s="3">
        <f t="shared" si="180"/>
        <v>0</v>
      </c>
      <c r="GO229" s="3">
        <f t="shared" si="181"/>
        <v>3289.8</v>
      </c>
      <c r="GP229" s="3">
        <f t="shared" si="182"/>
        <v>0</v>
      </c>
      <c r="GR229" s="3">
        <v>0</v>
      </c>
      <c r="GS229" s="3">
        <v>3</v>
      </c>
      <c r="GT229" s="3">
        <v>0</v>
      </c>
      <c r="GU229" s="3" t="s">
        <v>3</v>
      </c>
      <c r="GV229" s="3">
        <f t="shared" si="183"/>
        <v>0</v>
      </c>
      <c r="GW229" s="3">
        <v>1</v>
      </c>
      <c r="GX229" s="3">
        <f t="shared" si="184"/>
        <v>0</v>
      </c>
      <c r="HA229" s="3">
        <v>0</v>
      </c>
      <c r="HB229" s="3">
        <v>0</v>
      </c>
      <c r="HC229" s="3">
        <f t="shared" si="185"/>
        <v>0</v>
      </c>
      <c r="HE229" s="3" t="s">
        <v>3</v>
      </c>
      <c r="HF229" s="3" t="s">
        <v>3</v>
      </c>
      <c r="HM229" s="3" t="s">
        <v>3</v>
      </c>
      <c r="HN229" s="3" t="s">
        <v>3</v>
      </c>
      <c r="HO229" s="3" t="s">
        <v>3</v>
      </c>
      <c r="HP229" s="3" t="s">
        <v>3</v>
      </c>
      <c r="HQ229" s="3" t="s">
        <v>3</v>
      </c>
      <c r="HS229" s="3">
        <v>0</v>
      </c>
      <c r="IK229" s="3">
        <v>0</v>
      </c>
    </row>
    <row r="230" spans="1:255" x14ac:dyDescent="0.25">
      <c r="A230" s="2">
        <v>17</v>
      </c>
      <c r="B230" s="2">
        <v>1</v>
      </c>
      <c r="C230" s="2"/>
      <c r="D230" s="2"/>
      <c r="E230" s="2" t="s">
        <v>311</v>
      </c>
      <c r="F230" s="2" t="s">
        <v>312</v>
      </c>
      <c r="G230" s="2" t="s">
        <v>313</v>
      </c>
      <c r="H230" s="2" t="s">
        <v>152</v>
      </c>
      <c r="I230" s="2">
        <v>7</v>
      </c>
      <c r="J230" s="2">
        <v>0</v>
      </c>
      <c r="K230" s="2">
        <v>7</v>
      </c>
      <c r="L230" s="2"/>
      <c r="M230" s="2"/>
      <c r="N230" s="2"/>
      <c r="O230" s="2">
        <f t="shared" si="159"/>
        <v>4138.3999999999996</v>
      </c>
      <c r="P230" s="2">
        <f>ROUND((ROUND((AC230*AW230*I230),2)*BC230),2)</f>
        <v>4138.3999999999996</v>
      </c>
      <c r="Q230" s="2">
        <f>(ROUND((ROUND(((ET230)*AV230*I230),2)*BB230),2)+ROUND((ROUND(((AE230-(EU230))*AV230*I230),2)*BS230),2))</f>
        <v>0</v>
      </c>
      <c r="R230" s="2">
        <f>(ROUND((ROUND(((EU230)*AV230*I230),2)*BS230),2)+ROUND((ROUND(((AE230-(EU230))*AV230*I230),2)*BS230),2))</f>
        <v>0</v>
      </c>
      <c r="S230" s="2">
        <f t="shared" si="161"/>
        <v>0</v>
      </c>
      <c r="T230" s="2">
        <f t="shared" si="162"/>
        <v>0</v>
      </c>
      <c r="U230" s="2">
        <f t="shared" si="163"/>
        <v>0</v>
      </c>
      <c r="V230" s="2">
        <f t="shared" si="164"/>
        <v>0</v>
      </c>
      <c r="W230" s="2">
        <f t="shared" si="165"/>
        <v>0</v>
      </c>
      <c r="X230" s="2">
        <f>(ROUND((((S230+ROUND((ROUND(((EU230)*AV230*I230),2)*BS230),2))*AT230)/100),2)+ROUND(((ROUND((ROUND(((AE230-(EU230))*AV230*I230),2)*BS230),2)*AT230)/100),2))</f>
        <v>0</v>
      </c>
      <c r="Y230" s="2">
        <f>(ROUND((((S230+ROUND((ROUND(((EU230)*AV230*I230),2)*BS230),2))*AU230)/100),2)+ROUND(((ROUND((ROUND(((AE230-(EU230))*AV230*I230),2)*BS230),2)*AU230)/100),2))</f>
        <v>0</v>
      </c>
      <c r="Z230" s="2"/>
      <c r="AA230" s="2">
        <v>57014138</v>
      </c>
      <c r="AB230" s="2">
        <f t="shared" si="166"/>
        <v>591.20000000000005</v>
      </c>
      <c r="AC230" s="2">
        <f>ROUND((ES230),6)</f>
        <v>591.20000000000005</v>
      </c>
      <c r="AD230" s="2">
        <f>ROUND((((ET230)-(EU230))+AE230),6)</f>
        <v>0</v>
      </c>
      <c r="AE230" s="2">
        <f>ROUND((EU230),6)</f>
        <v>0</v>
      </c>
      <c r="AF230" s="2">
        <f>ROUND((EV230),6)</f>
        <v>0</v>
      </c>
      <c r="AG230" s="2">
        <f t="shared" si="168"/>
        <v>0</v>
      </c>
      <c r="AH230" s="2">
        <f>(EW230)</f>
        <v>0</v>
      </c>
      <c r="AI230" s="2">
        <f>(EX230)</f>
        <v>0</v>
      </c>
      <c r="AJ230" s="2">
        <f t="shared" si="170"/>
        <v>0</v>
      </c>
      <c r="AK230" s="2">
        <v>591.19999999999993</v>
      </c>
      <c r="AL230" s="2">
        <v>591.19999999999993</v>
      </c>
      <c r="AM230" s="2">
        <v>0</v>
      </c>
      <c r="AN230" s="2">
        <v>0</v>
      </c>
      <c r="AO230" s="2">
        <v>0</v>
      </c>
      <c r="AP230" s="2">
        <v>0</v>
      </c>
      <c r="AQ230" s="2">
        <v>0</v>
      </c>
      <c r="AR230" s="2">
        <v>0</v>
      </c>
      <c r="AS230" s="2">
        <v>0</v>
      </c>
      <c r="AT230" s="2">
        <v>0</v>
      </c>
      <c r="AU230" s="2">
        <v>0</v>
      </c>
      <c r="AV230" s="2">
        <v>1</v>
      </c>
      <c r="AW230" s="2">
        <v>1</v>
      </c>
      <c r="AX230" s="2"/>
      <c r="AY230" s="2"/>
      <c r="AZ230" s="2">
        <v>1</v>
      </c>
      <c r="BA230" s="2">
        <v>1</v>
      </c>
      <c r="BB230" s="2">
        <v>1</v>
      </c>
      <c r="BC230" s="2">
        <v>1</v>
      </c>
      <c r="BD230" s="2" t="s">
        <v>3</v>
      </c>
      <c r="BE230" s="2" t="s">
        <v>3</v>
      </c>
      <c r="BF230" s="2" t="s">
        <v>3</v>
      </c>
      <c r="BG230" s="2" t="s">
        <v>3</v>
      </c>
      <c r="BH230" s="2">
        <v>3</v>
      </c>
      <c r="BI230" s="2">
        <v>3</v>
      </c>
      <c r="BJ230" s="2" t="s">
        <v>312</v>
      </c>
      <c r="BK230" s="2"/>
      <c r="BL230" s="2"/>
      <c r="BM230" s="2">
        <v>400007</v>
      </c>
      <c r="BN230" s="2">
        <v>0</v>
      </c>
      <c r="BO230" s="2" t="s">
        <v>3</v>
      </c>
      <c r="BP230" s="2">
        <v>0</v>
      </c>
      <c r="BQ230" s="2">
        <v>214</v>
      </c>
      <c r="BR230" s="2">
        <v>0</v>
      </c>
      <c r="BS230" s="2">
        <v>1</v>
      </c>
      <c r="BT230" s="2">
        <v>1</v>
      </c>
      <c r="BU230" s="2">
        <v>1</v>
      </c>
      <c r="BV230" s="2">
        <v>1</v>
      </c>
      <c r="BW230" s="2">
        <v>1</v>
      </c>
      <c r="BX230" s="2">
        <v>1</v>
      </c>
      <c r="BY230" s="2" t="s">
        <v>3</v>
      </c>
      <c r="BZ230" s="2">
        <v>0</v>
      </c>
      <c r="CA230" s="2">
        <v>0</v>
      </c>
      <c r="CB230" s="2" t="s">
        <v>3</v>
      </c>
      <c r="CC230" s="2"/>
      <c r="CD230" s="2"/>
      <c r="CE230" s="2">
        <v>1566</v>
      </c>
      <c r="CF230" s="2">
        <v>0</v>
      </c>
      <c r="CG230" s="2">
        <v>0</v>
      </c>
      <c r="CH230" s="2"/>
      <c r="CI230" s="2"/>
      <c r="CJ230" s="2"/>
      <c r="CK230" s="2"/>
      <c r="CL230" s="2"/>
      <c r="CM230" s="2">
        <v>0</v>
      </c>
      <c r="CN230" s="2" t="s">
        <v>3</v>
      </c>
      <c r="CO230" s="2">
        <v>0</v>
      </c>
      <c r="CP230" s="2">
        <f t="shared" si="171"/>
        <v>4138.3999999999996</v>
      </c>
      <c r="CQ230" s="2">
        <f>ROUND((ROUND((AC230*AW230*1),2)*BC230),2)</f>
        <v>591.20000000000005</v>
      </c>
      <c r="CR230" s="2">
        <f>(ROUND((ROUND(((ET230)*AV230*1),2)*BB230),2)+ROUND((ROUND(((AE230-(EU230))*AV230*1),2)*BS230),2))</f>
        <v>0</v>
      </c>
      <c r="CS230" s="2">
        <f>(ROUND((ROUND(((EU230)*AV230*1),2)*BS230),2)+ROUND((ROUND(((AE230-(EU230))*AV230*1),2)*BS230),2))</f>
        <v>0</v>
      </c>
      <c r="CT230" s="2">
        <f t="shared" si="173"/>
        <v>0</v>
      </c>
      <c r="CU230" s="2">
        <f t="shared" si="174"/>
        <v>0</v>
      </c>
      <c r="CV230" s="2">
        <f t="shared" si="175"/>
        <v>0</v>
      </c>
      <c r="CW230" s="2">
        <f t="shared" si="176"/>
        <v>0</v>
      </c>
      <c r="CX230" s="2">
        <f t="shared" si="177"/>
        <v>0</v>
      </c>
      <c r="CY230" s="2">
        <f>(ROUND((((S230+ROUND((ROUND(((EU230)*AV230*1),2)*BS230),2))*AT230)/100),2)+ROUND(((ROUND((ROUND(((AE230-(EU230))*AV230*1),2)*BS230),2)*AT230)/100),2))</f>
        <v>0</v>
      </c>
      <c r="CZ230" s="2">
        <f>(ROUND((((S230+ROUND((ROUND(((EU230)*AV230*1),2)*BS230),2))*AU230)/100),2)+ROUND(((ROUND((ROUND(((AE230-(EU230))*AV230*1),2)*BS230),2)*AU230)/100),2))</f>
        <v>0</v>
      </c>
      <c r="DA230" s="2"/>
      <c r="DB230" s="2"/>
      <c r="DC230" s="2" t="s">
        <v>3</v>
      </c>
      <c r="DD230" s="2" t="s">
        <v>3</v>
      </c>
      <c r="DE230" s="2" t="s">
        <v>3</v>
      </c>
      <c r="DF230" s="2" t="s">
        <v>3</v>
      </c>
      <c r="DG230" s="2" t="s">
        <v>3</v>
      </c>
      <c r="DH230" s="2" t="s">
        <v>3</v>
      </c>
      <c r="DI230" s="2" t="s">
        <v>3</v>
      </c>
      <c r="DJ230" s="2" t="s">
        <v>3</v>
      </c>
      <c r="DK230" s="2" t="s">
        <v>3</v>
      </c>
      <c r="DL230" s="2" t="s">
        <v>3</v>
      </c>
      <c r="DM230" s="2" t="s">
        <v>3</v>
      </c>
      <c r="DN230" s="2">
        <v>0</v>
      </c>
      <c r="DO230" s="2">
        <v>0</v>
      </c>
      <c r="DP230" s="2">
        <v>1</v>
      </c>
      <c r="DQ230" s="2">
        <v>1</v>
      </c>
      <c r="DR230" s="2"/>
      <c r="DS230" s="2"/>
      <c r="DT230" s="2"/>
      <c r="DU230" s="2">
        <v>1013</v>
      </c>
      <c r="DV230" s="2" t="s">
        <v>152</v>
      </c>
      <c r="DW230" s="2" t="s">
        <v>152</v>
      </c>
      <c r="DX230" s="2">
        <v>1</v>
      </c>
      <c r="DY230" s="2"/>
      <c r="DZ230" s="2" t="s">
        <v>3</v>
      </c>
      <c r="EA230" s="2" t="s">
        <v>3</v>
      </c>
      <c r="EB230" s="2" t="s">
        <v>3</v>
      </c>
      <c r="EC230" s="2" t="s">
        <v>3</v>
      </c>
      <c r="ED230" s="2"/>
      <c r="EE230" s="2">
        <v>57042890</v>
      </c>
      <c r="EF230" s="2">
        <v>214</v>
      </c>
      <c r="EG230" s="2" t="s">
        <v>153</v>
      </c>
      <c r="EH230" s="2">
        <v>0</v>
      </c>
      <c r="EI230" s="2" t="s">
        <v>3</v>
      </c>
      <c r="EJ230" s="2">
        <v>3</v>
      </c>
      <c r="EK230" s="2">
        <v>400007</v>
      </c>
      <c r="EL230" s="2" t="s">
        <v>153</v>
      </c>
      <c r="EM230" s="2" t="s">
        <v>154</v>
      </c>
      <c r="EN230" s="2"/>
      <c r="EO230" s="2" t="s">
        <v>3</v>
      </c>
      <c r="EP230" s="2"/>
      <c r="EQ230" s="2">
        <v>16</v>
      </c>
      <c r="ER230" s="2">
        <v>0</v>
      </c>
      <c r="ES230" s="2">
        <v>591.19999999999993</v>
      </c>
      <c r="ET230" s="2">
        <v>0</v>
      </c>
      <c r="EU230" s="2">
        <v>0</v>
      </c>
      <c r="EV230" s="2">
        <v>0</v>
      </c>
      <c r="EW230" s="2">
        <v>0</v>
      </c>
      <c r="EX230" s="2">
        <v>0</v>
      </c>
      <c r="EY230" s="2">
        <v>0</v>
      </c>
      <c r="EZ230" s="2"/>
      <c r="FA230" s="2"/>
      <c r="FB230" s="2"/>
      <c r="FC230" s="2"/>
      <c r="FD230" s="2"/>
      <c r="FE230" s="2"/>
      <c r="FF230" s="2"/>
      <c r="FG230" s="2"/>
      <c r="FH230" s="2"/>
      <c r="FI230" s="2"/>
      <c r="FJ230" s="2"/>
      <c r="FK230" s="2"/>
      <c r="FL230" s="2"/>
      <c r="FM230" s="2"/>
      <c r="FN230" s="2"/>
      <c r="FO230" s="2"/>
      <c r="FP230" s="2"/>
      <c r="FQ230" s="2">
        <v>0</v>
      </c>
      <c r="FR230" s="2">
        <f>P230</f>
        <v>4138.3999999999996</v>
      </c>
      <c r="FS230" s="2">
        <v>0</v>
      </c>
      <c r="FT230" s="2"/>
      <c r="FU230" s="2"/>
      <c r="FV230" s="2"/>
      <c r="FW230" s="2"/>
      <c r="FX230" s="2">
        <v>0</v>
      </c>
      <c r="FY230" s="2">
        <v>0</v>
      </c>
      <c r="FZ230" s="2"/>
      <c r="GA230" s="2" t="s">
        <v>314</v>
      </c>
      <c r="GB230" s="2"/>
      <c r="GC230" s="2"/>
      <c r="GD230" s="2">
        <v>1</v>
      </c>
      <c r="GE230" s="2"/>
      <c r="GF230" s="2">
        <v>-14074550</v>
      </c>
      <c r="GG230" s="2">
        <v>2</v>
      </c>
      <c r="GH230" s="2">
        <v>4</v>
      </c>
      <c r="GI230" s="2">
        <v>-2</v>
      </c>
      <c r="GJ230" s="2">
        <v>0</v>
      </c>
      <c r="GK230" s="2">
        <v>0</v>
      </c>
      <c r="GL230" s="2">
        <f t="shared" si="178"/>
        <v>0</v>
      </c>
      <c r="GM230" s="2">
        <f t="shared" si="179"/>
        <v>4138.3999999999996</v>
      </c>
      <c r="GN230" s="2">
        <f t="shared" si="180"/>
        <v>0</v>
      </c>
      <c r="GO230" s="2">
        <f t="shared" si="181"/>
        <v>0</v>
      </c>
      <c r="GP230" s="2">
        <f t="shared" si="182"/>
        <v>0</v>
      </c>
      <c r="GQ230" s="2"/>
      <c r="GR230" s="2">
        <v>1</v>
      </c>
      <c r="GS230" s="2">
        <v>2</v>
      </c>
      <c r="GT230" s="2">
        <v>0</v>
      </c>
      <c r="GU230" s="2" t="s">
        <v>3</v>
      </c>
      <c r="GV230" s="2">
        <f t="shared" si="183"/>
        <v>0</v>
      </c>
      <c r="GW230" s="2">
        <v>1</v>
      </c>
      <c r="GX230" s="2">
        <f t="shared" si="184"/>
        <v>0</v>
      </c>
      <c r="GY230" s="2"/>
      <c r="GZ230" s="2"/>
      <c r="HA230" s="2">
        <v>0</v>
      </c>
      <c r="HB230" s="2">
        <v>0</v>
      </c>
      <c r="HC230" s="2">
        <f t="shared" si="185"/>
        <v>0</v>
      </c>
      <c r="HD230" s="2"/>
      <c r="HE230" s="2" t="s">
        <v>39</v>
      </c>
      <c r="HF230" s="2" t="s">
        <v>156</v>
      </c>
      <c r="HG230" s="2"/>
      <c r="HH230" s="2"/>
      <c r="HI230" s="2"/>
      <c r="HJ230" s="2"/>
      <c r="HK230" s="2"/>
      <c r="HL230" s="2"/>
      <c r="HM230" s="2" t="s">
        <v>3</v>
      </c>
      <c r="HN230" s="2" t="s">
        <v>3</v>
      </c>
      <c r="HO230" s="2" t="s">
        <v>3</v>
      </c>
      <c r="HP230" s="2" t="s">
        <v>3</v>
      </c>
      <c r="HQ230" s="2" t="s">
        <v>3</v>
      </c>
      <c r="HR230" s="2"/>
      <c r="HS230" s="2">
        <v>0</v>
      </c>
      <c r="HT230" s="2"/>
      <c r="HU230" s="2"/>
      <c r="HV230" s="2"/>
      <c r="HW230" s="2"/>
      <c r="HX230" s="2"/>
      <c r="HY230" s="2"/>
      <c r="HZ230" s="2"/>
      <c r="IA230" s="2"/>
      <c r="IB230" s="2"/>
      <c r="IC230" s="2"/>
      <c r="ID230" s="2"/>
      <c r="IE230" s="2"/>
      <c r="IF230" s="2"/>
      <c r="IG230" s="2"/>
      <c r="IH230" s="2"/>
      <c r="II230" s="2"/>
      <c r="IJ230" s="2"/>
      <c r="IK230" s="2">
        <v>0</v>
      </c>
      <c r="IL230" s="2"/>
      <c r="IM230" s="2"/>
      <c r="IN230" s="2"/>
      <c r="IO230" s="2"/>
      <c r="IP230" s="2"/>
      <c r="IQ230" s="2"/>
      <c r="IR230" s="2"/>
      <c r="IS230" s="2"/>
      <c r="IT230" s="2"/>
      <c r="IU230" s="2"/>
    </row>
    <row r="231" spans="1:255" x14ac:dyDescent="0.25">
      <c r="A231" s="3">
        <v>17</v>
      </c>
      <c r="B231" s="3">
        <v>1</v>
      </c>
      <c r="E231" s="3" t="s">
        <v>311</v>
      </c>
      <c r="F231" s="3" t="s">
        <v>312</v>
      </c>
      <c r="G231" s="3" t="s">
        <v>313</v>
      </c>
      <c r="H231" s="3" t="s">
        <v>152</v>
      </c>
      <c r="I231" s="3">
        <v>7</v>
      </c>
      <c r="J231" s="3">
        <v>0</v>
      </c>
      <c r="K231" s="3">
        <v>7</v>
      </c>
      <c r="O231" s="3">
        <f t="shared" si="159"/>
        <v>31327.69</v>
      </c>
      <c r="P231" s="3">
        <f>ROUND((ROUND((AC231*AW231*I231),2)*BC231),2)</f>
        <v>31327.69</v>
      </c>
      <c r="Q231" s="3">
        <f>(ROUND((ROUND(((ET231)*AV231*I231),2)*BB231),2)+ROUND((ROUND(((AE231-(EU231))*AV231*I231),2)*BS231),2))</f>
        <v>0</v>
      </c>
      <c r="R231" s="3">
        <f>(ROUND((ROUND(((EU231)*AV231*I231),2)*BS231),2)+ROUND((ROUND(((AE231-(EU231))*AV231*I231),2)*BS231),2))</f>
        <v>0</v>
      </c>
      <c r="S231" s="3">
        <f t="shared" si="161"/>
        <v>0</v>
      </c>
      <c r="T231" s="3">
        <f t="shared" si="162"/>
        <v>0</v>
      </c>
      <c r="U231" s="3">
        <f t="shared" si="163"/>
        <v>0</v>
      </c>
      <c r="V231" s="3">
        <f t="shared" si="164"/>
        <v>0</v>
      </c>
      <c r="W231" s="3">
        <f t="shared" si="165"/>
        <v>0</v>
      </c>
      <c r="X231" s="3">
        <f>(ROUND((((S231+ROUND((ROUND(((EU231)*AV231*I231),2)*BS231),2))*AT231)/100),2)+ROUND(((ROUND((ROUND(((AE231-(EU231))*AV231*I231),2)*BS231),2)*AT231)/100),2))</f>
        <v>0</v>
      </c>
      <c r="Y231" s="3">
        <f>(ROUND((((S231+ROUND((ROUND(((EU231)*AV231*I231),2)*BS231),2))*AU231)/100),2)+ROUND(((ROUND((ROUND(((AE231-(EU231))*AV231*I231),2)*BS231),2)*AU231)/100),2))</f>
        <v>0</v>
      </c>
      <c r="AA231" s="3">
        <v>57014140</v>
      </c>
      <c r="AB231" s="3">
        <f t="shared" si="166"/>
        <v>591.20000000000005</v>
      </c>
      <c r="AC231" s="3">
        <f>ROUND((ES231),6)</f>
        <v>591.20000000000005</v>
      </c>
      <c r="AD231" s="3">
        <f>ROUND((((ET231)-(EU231))+AE231),6)</f>
        <v>0</v>
      </c>
      <c r="AE231" s="3">
        <f>ROUND((EU231),6)</f>
        <v>0</v>
      </c>
      <c r="AF231" s="3">
        <f>ROUND((EV231),6)</f>
        <v>0</v>
      </c>
      <c r="AG231" s="3">
        <f t="shared" si="168"/>
        <v>0</v>
      </c>
      <c r="AH231" s="3">
        <f>(EW231)</f>
        <v>0</v>
      </c>
      <c r="AI231" s="3">
        <f>(EX231)</f>
        <v>0</v>
      </c>
      <c r="AJ231" s="3">
        <f t="shared" si="170"/>
        <v>0</v>
      </c>
      <c r="AK231" s="3">
        <v>591.19999999999993</v>
      </c>
      <c r="AL231" s="3">
        <v>591.19999999999993</v>
      </c>
      <c r="AM231" s="3">
        <v>0</v>
      </c>
      <c r="AN231" s="3">
        <v>0</v>
      </c>
      <c r="AO231" s="3">
        <v>0</v>
      </c>
      <c r="AP231" s="3">
        <v>0</v>
      </c>
      <c r="AQ231" s="3">
        <v>0</v>
      </c>
      <c r="AR231" s="3">
        <v>0</v>
      </c>
      <c r="AS231" s="3">
        <v>0</v>
      </c>
      <c r="AT231" s="3">
        <v>0</v>
      </c>
      <c r="AU231" s="3">
        <v>0</v>
      </c>
      <c r="AV231" s="3">
        <v>1</v>
      </c>
      <c r="AW231" s="3">
        <v>1</v>
      </c>
      <c r="AZ231" s="3">
        <v>1</v>
      </c>
      <c r="BA231" s="3">
        <v>1</v>
      </c>
      <c r="BB231" s="3">
        <v>1</v>
      </c>
      <c r="BC231" s="3">
        <v>7.57</v>
      </c>
      <c r="BD231" s="3" t="s">
        <v>3</v>
      </c>
      <c r="BE231" s="3" t="s">
        <v>3</v>
      </c>
      <c r="BF231" s="3" t="s">
        <v>3</v>
      </c>
      <c r="BG231" s="3" t="s">
        <v>3</v>
      </c>
      <c r="BH231" s="3">
        <v>3</v>
      </c>
      <c r="BI231" s="3">
        <v>3</v>
      </c>
      <c r="BJ231" s="3" t="s">
        <v>312</v>
      </c>
      <c r="BM231" s="3">
        <v>400007</v>
      </c>
      <c r="BN231" s="3">
        <v>0</v>
      </c>
      <c r="BO231" s="3" t="s">
        <v>3</v>
      </c>
      <c r="BP231" s="3">
        <v>0</v>
      </c>
      <c r="BQ231" s="3">
        <v>214</v>
      </c>
      <c r="BR231" s="3">
        <v>0</v>
      </c>
      <c r="BS231" s="3">
        <v>1</v>
      </c>
      <c r="BT231" s="3">
        <v>1</v>
      </c>
      <c r="BU231" s="3">
        <v>1</v>
      </c>
      <c r="BV231" s="3">
        <v>1</v>
      </c>
      <c r="BW231" s="3">
        <v>1</v>
      </c>
      <c r="BX231" s="3">
        <v>1</v>
      </c>
      <c r="BY231" s="3" t="s">
        <v>3</v>
      </c>
      <c r="BZ231" s="3">
        <v>0</v>
      </c>
      <c r="CA231" s="3">
        <v>0</v>
      </c>
      <c r="CB231" s="3" t="s">
        <v>3</v>
      </c>
      <c r="CE231" s="3">
        <v>1566</v>
      </c>
      <c r="CF231" s="3">
        <v>0</v>
      </c>
      <c r="CG231" s="3">
        <v>0</v>
      </c>
      <c r="CM231" s="3">
        <v>0</v>
      </c>
      <c r="CN231" s="3" t="s">
        <v>3</v>
      </c>
      <c r="CO231" s="3">
        <v>0</v>
      </c>
      <c r="CP231" s="3">
        <f t="shared" si="171"/>
        <v>31327.69</v>
      </c>
      <c r="CQ231" s="3">
        <f>ROUND((ROUND((AC231*AW231*1),2)*BC231),2)</f>
        <v>4475.38</v>
      </c>
      <c r="CR231" s="3">
        <f>(ROUND((ROUND(((ET231)*AV231*1),2)*BB231),2)+ROUND((ROUND(((AE231-(EU231))*AV231*1),2)*BS231),2))</f>
        <v>0</v>
      </c>
      <c r="CS231" s="3">
        <f>(ROUND((ROUND(((EU231)*AV231*1),2)*BS231),2)+ROUND((ROUND(((AE231-(EU231))*AV231*1),2)*BS231),2))</f>
        <v>0</v>
      </c>
      <c r="CT231" s="3">
        <f t="shared" si="173"/>
        <v>0</v>
      </c>
      <c r="CU231" s="3">
        <f t="shared" si="174"/>
        <v>0</v>
      </c>
      <c r="CV231" s="3">
        <f t="shared" si="175"/>
        <v>0</v>
      </c>
      <c r="CW231" s="3">
        <f t="shared" si="176"/>
        <v>0</v>
      </c>
      <c r="CX231" s="3">
        <f t="shared" si="177"/>
        <v>0</v>
      </c>
      <c r="CY231" s="3">
        <f>(ROUND((((S231+ROUND((ROUND(((EU231)*AV231*1),2)*BS231),2))*AT231)/100),2)+ROUND(((ROUND((ROUND(((AE231-(EU231))*AV231*1),2)*BS231),2)*AT231)/100),2))</f>
        <v>0</v>
      </c>
      <c r="CZ231" s="3">
        <f>(ROUND((((S231+ROUND((ROUND(((EU231)*AV231*1),2)*BS231),2))*AU231)/100),2)+ROUND(((ROUND((ROUND(((AE231-(EU231))*AV231*1),2)*BS231),2)*AU231)/100),2))</f>
        <v>0</v>
      </c>
      <c r="DC231" s="3" t="s">
        <v>3</v>
      </c>
      <c r="DD231" s="3" t="s">
        <v>3</v>
      </c>
      <c r="DE231" s="3" t="s">
        <v>3</v>
      </c>
      <c r="DF231" s="3" t="s">
        <v>3</v>
      </c>
      <c r="DG231" s="3" t="s">
        <v>3</v>
      </c>
      <c r="DH231" s="3" t="s">
        <v>3</v>
      </c>
      <c r="DI231" s="3" t="s">
        <v>3</v>
      </c>
      <c r="DJ231" s="3" t="s">
        <v>3</v>
      </c>
      <c r="DK231" s="3" t="s">
        <v>3</v>
      </c>
      <c r="DL231" s="3" t="s">
        <v>3</v>
      </c>
      <c r="DM231" s="3" t="s">
        <v>3</v>
      </c>
      <c r="DN231" s="3">
        <v>0</v>
      </c>
      <c r="DO231" s="3">
        <v>0</v>
      </c>
      <c r="DP231" s="3">
        <v>1</v>
      </c>
      <c r="DQ231" s="3">
        <v>1</v>
      </c>
      <c r="DU231" s="3">
        <v>1013</v>
      </c>
      <c r="DV231" s="3" t="s">
        <v>152</v>
      </c>
      <c r="DW231" s="3" t="s">
        <v>152</v>
      </c>
      <c r="DX231" s="3">
        <v>1</v>
      </c>
      <c r="DZ231" s="3" t="s">
        <v>3</v>
      </c>
      <c r="EA231" s="3" t="s">
        <v>3</v>
      </c>
      <c r="EB231" s="3" t="s">
        <v>3</v>
      </c>
      <c r="EC231" s="3" t="s">
        <v>3</v>
      </c>
      <c r="EE231" s="3">
        <v>57042890</v>
      </c>
      <c r="EF231" s="3">
        <v>214</v>
      </c>
      <c r="EG231" s="3" t="s">
        <v>153</v>
      </c>
      <c r="EH231" s="3">
        <v>0</v>
      </c>
      <c r="EI231" s="3" t="s">
        <v>3</v>
      </c>
      <c r="EJ231" s="3">
        <v>3</v>
      </c>
      <c r="EK231" s="3">
        <v>400007</v>
      </c>
      <c r="EL231" s="3" t="s">
        <v>153</v>
      </c>
      <c r="EM231" s="3" t="s">
        <v>154</v>
      </c>
      <c r="EO231" s="3" t="s">
        <v>3</v>
      </c>
      <c r="EQ231" s="3">
        <v>16</v>
      </c>
      <c r="ER231" s="3">
        <v>0</v>
      </c>
      <c r="ES231" s="3">
        <v>591.19999999999993</v>
      </c>
      <c r="ET231" s="3">
        <v>0</v>
      </c>
      <c r="EU231" s="3">
        <v>0</v>
      </c>
      <c r="EV231" s="3">
        <v>0</v>
      </c>
      <c r="EW231" s="3">
        <v>0</v>
      </c>
      <c r="EX231" s="3">
        <v>0</v>
      </c>
      <c r="EY231" s="3">
        <v>0</v>
      </c>
      <c r="EZ231" s="3">
        <v>5</v>
      </c>
      <c r="FC231" s="3">
        <v>1</v>
      </c>
      <c r="FD231" s="3">
        <v>18</v>
      </c>
      <c r="FF231" s="3">
        <v>5238</v>
      </c>
      <c r="FQ231" s="3">
        <v>0</v>
      </c>
      <c r="FR231" s="3">
        <f>P231</f>
        <v>31327.69</v>
      </c>
      <c r="FS231" s="3">
        <v>0</v>
      </c>
      <c r="FX231" s="3">
        <v>0</v>
      </c>
      <c r="FY231" s="3">
        <v>0</v>
      </c>
      <c r="GA231" s="3" t="s">
        <v>314</v>
      </c>
      <c r="GD231" s="3">
        <v>1</v>
      </c>
      <c r="GF231" s="3">
        <v>-14074550</v>
      </c>
      <c r="GG231" s="3">
        <v>2</v>
      </c>
      <c r="GH231" s="3">
        <v>3</v>
      </c>
      <c r="GI231" s="3">
        <v>5</v>
      </c>
      <c r="GJ231" s="3">
        <v>0</v>
      </c>
      <c r="GK231" s="3">
        <v>0</v>
      </c>
      <c r="GL231" s="3">
        <f t="shared" si="178"/>
        <v>0</v>
      </c>
      <c r="GM231" s="3">
        <f t="shared" si="179"/>
        <v>31327.69</v>
      </c>
      <c r="GN231" s="3">
        <f t="shared" si="180"/>
        <v>0</v>
      </c>
      <c r="GO231" s="3">
        <f t="shared" si="181"/>
        <v>0</v>
      </c>
      <c r="GP231" s="3">
        <f t="shared" si="182"/>
        <v>0</v>
      </c>
      <c r="GR231" s="3">
        <v>1</v>
      </c>
      <c r="GS231" s="3">
        <v>1</v>
      </c>
      <c r="GT231" s="3">
        <v>0</v>
      </c>
      <c r="GU231" s="3" t="s">
        <v>3</v>
      </c>
      <c r="GV231" s="3">
        <f t="shared" si="183"/>
        <v>0</v>
      </c>
      <c r="GW231" s="3">
        <v>1</v>
      </c>
      <c r="GX231" s="3">
        <f t="shared" si="184"/>
        <v>0</v>
      </c>
      <c r="HA231" s="3">
        <v>0</v>
      </c>
      <c r="HB231" s="3">
        <v>0</v>
      </c>
      <c r="HC231" s="3">
        <f t="shared" si="185"/>
        <v>0</v>
      </c>
      <c r="HE231" s="3" t="s">
        <v>39</v>
      </c>
      <c r="HF231" s="3" t="s">
        <v>156</v>
      </c>
      <c r="HM231" s="3" t="s">
        <v>3</v>
      </c>
      <c r="HN231" s="3" t="s">
        <v>3</v>
      </c>
      <c r="HO231" s="3" t="s">
        <v>3</v>
      </c>
      <c r="HP231" s="3" t="s">
        <v>3</v>
      </c>
      <c r="HQ231" s="3" t="s">
        <v>3</v>
      </c>
      <c r="HS231" s="3">
        <v>0</v>
      </c>
      <c r="IK231" s="3">
        <v>0</v>
      </c>
    </row>
    <row r="233" spans="1:255" ht="13" x14ac:dyDescent="0.3">
      <c r="A233" s="11">
        <v>51</v>
      </c>
      <c r="B233" s="11">
        <f>B182</f>
        <v>1</v>
      </c>
      <c r="C233" s="11">
        <f>A182</f>
        <v>4</v>
      </c>
      <c r="D233" s="11">
        <f>ROW(A182)</f>
        <v>182</v>
      </c>
      <c r="E233" s="11"/>
      <c r="F233" s="11" t="str">
        <f>IF(F182&lt;&gt;"",F182,"")</f>
        <v>2</v>
      </c>
      <c r="G233" s="11" t="str">
        <f>IF(G182&lt;&gt;"",G182,"")</f>
        <v>Оборудование устанавливаемое по месту</v>
      </c>
      <c r="H233" s="11">
        <v>0</v>
      </c>
      <c r="I233" s="11"/>
      <c r="J233" s="11"/>
      <c r="K233" s="11"/>
      <c r="L233" s="11"/>
      <c r="M233" s="11"/>
      <c r="N233" s="11"/>
      <c r="O233" s="11">
        <f t="shared" ref="O233:T233" si="202">ROUND(AB233,2)</f>
        <v>88060.86</v>
      </c>
      <c r="P233" s="11">
        <f t="shared" si="202"/>
        <v>80597.899999999994</v>
      </c>
      <c r="Q233" s="11">
        <f t="shared" si="202"/>
        <v>120.49</v>
      </c>
      <c r="R233" s="11">
        <f t="shared" si="202"/>
        <v>16.84</v>
      </c>
      <c r="S233" s="11">
        <f t="shared" si="202"/>
        <v>7342.47</v>
      </c>
      <c r="T233" s="11">
        <f t="shared" si="202"/>
        <v>0</v>
      </c>
      <c r="U233" s="11">
        <f>AH233</f>
        <v>604.23215976000006</v>
      </c>
      <c r="V233" s="11">
        <f>AI233</f>
        <v>0</v>
      </c>
      <c r="W233" s="11">
        <f>ROUND(AJ233,2)</f>
        <v>0</v>
      </c>
      <c r="X233" s="11">
        <f>ROUND(AK233,2)</f>
        <v>7001.08</v>
      </c>
      <c r="Y233" s="11">
        <f>ROUND(AL233,2)</f>
        <v>3845.58</v>
      </c>
      <c r="Z233" s="11"/>
      <c r="AA233" s="11"/>
      <c r="AB233" s="11">
        <f>ROUND(SUMIF(AA186:AA231,"=57014138",O186:O231),2)</f>
        <v>88060.86</v>
      </c>
      <c r="AC233" s="11">
        <f>ROUND(SUMIF(AA186:AA231,"=57014138",P186:P231),2)</f>
        <v>80597.899999999994</v>
      </c>
      <c r="AD233" s="11">
        <f>ROUND(SUMIF(AA186:AA231,"=57014138",Q186:Q231),2)</f>
        <v>120.49</v>
      </c>
      <c r="AE233" s="11">
        <f>ROUND(SUMIF(AA186:AA231,"=57014138",R186:R231),2)</f>
        <v>16.84</v>
      </c>
      <c r="AF233" s="11">
        <f>ROUND(SUMIF(AA186:AA231,"=57014138",S186:S231),2)</f>
        <v>7342.47</v>
      </c>
      <c r="AG233" s="11">
        <f>ROUND(SUMIF(AA186:AA231,"=57014138",T186:T231),2)</f>
        <v>0</v>
      </c>
      <c r="AH233" s="11">
        <f>SUMIF(AA186:AA231,"=57014138",U186:U231)</f>
        <v>604.23215976000006</v>
      </c>
      <c r="AI233" s="11">
        <f>SUMIF(AA186:AA231,"=57014138",V186:V231)</f>
        <v>0</v>
      </c>
      <c r="AJ233" s="11">
        <f>ROUND(SUMIF(AA186:AA231,"=57014138",W186:W231),2)</f>
        <v>0</v>
      </c>
      <c r="AK233" s="11">
        <f>ROUND(SUMIF(AA186:AA231,"=57014138",X186:X231),2)</f>
        <v>7001.08</v>
      </c>
      <c r="AL233" s="11">
        <f>ROUND(SUMIF(AA186:AA231,"=57014138",Y186:Y231),2)</f>
        <v>3845.58</v>
      </c>
      <c r="AM233" s="11"/>
      <c r="AN233" s="11"/>
      <c r="AO233" s="11">
        <f t="shared" ref="AO233:BD233" si="203">ROUND(BX233,2)</f>
        <v>0</v>
      </c>
      <c r="AP233" s="11">
        <f t="shared" si="203"/>
        <v>68194.75</v>
      </c>
      <c r="AQ233" s="11">
        <f t="shared" si="203"/>
        <v>0</v>
      </c>
      <c r="AR233" s="11">
        <f t="shared" si="203"/>
        <v>98907.520000000004</v>
      </c>
      <c r="AS233" s="11">
        <f t="shared" si="203"/>
        <v>0</v>
      </c>
      <c r="AT233" s="11">
        <f t="shared" si="203"/>
        <v>30712.77</v>
      </c>
      <c r="AU233" s="11">
        <f t="shared" si="203"/>
        <v>0</v>
      </c>
      <c r="AV233" s="11">
        <f t="shared" si="203"/>
        <v>80597.899999999994</v>
      </c>
      <c r="AW233" s="11">
        <f t="shared" si="203"/>
        <v>12403.15</v>
      </c>
      <c r="AX233" s="11">
        <f t="shared" si="203"/>
        <v>0</v>
      </c>
      <c r="AY233" s="11">
        <f t="shared" si="203"/>
        <v>12403.15</v>
      </c>
      <c r="AZ233" s="11">
        <f t="shared" si="203"/>
        <v>68194.75</v>
      </c>
      <c r="BA233" s="11">
        <f t="shared" si="203"/>
        <v>0</v>
      </c>
      <c r="BB233" s="11">
        <f t="shared" si="203"/>
        <v>0</v>
      </c>
      <c r="BC233" s="11">
        <f t="shared" si="203"/>
        <v>0</v>
      </c>
      <c r="BD233" s="11">
        <f t="shared" si="203"/>
        <v>0</v>
      </c>
      <c r="BE233" s="11"/>
      <c r="BF233" s="11"/>
      <c r="BG233" s="11"/>
      <c r="BH233" s="11"/>
      <c r="BI233" s="11"/>
      <c r="BJ233" s="11"/>
      <c r="BK233" s="11"/>
      <c r="BL233" s="11"/>
      <c r="BM233" s="11"/>
      <c r="BN233" s="11"/>
      <c r="BO233" s="11"/>
      <c r="BP233" s="11"/>
      <c r="BQ233" s="11"/>
      <c r="BR233" s="11"/>
      <c r="BS233" s="11"/>
      <c r="BT233" s="11"/>
      <c r="BU233" s="11"/>
      <c r="BV233" s="11"/>
      <c r="BW233" s="11"/>
      <c r="BX233" s="11">
        <f>ROUND(SUMIF(AA186:AA231,"=57014138",FQ186:FQ231),2)</f>
        <v>0</v>
      </c>
      <c r="BY233" s="11">
        <f>ROUND(SUMIF(AA186:AA231,"=57014138",FR186:FR231),2)</f>
        <v>68194.75</v>
      </c>
      <c r="BZ233" s="11">
        <f>ROUND(SUMIF(AA186:AA231,"=57014138",GL186:GL231),2)</f>
        <v>0</v>
      </c>
      <c r="CA233" s="11">
        <f>ROUND(SUMIF(AA186:AA231,"=57014138",GM186:GM231),2)</f>
        <v>98907.520000000004</v>
      </c>
      <c r="CB233" s="11">
        <f>ROUND(SUMIF(AA186:AA231,"=57014138",GN186:GN231),2)</f>
        <v>0</v>
      </c>
      <c r="CC233" s="11">
        <f>ROUND(SUMIF(AA186:AA231,"=57014138",GO186:GO231),2)</f>
        <v>30712.77</v>
      </c>
      <c r="CD233" s="11">
        <f>ROUND(SUMIF(AA186:AA231,"=57014138",GP186:GP231),2)</f>
        <v>0</v>
      </c>
      <c r="CE233" s="11">
        <f>AC233-BX233</f>
        <v>80597.899999999994</v>
      </c>
      <c r="CF233" s="11">
        <f>AC233-BY233</f>
        <v>12403.149999999994</v>
      </c>
      <c r="CG233" s="11">
        <f>BX233-BZ233</f>
        <v>0</v>
      </c>
      <c r="CH233" s="11">
        <f>AC233-BX233-BY233+BZ233</f>
        <v>12403.149999999994</v>
      </c>
      <c r="CI233" s="11">
        <f>BY233-BZ233</f>
        <v>68194.75</v>
      </c>
      <c r="CJ233" s="11">
        <f>ROUND(SUMIF(AA186:AA231,"=57014138",GX186:GX231),2)</f>
        <v>0</v>
      </c>
      <c r="CK233" s="11">
        <f>ROUND(SUMIF(AA186:AA231,"=57014138",GY186:GY231),2)</f>
        <v>0</v>
      </c>
      <c r="CL233" s="11">
        <f>ROUND(SUMIF(AA186:AA231,"=57014138",GZ186:GZ231),2)</f>
        <v>0</v>
      </c>
      <c r="CM233" s="11">
        <f>ROUND(SUMIF(AA186:AA231,"=57014138",HD186:HD231),2)</f>
        <v>0</v>
      </c>
      <c r="CN233" s="11"/>
      <c r="CO233" s="11"/>
      <c r="CP233" s="11"/>
      <c r="CQ233" s="11"/>
      <c r="CR233" s="11"/>
      <c r="CS233" s="11"/>
      <c r="CT233" s="11"/>
      <c r="CU233" s="11"/>
      <c r="CV233" s="11"/>
      <c r="CW233" s="11"/>
      <c r="CX233" s="11"/>
      <c r="CY233" s="11"/>
      <c r="CZ233" s="11"/>
      <c r="DA233" s="11"/>
      <c r="DB233" s="11"/>
      <c r="DC233" s="11"/>
      <c r="DD233" s="11"/>
      <c r="DE233" s="11"/>
      <c r="DF233" s="11"/>
      <c r="DG233" s="12">
        <f t="shared" ref="DG233:DL233" si="204">ROUND(DT233,2)</f>
        <v>1444130.49</v>
      </c>
      <c r="DH233" s="12">
        <f t="shared" si="204"/>
        <v>1028400.75</v>
      </c>
      <c r="DI233" s="12">
        <f t="shared" si="204"/>
        <v>1981.55</v>
      </c>
      <c r="DJ233" s="12">
        <f t="shared" si="204"/>
        <v>948.93</v>
      </c>
      <c r="DK233" s="12">
        <f t="shared" si="204"/>
        <v>413748.19</v>
      </c>
      <c r="DL233" s="12">
        <f t="shared" si="204"/>
        <v>0</v>
      </c>
      <c r="DM233" s="12">
        <f>DZ233</f>
        <v>604.23215976000006</v>
      </c>
      <c r="DN233" s="12">
        <f>EA233</f>
        <v>0</v>
      </c>
      <c r="DO233" s="12">
        <f>ROUND(EB233,2)</f>
        <v>0</v>
      </c>
      <c r="DP233" s="12">
        <f>ROUND(EC233,2)</f>
        <v>394510.2</v>
      </c>
      <c r="DQ233" s="12">
        <f>ROUND(ED233,2)</f>
        <v>216699.08</v>
      </c>
      <c r="DR233" s="12"/>
      <c r="DS233" s="12"/>
      <c r="DT233" s="12">
        <f>ROUND(SUMIF(AA186:AA231,"=57014140",O186:O231),2)</f>
        <v>1444130.49</v>
      </c>
      <c r="DU233" s="12">
        <f>ROUND(SUMIF(AA186:AA231,"=57014140",P186:P231),2)</f>
        <v>1028400.75</v>
      </c>
      <c r="DV233" s="12">
        <f>ROUND(SUMIF(AA186:AA231,"=57014140",Q186:Q231),2)</f>
        <v>1981.55</v>
      </c>
      <c r="DW233" s="12">
        <f>ROUND(SUMIF(AA186:AA231,"=57014140",R186:R231),2)</f>
        <v>948.93</v>
      </c>
      <c r="DX233" s="12">
        <f>ROUND(SUMIF(AA186:AA231,"=57014140",S186:S231),2)</f>
        <v>413748.19</v>
      </c>
      <c r="DY233" s="12">
        <f>ROUND(SUMIF(AA186:AA231,"=57014140",T186:T231),2)</f>
        <v>0</v>
      </c>
      <c r="DZ233" s="12">
        <f>SUMIF(AA186:AA231,"=57014140",U186:U231)</f>
        <v>604.23215976000006</v>
      </c>
      <c r="EA233" s="12">
        <f>SUMIF(AA186:AA231,"=57014140",V186:V231)</f>
        <v>0</v>
      </c>
      <c r="EB233" s="12">
        <f>ROUND(SUMIF(AA186:AA231,"=57014140",W186:W231),2)</f>
        <v>0</v>
      </c>
      <c r="EC233" s="12">
        <f>ROUND(SUMIF(AA186:AA231,"=57014140",X186:X231),2)</f>
        <v>394510.2</v>
      </c>
      <c r="ED233" s="12">
        <f>ROUND(SUMIF(AA186:AA231,"=57014140",Y186:Y231),2)</f>
        <v>216699.08</v>
      </c>
      <c r="EE233" s="12"/>
      <c r="EF233" s="12"/>
      <c r="EG233" s="12">
        <f t="shared" ref="EG233:EV233" si="205">ROUND(FP233,2)</f>
        <v>0</v>
      </c>
      <c r="EH233" s="12">
        <f t="shared" si="205"/>
        <v>497667.72</v>
      </c>
      <c r="EI233" s="12">
        <f t="shared" si="205"/>
        <v>0</v>
      </c>
      <c r="EJ233" s="12">
        <f t="shared" si="205"/>
        <v>2055339.77</v>
      </c>
      <c r="EK233" s="12">
        <f t="shared" si="205"/>
        <v>0</v>
      </c>
      <c r="EL233" s="12">
        <f t="shared" si="205"/>
        <v>1557672.05</v>
      </c>
      <c r="EM233" s="12">
        <f t="shared" si="205"/>
        <v>0</v>
      </c>
      <c r="EN233" s="12">
        <f t="shared" si="205"/>
        <v>1028400.75</v>
      </c>
      <c r="EO233" s="12">
        <f t="shared" si="205"/>
        <v>530733.03</v>
      </c>
      <c r="EP233" s="12">
        <f t="shared" si="205"/>
        <v>0</v>
      </c>
      <c r="EQ233" s="12">
        <f t="shared" si="205"/>
        <v>530733.03</v>
      </c>
      <c r="ER233" s="12">
        <f t="shared" si="205"/>
        <v>497667.72</v>
      </c>
      <c r="ES233" s="12">
        <f t="shared" si="205"/>
        <v>0</v>
      </c>
      <c r="ET233" s="12">
        <f t="shared" si="205"/>
        <v>0</v>
      </c>
      <c r="EU233" s="12">
        <f t="shared" si="205"/>
        <v>0</v>
      </c>
      <c r="EV233" s="12">
        <f t="shared" si="205"/>
        <v>0</v>
      </c>
      <c r="EW233" s="12"/>
      <c r="EX233" s="12"/>
      <c r="EY233" s="12"/>
      <c r="EZ233" s="12"/>
      <c r="FA233" s="12"/>
      <c r="FB233" s="12"/>
      <c r="FC233" s="12"/>
      <c r="FD233" s="12"/>
      <c r="FE233" s="12"/>
      <c r="FF233" s="12"/>
      <c r="FG233" s="12"/>
      <c r="FH233" s="12"/>
      <c r="FI233" s="12"/>
      <c r="FJ233" s="12"/>
      <c r="FK233" s="12"/>
      <c r="FL233" s="12"/>
      <c r="FM233" s="12"/>
      <c r="FN233" s="12"/>
      <c r="FO233" s="12"/>
      <c r="FP233" s="12">
        <f>ROUND(SUMIF(AA186:AA231,"=57014140",FQ186:FQ231),2)</f>
        <v>0</v>
      </c>
      <c r="FQ233" s="12">
        <f>ROUND(SUMIF(AA186:AA231,"=57014140",FR186:FR231),2)</f>
        <v>497667.72</v>
      </c>
      <c r="FR233" s="12">
        <f>ROUND(SUMIF(AA186:AA231,"=57014140",GL186:GL231),2)</f>
        <v>0</v>
      </c>
      <c r="FS233" s="12">
        <f>ROUND(SUMIF(AA186:AA231,"=57014140",GM186:GM231),2)</f>
        <v>2055339.77</v>
      </c>
      <c r="FT233" s="12">
        <f>ROUND(SUMIF(AA186:AA231,"=57014140",GN186:GN231),2)</f>
        <v>0</v>
      </c>
      <c r="FU233" s="12">
        <f>ROUND(SUMIF(AA186:AA231,"=57014140",GO186:GO231),2)</f>
        <v>1557672.05</v>
      </c>
      <c r="FV233" s="12">
        <f>ROUND(SUMIF(AA186:AA231,"=57014140",GP186:GP231),2)</f>
        <v>0</v>
      </c>
      <c r="FW233" s="12">
        <f>DU233-FP233</f>
        <v>1028400.75</v>
      </c>
      <c r="FX233" s="12">
        <f>DU233-FQ233</f>
        <v>530733.03</v>
      </c>
      <c r="FY233" s="12">
        <f>FP233-FR233</f>
        <v>0</v>
      </c>
      <c r="FZ233" s="12">
        <f>DU233-FP233-FQ233+FR233</f>
        <v>530733.03</v>
      </c>
      <c r="GA233" s="12">
        <f>FQ233-FR233</f>
        <v>497667.72</v>
      </c>
      <c r="GB233" s="12">
        <f>ROUND(SUMIF(AA186:AA231,"=57014140",GX186:GX231),2)</f>
        <v>0</v>
      </c>
      <c r="GC233" s="12">
        <f>ROUND(SUMIF(AA186:AA231,"=57014140",GY186:GY231),2)</f>
        <v>0</v>
      </c>
      <c r="GD233" s="12">
        <f>ROUND(SUMIF(AA186:AA231,"=57014140",GZ186:GZ231),2)</f>
        <v>0</v>
      </c>
      <c r="GE233" s="12">
        <f>ROUND(SUMIF(AA186:AA231,"=57014140",HD186:HD231),2)</f>
        <v>0</v>
      </c>
      <c r="GF233" s="12"/>
      <c r="GG233" s="12"/>
      <c r="GH233" s="12"/>
      <c r="GI233" s="12"/>
      <c r="GJ233" s="12"/>
      <c r="GK233" s="12"/>
      <c r="GL233" s="12"/>
      <c r="GM233" s="12"/>
      <c r="GN233" s="12"/>
      <c r="GO233" s="12"/>
      <c r="GP233" s="12"/>
      <c r="GQ233" s="12"/>
      <c r="GR233" s="12"/>
      <c r="GS233" s="12"/>
      <c r="GT233" s="12"/>
      <c r="GU233" s="12"/>
      <c r="GV233" s="12"/>
      <c r="GW233" s="12"/>
      <c r="GX233" s="12">
        <v>0</v>
      </c>
    </row>
    <row r="235" spans="1:255" ht="13" x14ac:dyDescent="0.3">
      <c r="A235" s="13">
        <v>50</v>
      </c>
      <c r="B235" s="13">
        <v>0</v>
      </c>
      <c r="C235" s="13">
        <v>0</v>
      </c>
      <c r="D235" s="13">
        <v>1</v>
      </c>
      <c r="E235" s="13">
        <v>201</v>
      </c>
      <c r="F235" s="13">
        <f>ROUND(Source!O233,O235)</f>
        <v>88060.86</v>
      </c>
      <c r="G235" s="13" t="s">
        <v>92</v>
      </c>
      <c r="H235" s="13" t="s">
        <v>93</v>
      </c>
      <c r="I235" s="13"/>
      <c r="J235" s="13"/>
      <c r="K235" s="13">
        <v>201</v>
      </c>
      <c r="L235" s="13">
        <v>1</v>
      </c>
      <c r="M235" s="13">
        <v>3</v>
      </c>
      <c r="N235" s="13" t="s">
        <v>3</v>
      </c>
      <c r="O235" s="13">
        <v>2</v>
      </c>
      <c r="P235" s="13">
        <f>ROUND(Source!DG233,O235)</f>
        <v>1444130.49</v>
      </c>
      <c r="Q235" s="13"/>
      <c r="R235" s="13"/>
      <c r="S235" s="13"/>
      <c r="T235" s="13"/>
      <c r="U235" s="13"/>
      <c r="V235" s="13"/>
      <c r="W235" s="13">
        <v>88060.86</v>
      </c>
      <c r="X235" s="13">
        <v>1</v>
      </c>
      <c r="Y235" s="13">
        <v>88060.86</v>
      </c>
      <c r="Z235" s="13">
        <v>1444130.49</v>
      </c>
      <c r="AA235" s="13">
        <v>1</v>
      </c>
      <c r="AB235" s="13">
        <v>1444130.49</v>
      </c>
    </row>
    <row r="236" spans="1:255" ht="13" x14ac:dyDescent="0.3">
      <c r="A236" s="13">
        <v>50</v>
      </c>
      <c r="B236" s="13">
        <v>0</v>
      </c>
      <c r="C236" s="13">
        <v>0</v>
      </c>
      <c r="D236" s="13">
        <v>1</v>
      </c>
      <c r="E236" s="13">
        <v>202</v>
      </c>
      <c r="F236" s="13">
        <f>ROUND(Source!P233,O236)</f>
        <v>80597.899999999994</v>
      </c>
      <c r="G236" s="13" t="s">
        <v>94</v>
      </c>
      <c r="H236" s="13" t="s">
        <v>95</v>
      </c>
      <c r="I236" s="13"/>
      <c r="J236" s="13"/>
      <c r="K236" s="13">
        <v>202</v>
      </c>
      <c r="L236" s="13">
        <v>2</v>
      </c>
      <c r="M236" s="13">
        <v>3</v>
      </c>
      <c r="N236" s="13" t="s">
        <v>3</v>
      </c>
      <c r="O236" s="13">
        <v>2</v>
      </c>
      <c r="P236" s="13">
        <f>ROUND(Source!DH233,O236)</f>
        <v>1028400.75</v>
      </c>
      <c r="Q236" s="13"/>
      <c r="R236" s="13"/>
      <c r="S236" s="13"/>
      <c r="T236" s="13"/>
      <c r="U236" s="13"/>
      <c r="V236" s="13"/>
      <c r="W236" s="13">
        <v>80597.899999999994</v>
      </c>
      <c r="X236" s="13">
        <v>1</v>
      </c>
      <c r="Y236" s="13">
        <v>80597.899999999994</v>
      </c>
      <c r="Z236" s="13">
        <v>1028400.75</v>
      </c>
      <c r="AA236" s="13">
        <v>1</v>
      </c>
      <c r="AB236" s="13">
        <v>1028400.75</v>
      </c>
    </row>
    <row r="237" spans="1:255" ht="13" x14ac:dyDescent="0.3">
      <c r="A237" s="13">
        <v>50</v>
      </c>
      <c r="B237" s="13">
        <v>0</v>
      </c>
      <c r="C237" s="13">
        <v>0</v>
      </c>
      <c r="D237" s="13">
        <v>1</v>
      </c>
      <c r="E237" s="13">
        <v>222</v>
      </c>
      <c r="F237" s="13">
        <f>ROUND(Source!AO233,O237)</f>
        <v>0</v>
      </c>
      <c r="G237" s="13" t="s">
        <v>96</v>
      </c>
      <c r="H237" s="13" t="s">
        <v>97</v>
      </c>
      <c r="I237" s="13"/>
      <c r="J237" s="13"/>
      <c r="K237" s="13">
        <v>222</v>
      </c>
      <c r="L237" s="13">
        <v>3</v>
      </c>
      <c r="M237" s="13">
        <v>3</v>
      </c>
      <c r="N237" s="13" t="s">
        <v>3</v>
      </c>
      <c r="O237" s="13">
        <v>2</v>
      </c>
      <c r="P237" s="13">
        <f>ROUND(Source!EG233,O237)</f>
        <v>0</v>
      </c>
      <c r="Q237" s="13"/>
      <c r="R237" s="13"/>
      <c r="S237" s="13"/>
      <c r="T237" s="13"/>
      <c r="U237" s="13"/>
      <c r="V237" s="13"/>
      <c r="W237" s="13">
        <v>0</v>
      </c>
      <c r="X237" s="13">
        <v>1</v>
      </c>
      <c r="Y237" s="13">
        <v>0</v>
      </c>
      <c r="Z237" s="13">
        <v>0</v>
      </c>
      <c r="AA237" s="13">
        <v>1</v>
      </c>
      <c r="AB237" s="13">
        <v>0</v>
      </c>
    </row>
    <row r="238" spans="1:255" ht="13" x14ac:dyDescent="0.3">
      <c r="A238" s="13">
        <v>50</v>
      </c>
      <c r="B238" s="13">
        <v>0</v>
      </c>
      <c r="C238" s="13">
        <v>0</v>
      </c>
      <c r="D238" s="13">
        <v>1</v>
      </c>
      <c r="E238" s="13">
        <v>225</v>
      </c>
      <c r="F238" s="13">
        <f>ROUND(Source!AV233,O238)</f>
        <v>80597.899999999994</v>
      </c>
      <c r="G238" s="13" t="s">
        <v>98</v>
      </c>
      <c r="H238" s="13" t="s">
        <v>99</v>
      </c>
      <c r="I238" s="13"/>
      <c r="J238" s="13"/>
      <c r="K238" s="13">
        <v>225</v>
      </c>
      <c r="L238" s="13">
        <v>4</v>
      </c>
      <c r="M238" s="13">
        <v>3</v>
      </c>
      <c r="N238" s="13" t="s">
        <v>3</v>
      </c>
      <c r="O238" s="13">
        <v>2</v>
      </c>
      <c r="P238" s="13">
        <f>ROUND(Source!EN233,O238)</f>
        <v>1028400.75</v>
      </c>
      <c r="Q238" s="13"/>
      <c r="R238" s="13"/>
      <c r="S238" s="13"/>
      <c r="T238" s="13"/>
      <c r="U238" s="13"/>
      <c r="V238" s="13"/>
      <c r="W238" s="13">
        <v>80597.899999999994</v>
      </c>
      <c r="X238" s="13">
        <v>1</v>
      </c>
      <c r="Y238" s="13">
        <v>80597.899999999994</v>
      </c>
      <c r="Z238" s="13">
        <v>1028400.75</v>
      </c>
      <c r="AA238" s="13">
        <v>1</v>
      </c>
      <c r="AB238" s="13">
        <v>1028400.75</v>
      </c>
    </row>
    <row r="239" spans="1:255" ht="13" x14ac:dyDescent="0.3">
      <c r="A239" s="13">
        <v>50</v>
      </c>
      <c r="B239" s="13">
        <v>0</v>
      </c>
      <c r="C239" s="13">
        <v>0</v>
      </c>
      <c r="D239" s="13">
        <v>1</v>
      </c>
      <c r="E239" s="13">
        <v>226</v>
      </c>
      <c r="F239" s="13">
        <f>ROUND(Source!AW233,O239)</f>
        <v>12403.15</v>
      </c>
      <c r="G239" s="13" t="s">
        <v>100</v>
      </c>
      <c r="H239" s="13" t="s">
        <v>101</v>
      </c>
      <c r="I239" s="13"/>
      <c r="J239" s="13"/>
      <c r="K239" s="13">
        <v>226</v>
      </c>
      <c r="L239" s="13">
        <v>5</v>
      </c>
      <c r="M239" s="13">
        <v>3</v>
      </c>
      <c r="N239" s="13" t="s">
        <v>3</v>
      </c>
      <c r="O239" s="13">
        <v>2</v>
      </c>
      <c r="P239" s="13">
        <f>ROUND(Source!EO233,O239)</f>
        <v>530733.03</v>
      </c>
      <c r="Q239" s="13"/>
      <c r="R239" s="13"/>
      <c r="S239" s="13"/>
      <c r="T239" s="13"/>
      <c r="U239" s="13"/>
      <c r="V239" s="13"/>
      <c r="W239" s="13">
        <v>12403.15</v>
      </c>
      <c r="X239" s="13">
        <v>1</v>
      </c>
      <c r="Y239" s="13">
        <v>12403.15</v>
      </c>
      <c r="Z239" s="13">
        <v>530733.03</v>
      </c>
      <c r="AA239" s="13">
        <v>1</v>
      </c>
      <c r="AB239" s="13">
        <v>530733.03</v>
      </c>
    </row>
    <row r="240" spans="1:255" ht="13" x14ac:dyDescent="0.3">
      <c r="A240" s="13">
        <v>50</v>
      </c>
      <c r="B240" s="13">
        <v>0</v>
      </c>
      <c r="C240" s="13">
        <v>0</v>
      </c>
      <c r="D240" s="13">
        <v>1</v>
      </c>
      <c r="E240" s="13">
        <v>227</v>
      </c>
      <c r="F240" s="13">
        <f>ROUND(Source!AX233,O240)</f>
        <v>0</v>
      </c>
      <c r="G240" s="13" t="s">
        <v>102</v>
      </c>
      <c r="H240" s="13" t="s">
        <v>103</v>
      </c>
      <c r="I240" s="13"/>
      <c r="J240" s="13"/>
      <c r="K240" s="13">
        <v>227</v>
      </c>
      <c r="L240" s="13">
        <v>6</v>
      </c>
      <c r="M240" s="13">
        <v>3</v>
      </c>
      <c r="N240" s="13" t="s">
        <v>3</v>
      </c>
      <c r="O240" s="13">
        <v>2</v>
      </c>
      <c r="P240" s="13">
        <f>ROUND(Source!EP233,O240)</f>
        <v>0</v>
      </c>
      <c r="Q240" s="13"/>
      <c r="R240" s="13"/>
      <c r="S240" s="13"/>
      <c r="T240" s="13"/>
      <c r="U240" s="13"/>
      <c r="V240" s="13"/>
      <c r="W240" s="13">
        <v>0</v>
      </c>
      <c r="X240" s="13">
        <v>1</v>
      </c>
      <c r="Y240" s="13">
        <v>0</v>
      </c>
      <c r="Z240" s="13">
        <v>0</v>
      </c>
      <c r="AA240" s="13">
        <v>1</v>
      </c>
      <c r="AB240" s="13">
        <v>0</v>
      </c>
    </row>
    <row r="241" spans="1:28" ht="13" x14ac:dyDescent="0.3">
      <c r="A241" s="13">
        <v>50</v>
      </c>
      <c r="B241" s="13">
        <v>0</v>
      </c>
      <c r="C241" s="13">
        <v>0</v>
      </c>
      <c r="D241" s="13">
        <v>1</v>
      </c>
      <c r="E241" s="13">
        <v>228</v>
      </c>
      <c r="F241" s="13">
        <f>ROUND(Source!AY233,O241)</f>
        <v>12403.15</v>
      </c>
      <c r="G241" s="13" t="s">
        <v>104</v>
      </c>
      <c r="H241" s="13" t="s">
        <v>105</v>
      </c>
      <c r="I241" s="13"/>
      <c r="J241" s="13"/>
      <c r="K241" s="13">
        <v>228</v>
      </c>
      <c r="L241" s="13">
        <v>7</v>
      </c>
      <c r="M241" s="13">
        <v>3</v>
      </c>
      <c r="N241" s="13" t="s">
        <v>3</v>
      </c>
      <c r="O241" s="13">
        <v>2</v>
      </c>
      <c r="P241" s="13">
        <f>ROUND(Source!EQ233,O241)</f>
        <v>530733.03</v>
      </c>
      <c r="Q241" s="13"/>
      <c r="R241" s="13"/>
      <c r="S241" s="13"/>
      <c r="T241" s="13"/>
      <c r="U241" s="13"/>
      <c r="V241" s="13"/>
      <c r="W241" s="13">
        <v>12403.15</v>
      </c>
      <c r="X241" s="13">
        <v>1</v>
      </c>
      <c r="Y241" s="13">
        <v>12403.15</v>
      </c>
      <c r="Z241" s="13">
        <v>530733.03</v>
      </c>
      <c r="AA241" s="13">
        <v>1</v>
      </c>
      <c r="AB241" s="13">
        <v>530733.03</v>
      </c>
    </row>
    <row r="242" spans="1:28" ht="13" x14ac:dyDescent="0.3">
      <c r="A242" s="13">
        <v>50</v>
      </c>
      <c r="B242" s="13">
        <v>0</v>
      </c>
      <c r="C242" s="13">
        <v>0</v>
      </c>
      <c r="D242" s="13">
        <v>1</v>
      </c>
      <c r="E242" s="13">
        <v>216</v>
      </c>
      <c r="F242" s="13">
        <f>ROUND(Source!AP233,O242)</f>
        <v>68194.75</v>
      </c>
      <c r="G242" s="13" t="s">
        <v>106</v>
      </c>
      <c r="H242" s="13" t="s">
        <v>107</v>
      </c>
      <c r="I242" s="13"/>
      <c r="J242" s="13"/>
      <c r="K242" s="13">
        <v>216</v>
      </c>
      <c r="L242" s="13">
        <v>8</v>
      </c>
      <c r="M242" s="13">
        <v>3</v>
      </c>
      <c r="N242" s="13" t="s">
        <v>3</v>
      </c>
      <c r="O242" s="13">
        <v>2</v>
      </c>
      <c r="P242" s="13">
        <f>ROUND(Source!EH233,O242)</f>
        <v>497667.72</v>
      </c>
      <c r="Q242" s="13"/>
      <c r="R242" s="13"/>
      <c r="S242" s="13"/>
      <c r="T242" s="13"/>
      <c r="U242" s="13"/>
      <c r="V242" s="13"/>
      <c r="W242" s="13">
        <v>68194.75</v>
      </c>
      <c r="X242" s="13">
        <v>1</v>
      </c>
      <c r="Y242" s="13">
        <v>68194.75</v>
      </c>
      <c r="Z242" s="13">
        <v>497667.72</v>
      </c>
      <c r="AA242" s="13">
        <v>1</v>
      </c>
      <c r="AB242" s="13">
        <v>497667.72</v>
      </c>
    </row>
    <row r="243" spans="1:28" ht="13" x14ac:dyDescent="0.3">
      <c r="A243" s="13">
        <v>50</v>
      </c>
      <c r="B243" s="13">
        <v>0</v>
      </c>
      <c r="C243" s="13">
        <v>0</v>
      </c>
      <c r="D243" s="13">
        <v>1</v>
      </c>
      <c r="E243" s="13">
        <v>223</v>
      </c>
      <c r="F243" s="13">
        <f>ROUND(Source!AQ233,O243)</f>
        <v>0</v>
      </c>
      <c r="G243" s="13" t="s">
        <v>108</v>
      </c>
      <c r="H243" s="13" t="s">
        <v>109</v>
      </c>
      <c r="I243" s="13"/>
      <c r="J243" s="13"/>
      <c r="K243" s="13">
        <v>223</v>
      </c>
      <c r="L243" s="13">
        <v>9</v>
      </c>
      <c r="M243" s="13">
        <v>3</v>
      </c>
      <c r="N243" s="13" t="s">
        <v>3</v>
      </c>
      <c r="O243" s="13">
        <v>2</v>
      </c>
      <c r="P243" s="13">
        <f>ROUND(Source!EI233,O243)</f>
        <v>0</v>
      </c>
      <c r="Q243" s="13"/>
      <c r="R243" s="13"/>
      <c r="S243" s="13"/>
      <c r="T243" s="13"/>
      <c r="U243" s="13"/>
      <c r="V243" s="13"/>
      <c r="W243" s="13">
        <v>0</v>
      </c>
      <c r="X243" s="13">
        <v>1</v>
      </c>
      <c r="Y243" s="13">
        <v>0</v>
      </c>
      <c r="Z243" s="13">
        <v>0</v>
      </c>
      <c r="AA243" s="13">
        <v>1</v>
      </c>
      <c r="AB243" s="13">
        <v>0</v>
      </c>
    </row>
    <row r="244" spans="1:28" ht="13" x14ac:dyDescent="0.3">
      <c r="A244" s="13">
        <v>50</v>
      </c>
      <c r="B244" s="13">
        <v>0</v>
      </c>
      <c r="C244" s="13">
        <v>0</v>
      </c>
      <c r="D244" s="13">
        <v>1</v>
      </c>
      <c r="E244" s="13">
        <v>229</v>
      </c>
      <c r="F244" s="13">
        <f>ROUND(Source!AZ233,O244)</f>
        <v>68194.75</v>
      </c>
      <c r="G244" s="13" t="s">
        <v>110</v>
      </c>
      <c r="H244" s="13" t="s">
        <v>111</v>
      </c>
      <c r="I244" s="13"/>
      <c r="J244" s="13"/>
      <c r="K244" s="13">
        <v>229</v>
      </c>
      <c r="L244" s="13">
        <v>10</v>
      </c>
      <c r="M244" s="13">
        <v>3</v>
      </c>
      <c r="N244" s="13" t="s">
        <v>3</v>
      </c>
      <c r="O244" s="13">
        <v>2</v>
      </c>
      <c r="P244" s="13">
        <f>ROUND(Source!ER233,O244)</f>
        <v>497667.72</v>
      </c>
      <c r="Q244" s="13"/>
      <c r="R244" s="13"/>
      <c r="S244" s="13"/>
      <c r="T244" s="13"/>
      <c r="U244" s="13"/>
      <c r="V244" s="13"/>
      <c r="W244" s="13">
        <v>68194.75</v>
      </c>
      <c r="X244" s="13">
        <v>1</v>
      </c>
      <c r="Y244" s="13">
        <v>68194.75</v>
      </c>
      <c r="Z244" s="13">
        <v>497667.72</v>
      </c>
      <c r="AA244" s="13">
        <v>1</v>
      </c>
      <c r="AB244" s="13">
        <v>497667.72</v>
      </c>
    </row>
    <row r="245" spans="1:28" ht="13" x14ac:dyDescent="0.3">
      <c r="A245" s="13">
        <v>50</v>
      </c>
      <c r="B245" s="13">
        <v>0</v>
      </c>
      <c r="C245" s="13">
        <v>0</v>
      </c>
      <c r="D245" s="13">
        <v>1</v>
      </c>
      <c r="E245" s="13">
        <v>203</v>
      </c>
      <c r="F245" s="13">
        <f>ROUND(Source!Q233,O245)</f>
        <v>120.49</v>
      </c>
      <c r="G245" s="13" t="s">
        <v>112</v>
      </c>
      <c r="H245" s="13" t="s">
        <v>113</v>
      </c>
      <c r="I245" s="13"/>
      <c r="J245" s="13"/>
      <c r="K245" s="13">
        <v>203</v>
      </c>
      <c r="L245" s="13">
        <v>11</v>
      </c>
      <c r="M245" s="13">
        <v>3</v>
      </c>
      <c r="N245" s="13" t="s">
        <v>3</v>
      </c>
      <c r="O245" s="13">
        <v>2</v>
      </c>
      <c r="P245" s="13">
        <f>ROUND(Source!DI233,O245)</f>
        <v>1981.55</v>
      </c>
      <c r="Q245" s="13"/>
      <c r="R245" s="13"/>
      <c r="S245" s="13"/>
      <c r="T245" s="13"/>
      <c r="U245" s="13"/>
      <c r="V245" s="13"/>
      <c r="W245" s="13">
        <v>120.49</v>
      </c>
      <c r="X245" s="13">
        <v>1</v>
      </c>
      <c r="Y245" s="13">
        <v>120.49</v>
      </c>
      <c r="Z245" s="13">
        <v>1981.55</v>
      </c>
      <c r="AA245" s="13">
        <v>1</v>
      </c>
      <c r="AB245" s="13">
        <v>1981.55</v>
      </c>
    </row>
    <row r="246" spans="1:28" ht="13" x14ac:dyDescent="0.3">
      <c r="A246" s="13">
        <v>50</v>
      </c>
      <c r="B246" s="13">
        <v>0</v>
      </c>
      <c r="C246" s="13">
        <v>0</v>
      </c>
      <c r="D246" s="13">
        <v>1</v>
      </c>
      <c r="E246" s="13">
        <v>231</v>
      </c>
      <c r="F246" s="13">
        <f>ROUND(Source!BB233,O246)</f>
        <v>0</v>
      </c>
      <c r="G246" s="13" t="s">
        <v>114</v>
      </c>
      <c r="H246" s="13" t="s">
        <v>115</v>
      </c>
      <c r="I246" s="13"/>
      <c r="J246" s="13"/>
      <c r="K246" s="13">
        <v>231</v>
      </c>
      <c r="L246" s="13">
        <v>12</v>
      </c>
      <c r="M246" s="13">
        <v>3</v>
      </c>
      <c r="N246" s="13" t="s">
        <v>3</v>
      </c>
      <c r="O246" s="13">
        <v>2</v>
      </c>
      <c r="P246" s="13">
        <f>ROUND(Source!ET233,O246)</f>
        <v>0</v>
      </c>
      <c r="Q246" s="13"/>
      <c r="R246" s="13"/>
      <c r="S246" s="13"/>
      <c r="T246" s="13"/>
      <c r="U246" s="13"/>
      <c r="V246" s="13"/>
      <c r="W246" s="13">
        <v>0</v>
      </c>
      <c r="X246" s="13">
        <v>1</v>
      </c>
      <c r="Y246" s="13">
        <v>0</v>
      </c>
      <c r="Z246" s="13">
        <v>0</v>
      </c>
      <c r="AA246" s="13">
        <v>1</v>
      </c>
      <c r="AB246" s="13">
        <v>0</v>
      </c>
    </row>
    <row r="247" spans="1:28" ht="13" x14ac:dyDescent="0.3">
      <c r="A247" s="13">
        <v>50</v>
      </c>
      <c r="B247" s="13">
        <v>0</v>
      </c>
      <c r="C247" s="13">
        <v>0</v>
      </c>
      <c r="D247" s="13">
        <v>1</v>
      </c>
      <c r="E247" s="13">
        <v>204</v>
      </c>
      <c r="F247" s="13">
        <f>ROUND(Source!R233,O247)</f>
        <v>16.84</v>
      </c>
      <c r="G247" s="13" t="s">
        <v>116</v>
      </c>
      <c r="H247" s="13" t="s">
        <v>117</v>
      </c>
      <c r="I247" s="13"/>
      <c r="J247" s="13"/>
      <c r="K247" s="13">
        <v>204</v>
      </c>
      <c r="L247" s="13">
        <v>13</v>
      </c>
      <c r="M247" s="13">
        <v>3</v>
      </c>
      <c r="N247" s="13" t="s">
        <v>3</v>
      </c>
      <c r="O247" s="13">
        <v>2</v>
      </c>
      <c r="P247" s="13">
        <f>ROUND(Source!DJ233,O247)</f>
        <v>948.93</v>
      </c>
      <c r="Q247" s="13"/>
      <c r="R247" s="13"/>
      <c r="S247" s="13"/>
      <c r="T247" s="13"/>
      <c r="U247" s="13"/>
      <c r="V247" s="13"/>
      <c r="W247" s="13">
        <v>16.84</v>
      </c>
      <c r="X247" s="13">
        <v>1</v>
      </c>
      <c r="Y247" s="13">
        <v>16.84</v>
      </c>
      <c r="Z247" s="13">
        <v>948.93</v>
      </c>
      <c r="AA247" s="13">
        <v>1</v>
      </c>
      <c r="AB247" s="13">
        <v>948.93</v>
      </c>
    </row>
    <row r="248" spans="1:28" ht="13" x14ac:dyDescent="0.3">
      <c r="A248" s="13">
        <v>50</v>
      </c>
      <c r="B248" s="13">
        <v>0</v>
      </c>
      <c r="C248" s="13">
        <v>0</v>
      </c>
      <c r="D248" s="13">
        <v>1</v>
      </c>
      <c r="E248" s="13">
        <v>205</v>
      </c>
      <c r="F248" s="13">
        <f>ROUND(Source!S233,O248)</f>
        <v>7342.47</v>
      </c>
      <c r="G248" s="13" t="s">
        <v>118</v>
      </c>
      <c r="H248" s="13" t="s">
        <v>119</v>
      </c>
      <c r="I248" s="13"/>
      <c r="J248" s="13"/>
      <c r="K248" s="13">
        <v>205</v>
      </c>
      <c r="L248" s="13">
        <v>14</v>
      </c>
      <c r="M248" s="13">
        <v>3</v>
      </c>
      <c r="N248" s="13" t="s">
        <v>3</v>
      </c>
      <c r="O248" s="13">
        <v>2</v>
      </c>
      <c r="P248" s="13">
        <f>ROUND(Source!DK233,O248)</f>
        <v>413748.19</v>
      </c>
      <c r="Q248" s="13"/>
      <c r="R248" s="13"/>
      <c r="S248" s="13"/>
      <c r="T248" s="13"/>
      <c r="U248" s="13"/>
      <c r="V248" s="13"/>
      <c r="W248" s="13">
        <v>7342.47</v>
      </c>
      <c r="X248" s="13">
        <v>1</v>
      </c>
      <c r="Y248" s="13">
        <v>7342.47</v>
      </c>
      <c r="Z248" s="13">
        <v>413748.19</v>
      </c>
      <c r="AA248" s="13">
        <v>1</v>
      </c>
      <c r="AB248" s="13">
        <v>413748.19</v>
      </c>
    </row>
    <row r="249" spans="1:28" ht="13" x14ac:dyDescent="0.3">
      <c r="A249" s="13">
        <v>50</v>
      </c>
      <c r="B249" s="13">
        <v>0</v>
      </c>
      <c r="C249" s="13">
        <v>0</v>
      </c>
      <c r="D249" s="13">
        <v>1</v>
      </c>
      <c r="E249" s="13">
        <v>232</v>
      </c>
      <c r="F249" s="13">
        <f>ROUND(Source!BC233,O249)</f>
        <v>0</v>
      </c>
      <c r="G249" s="13" t="s">
        <v>120</v>
      </c>
      <c r="H249" s="13" t="s">
        <v>121</v>
      </c>
      <c r="I249" s="13"/>
      <c r="J249" s="13"/>
      <c r="K249" s="13">
        <v>232</v>
      </c>
      <c r="L249" s="13">
        <v>15</v>
      </c>
      <c r="M249" s="13">
        <v>3</v>
      </c>
      <c r="N249" s="13" t="s">
        <v>3</v>
      </c>
      <c r="O249" s="13">
        <v>2</v>
      </c>
      <c r="P249" s="13">
        <f>ROUND(Source!EU233,O249)</f>
        <v>0</v>
      </c>
      <c r="Q249" s="13"/>
      <c r="R249" s="13"/>
      <c r="S249" s="13"/>
      <c r="T249" s="13"/>
      <c r="U249" s="13"/>
      <c r="V249" s="13"/>
      <c r="W249" s="13">
        <v>0</v>
      </c>
      <c r="X249" s="13">
        <v>1</v>
      </c>
      <c r="Y249" s="13">
        <v>0</v>
      </c>
      <c r="Z249" s="13">
        <v>0</v>
      </c>
      <c r="AA249" s="13">
        <v>1</v>
      </c>
      <c r="AB249" s="13">
        <v>0</v>
      </c>
    </row>
    <row r="250" spans="1:28" ht="13" x14ac:dyDescent="0.3">
      <c r="A250" s="13">
        <v>50</v>
      </c>
      <c r="B250" s="13">
        <v>0</v>
      </c>
      <c r="C250" s="13">
        <v>0</v>
      </c>
      <c r="D250" s="13">
        <v>1</v>
      </c>
      <c r="E250" s="13">
        <v>214</v>
      </c>
      <c r="F250" s="13">
        <f>ROUND(Source!AS233,O250)</f>
        <v>0</v>
      </c>
      <c r="G250" s="13" t="s">
        <v>122</v>
      </c>
      <c r="H250" s="13" t="s">
        <v>123</v>
      </c>
      <c r="I250" s="13"/>
      <c r="J250" s="13"/>
      <c r="K250" s="13">
        <v>214</v>
      </c>
      <c r="L250" s="13">
        <v>16</v>
      </c>
      <c r="M250" s="13">
        <v>3</v>
      </c>
      <c r="N250" s="13" t="s">
        <v>3</v>
      </c>
      <c r="O250" s="13">
        <v>2</v>
      </c>
      <c r="P250" s="13">
        <f>ROUND(Source!EK233,O250)</f>
        <v>0</v>
      </c>
      <c r="Q250" s="13"/>
      <c r="R250" s="13"/>
      <c r="S250" s="13"/>
      <c r="T250" s="13"/>
      <c r="U250" s="13"/>
      <c r="V250" s="13"/>
      <c r="W250" s="13">
        <v>0</v>
      </c>
      <c r="X250" s="13">
        <v>1</v>
      </c>
      <c r="Y250" s="13">
        <v>0</v>
      </c>
      <c r="Z250" s="13">
        <v>0</v>
      </c>
      <c r="AA250" s="13">
        <v>1</v>
      </c>
      <c r="AB250" s="13">
        <v>0</v>
      </c>
    </row>
    <row r="251" spans="1:28" ht="13" x14ac:dyDescent="0.3">
      <c r="A251" s="13">
        <v>50</v>
      </c>
      <c r="B251" s="13">
        <v>0</v>
      </c>
      <c r="C251" s="13">
        <v>0</v>
      </c>
      <c r="D251" s="13">
        <v>1</v>
      </c>
      <c r="E251" s="13">
        <v>215</v>
      </c>
      <c r="F251" s="13">
        <f>ROUND(Source!AT233,O251)</f>
        <v>30712.77</v>
      </c>
      <c r="G251" s="13" t="s">
        <v>124</v>
      </c>
      <c r="H251" s="13" t="s">
        <v>125</v>
      </c>
      <c r="I251" s="13"/>
      <c r="J251" s="13"/>
      <c r="K251" s="13">
        <v>215</v>
      </c>
      <c r="L251" s="13">
        <v>17</v>
      </c>
      <c r="M251" s="13">
        <v>3</v>
      </c>
      <c r="N251" s="13" t="s">
        <v>3</v>
      </c>
      <c r="O251" s="13">
        <v>2</v>
      </c>
      <c r="P251" s="13">
        <f>ROUND(Source!EL233,O251)</f>
        <v>1557672.05</v>
      </c>
      <c r="Q251" s="13"/>
      <c r="R251" s="13"/>
      <c r="S251" s="13"/>
      <c r="T251" s="13"/>
      <c r="U251" s="13"/>
      <c r="V251" s="13"/>
      <c r="W251" s="13">
        <v>30712.77</v>
      </c>
      <c r="X251" s="13">
        <v>1</v>
      </c>
      <c r="Y251" s="13">
        <v>30712.77</v>
      </c>
      <c r="Z251" s="13">
        <v>1557672.05</v>
      </c>
      <c r="AA251" s="13">
        <v>1</v>
      </c>
      <c r="AB251" s="13">
        <v>1557672.05</v>
      </c>
    </row>
    <row r="252" spans="1:28" ht="13" x14ac:dyDescent="0.3">
      <c r="A252" s="13">
        <v>50</v>
      </c>
      <c r="B252" s="13">
        <v>0</v>
      </c>
      <c r="C252" s="13">
        <v>0</v>
      </c>
      <c r="D252" s="13">
        <v>1</v>
      </c>
      <c r="E252" s="13">
        <v>217</v>
      </c>
      <c r="F252" s="13">
        <f>ROUND(Source!AU233,O252)</f>
        <v>0</v>
      </c>
      <c r="G252" s="13" t="s">
        <v>126</v>
      </c>
      <c r="H252" s="13" t="s">
        <v>127</v>
      </c>
      <c r="I252" s="13"/>
      <c r="J252" s="13"/>
      <c r="K252" s="13">
        <v>217</v>
      </c>
      <c r="L252" s="13">
        <v>18</v>
      </c>
      <c r="M252" s="13">
        <v>3</v>
      </c>
      <c r="N252" s="13" t="s">
        <v>3</v>
      </c>
      <c r="O252" s="13">
        <v>2</v>
      </c>
      <c r="P252" s="13">
        <f>ROUND(Source!EM233,O252)</f>
        <v>0</v>
      </c>
      <c r="Q252" s="13"/>
      <c r="R252" s="13"/>
      <c r="S252" s="13"/>
      <c r="T252" s="13"/>
      <c r="U252" s="13"/>
      <c r="V252" s="13"/>
      <c r="W252" s="13">
        <v>0</v>
      </c>
      <c r="X252" s="13">
        <v>1</v>
      </c>
      <c r="Y252" s="13">
        <v>0</v>
      </c>
      <c r="Z252" s="13">
        <v>0</v>
      </c>
      <c r="AA252" s="13">
        <v>1</v>
      </c>
      <c r="AB252" s="13">
        <v>0</v>
      </c>
    </row>
    <row r="253" spans="1:28" ht="13" x14ac:dyDescent="0.3">
      <c r="A253" s="13">
        <v>50</v>
      </c>
      <c r="B253" s="13">
        <v>0</v>
      </c>
      <c r="C253" s="13">
        <v>0</v>
      </c>
      <c r="D253" s="13">
        <v>1</v>
      </c>
      <c r="E253" s="13">
        <v>230</v>
      </c>
      <c r="F253" s="13">
        <f>ROUND(Source!BA233,O253)</f>
        <v>0</v>
      </c>
      <c r="G253" s="13" t="s">
        <v>128</v>
      </c>
      <c r="H253" s="13" t="s">
        <v>129</v>
      </c>
      <c r="I253" s="13"/>
      <c r="J253" s="13"/>
      <c r="K253" s="13">
        <v>230</v>
      </c>
      <c r="L253" s="13">
        <v>19</v>
      </c>
      <c r="M253" s="13">
        <v>3</v>
      </c>
      <c r="N253" s="13" t="s">
        <v>3</v>
      </c>
      <c r="O253" s="13">
        <v>2</v>
      </c>
      <c r="P253" s="13">
        <f>ROUND(Source!ES233,O253)</f>
        <v>0</v>
      </c>
      <c r="Q253" s="13"/>
      <c r="R253" s="13"/>
      <c r="S253" s="13"/>
      <c r="T253" s="13"/>
      <c r="U253" s="13"/>
      <c r="V253" s="13"/>
      <c r="W253" s="13">
        <v>0</v>
      </c>
      <c r="X253" s="13">
        <v>1</v>
      </c>
      <c r="Y253" s="13">
        <v>0</v>
      </c>
      <c r="Z253" s="13">
        <v>0</v>
      </c>
      <c r="AA253" s="13">
        <v>1</v>
      </c>
      <c r="AB253" s="13">
        <v>0</v>
      </c>
    </row>
    <row r="254" spans="1:28" ht="13" x14ac:dyDescent="0.3">
      <c r="A254" s="13">
        <v>50</v>
      </c>
      <c r="B254" s="13">
        <v>0</v>
      </c>
      <c r="C254" s="13">
        <v>0</v>
      </c>
      <c r="D254" s="13">
        <v>1</v>
      </c>
      <c r="E254" s="13">
        <v>206</v>
      </c>
      <c r="F254" s="13">
        <f>ROUND(Source!T233,O254)</f>
        <v>0</v>
      </c>
      <c r="G254" s="13" t="s">
        <v>130</v>
      </c>
      <c r="H254" s="13" t="s">
        <v>131</v>
      </c>
      <c r="I254" s="13"/>
      <c r="J254" s="13"/>
      <c r="K254" s="13">
        <v>206</v>
      </c>
      <c r="L254" s="13">
        <v>20</v>
      </c>
      <c r="M254" s="13">
        <v>3</v>
      </c>
      <c r="N254" s="13" t="s">
        <v>3</v>
      </c>
      <c r="O254" s="13">
        <v>2</v>
      </c>
      <c r="P254" s="13">
        <f>ROUND(Source!DL233,O254)</f>
        <v>0</v>
      </c>
      <c r="Q254" s="13"/>
      <c r="R254" s="13"/>
      <c r="S254" s="13"/>
      <c r="T254" s="13"/>
      <c r="U254" s="13"/>
      <c r="V254" s="13"/>
      <c r="W254" s="13">
        <v>0</v>
      </c>
      <c r="X254" s="13">
        <v>1</v>
      </c>
      <c r="Y254" s="13">
        <v>0</v>
      </c>
      <c r="Z254" s="13">
        <v>0</v>
      </c>
      <c r="AA254" s="13">
        <v>1</v>
      </c>
      <c r="AB254" s="13">
        <v>0</v>
      </c>
    </row>
    <row r="255" spans="1:28" ht="13" x14ac:dyDescent="0.3">
      <c r="A255" s="13">
        <v>50</v>
      </c>
      <c r="B255" s="13">
        <v>0</v>
      </c>
      <c r="C255" s="13">
        <v>0</v>
      </c>
      <c r="D255" s="13">
        <v>1</v>
      </c>
      <c r="E255" s="13">
        <v>207</v>
      </c>
      <c r="F255" s="13">
        <f>Source!U233</f>
        <v>604.23215976000006</v>
      </c>
      <c r="G255" s="13" t="s">
        <v>132</v>
      </c>
      <c r="H255" s="13" t="s">
        <v>133</v>
      </c>
      <c r="I255" s="13"/>
      <c r="J255" s="13"/>
      <c r="K255" s="13">
        <v>207</v>
      </c>
      <c r="L255" s="13">
        <v>21</v>
      </c>
      <c r="M255" s="13">
        <v>3</v>
      </c>
      <c r="N255" s="13" t="s">
        <v>3</v>
      </c>
      <c r="O255" s="13">
        <v>-1</v>
      </c>
      <c r="P255" s="13">
        <f>Source!DM233</f>
        <v>604.23215976000006</v>
      </c>
      <c r="Q255" s="13"/>
      <c r="R255" s="13"/>
      <c r="S255" s="13"/>
      <c r="T255" s="13"/>
      <c r="U255" s="13"/>
      <c r="V255" s="13"/>
      <c r="W255" s="13">
        <v>604.23215976000006</v>
      </c>
      <c r="X255" s="13">
        <v>1</v>
      </c>
      <c r="Y255" s="13">
        <v>604.23215976000006</v>
      </c>
      <c r="Z255" s="13">
        <v>604.23215976000006</v>
      </c>
      <c r="AA255" s="13">
        <v>1</v>
      </c>
      <c r="AB255" s="13">
        <v>604.23215976000006</v>
      </c>
    </row>
    <row r="256" spans="1:28" ht="13" x14ac:dyDescent="0.3">
      <c r="A256" s="13">
        <v>50</v>
      </c>
      <c r="B256" s="13">
        <v>0</v>
      </c>
      <c r="C256" s="13">
        <v>0</v>
      </c>
      <c r="D256" s="13">
        <v>1</v>
      </c>
      <c r="E256" s="13">
        <v>208</v>
      </c>
      <c r="F256" s="13">
        <f>Source!V233</f>
        <v>0</v>
      </c>
      <c r="G256" s="13" t="s">
        <v>134</v>
      </c>
      <c r="H256" s="13" t="s">
        <v>135</v>
      </c>
      <c r="I256" s="13"/>
      <c r="J256" s="13"/>
      <c r="K256" s="13">
        <v>208</v>
      </c>
      <c r="L256" s="13">
        <v>22</v>
      </c>
      <c r="M256" s="13">
        <v>3</v>
      </c>
      <c r="N256" s="13" t="s">
        <v>3</v>
      </c>
      <c r="O256" s="13">
        <v>-1</v>
      </c>
      <c r="P256" s="13">
        <f>Source!DN233</f>
        <v>0</v>
      </c>
      <c r="Q256" s="13"/>
      <c r="R256" s="13"/>
      <c r="S256" s="13"/>
      <c r="T256" s="13"/>
      <c r="U256" s="13"/>
      <c r="V256" s="13"/>
      <c r="W256" s="13">
        <v>0</v>
      </c>
      <c r="X256" s="13">
        <v>1</v>
      </c>
      <c r="Y256" s="13">
        <v>0</v>
      </c>
      <c r="Z256" s="13">
        <v>0</v>
      </c>
      <c r="AA256" s="13">
        <v>1</v>
      </c>
      <c r="AB256" s="13">
        <v>0</v>
      </c>
    </row>
    <row r="257" spans="1:255" ht="13" x14ac:dyDescent="0.3">
      <c r="A257" s="13">
        <v>50</v>
      </c>
      <c r="B257" s="13">
        <v>0</v>
      </c>
      <c r="C257" s="13">
        <v>0</v>
      </c>
      <c r="D257" s="13">
        <v>1</v>
      </c>
      <c r="E257" s="13">
        <v>209</v>
      </c>
      <c r="F257" s="13">
        <f>ROUND(Source!W233,O257)</f>
        <v>0</v>
      </c>
      <c r="G257" s="13" t="s">
        <v>136</v>
      </c>
      <c r="H257" s="13" t="s">
        <v>137</v>
      </c>
      <c r="I257" s="13"/>
      <c r="J257" s="13"/>
      <c r="K257" s="13">
        <v>209</v>
      </c>
      <c r="L257" s="13">
        <v>23</v>
      </c>
      <c r="M257" s="13">
        <v>3</v>
      </c>
      <c r="N257" s="13" t="s">
        <v>3</v>
      </c>
      <c r="O257" s="13">
        <v>2</v>
      </c>
      <c r="P257" s="13">
        <f>ROUND(Source!DO233,O257)</f>
        <v>0</v>
      </c>
      <c r="Q257" s="13"/>
      <c r="R257" s="13"/>
      <c r="S257" s="13"/>
      <c r="T257" s="13"/>
      <c r="U257" s="13"/>
      <c r="V257" s="13"/>
      <c r="W257" s="13">
        <v>0</v>
      </c>
      <c r="X257" s="13">
        <v>1</v>
      </c>
      <c r="Y257" s="13">
        <v>0</v>
      </c>
      <c r="Z257" s="13">
        <v>0</v>
      </c>
      <c r="AA257" s="13">
        <v>1</v>
      </c>
      <c r="AB257" s="13">
        <v>0</v>
      </c>
    </row>
    <row r="258" spans="1:255" ht="13" x14ac:dyDescent="0.3">
      <c r="A258" s="13">
        <v>50</v>
      </c>
      <c r="B258" s="13">
        <v>0</v>
      </c>
      <c r="C258" s="13">
        <v>0</v>
      </c>
      <c r="D258" s="13">
        <v>1</v>
      </c>
      <c r="E258" s="13">
        <v>233</v>
      </c>
      <c r="F258" s="13">
        <f>ROUND(Source!BD233,O258)</f>
        <v>0</v>
      </c>
      <c r="G258" s="13" t="s">
        <v>138</v>
      </c>
      <c r="H258" s="13" t="s">
        <v>139</v>
      </c>
      <c r="I258" s="13"/>
      <c r="J258" s="13"/>
      <c r="K258" s="13">
        <v>233</v>
      </c>
      <c r="L258" s="13">
        <v>24</v>
      </c>
      <c r="M258" s="13">
        <v>3</v>
      </c>
      <c r="N258" s="13" t="s">
        <v>3</v>
      </c>
      <c r="O258" s="13">
        <v>2</v>
      </c>
      <c r="P258" s="13">
        <f>ROUND(Source!EV233,O258)</f>
        <v>0</v>
      </c>
      <c r="Q258" s="13"/>
      <c r="R258" s="13"/>
      <c r="S258" s="13"/>
      <c r="T258" s="13"/>
      <c r="U258" s="13"/>
      <c r="V258" s="13"/>
      <c r="W258" s="13">
        <v>0</v>
      </c>
      <c r="X258" s="13">
        <v>1</v>
      </c>
      <c r="Y258" s="13">
        <v>0</v>
      </c>
      <c r="Z258" s="13">
        <v>0</v>
      </c>
      <c r="AA258" s="13">
        <v>1</v>
      </c>
      <c r="AB258" s="13">
        <v>0</v>
      </c>
    </row>
    <row r="259" spans="1:255" ht="13" x14ac:dyDescent="0.3">
      <c r="A259" s="13">
        <v>50</v>
      </c>
      <c r="B259" s="13">
        <v>0</v>
      </c>
      <c r="C259" s="13">
        <v>0</v>
      </c>
      <c r="D259" s="13">
        <v>1</v>
      </c>
      <c r="E259" s="13">
        <v>210</v>
      </c>
      <c r="F259" s="13">
        <f>ROUND(Source!X233,O259)</f>
        <v>7001.08</v>
      </c>
      <c r="G259" s="13" t="s">
        <v>140</v>
      </c>
      <c r="H259" s="13" t="s">
        <v>141</v>
      </c>
      <c r="I259" s="13"/>
      <c r="J259" s="13"/>
      <c r="K259" s="13">
        <v>210</v>
      </c>
      <c r="L259" s="13">
        <v>25</v>
      </c>
      <c r="M259" s="13">
        <v>3</v>
      </c>
      <c r="N259" s="13" t="s">
        <v>3</v>
      </c>
      <c r="O259" s="13">
        <v>2</v>
      </c>
      <c r="P259" s="13">
        <f>ROUND(Source!DP233,O259)</f>
        <v>394510.2</v>
      </c>
      <c r="Q259" s="13"/>
      <c r="R259" s="13"/>
      <c r="S259" s="13"/>
      <c r="T259" s="13"/>
      <c r="U259" s="13"/>
      <c r="V259" s="13"/>
      <c r="W259" s="13">
        <v>7001.08</v>
      </c>
      <c r="X259" s="13">
        <v>1</v>
      </c>
      <c r="Y259" s="13">
        <v>7001.08</v>
      </c>
      <c r="Z259" s="13">
        <v>394510.2</v>
      </c>
      <c r="AA259" s="13">
        <v>1</v>
      </c>
      <c r="AB259" s="13">
        <v>394510.2</v>
      </c>
    </row>
    <row r="260" spans="1:255" ht="13" x14ac:dyDescent="0.3">
      <c r="A260" s="13">
        <v>50</v>
      </c>
      <c r="B260" s="13">
        <v>0</v>
      </c>
      <c r="C260" s="13">
        <v>0</v>
      </c>
      <c r="D260" s="13">
        <v>1</v>
      </c>
      <c r="E260" s="13">
        <v>211</v>
      </c>
      <c r="F260" s="13">
        <f>ROUND(Source!Y233,O260)</f>
        <v>3845.58</v>
      </c>
      <c r="G260" s="13" t="s">
        <v>142</v>
      </c>
      <c r="H260" s="13" t="s">
        <v>143</v>
      </c>
      <c r="I260" s="13"/>
      <c r="J260" s="13"/>
      <c r="K260" s="13">
        <v>211</v>
      </c>
      <c r="L260" s="13">
        <v>26</v>
      </c>
      <c r="M260" s="13">
        <v>3</v>
      </c>
      <c r="N260" s="13" t="s">
        <v>3</v>
      </c>
      <c r="O260" s="13">
        <v>2</v>
      </c>
      <c r="P260" s="13">
        <f>ROUND(Source!DQ233,O260)</f>
        <v>216699.08</v>
      </c>
      <c r="Q260" s="13"/>
      <c r="R260" s="13"/>
      <c r="S260" s="13"/>
      <c r="T260" s="13"/>
      <c r="U260" s="13"/>
      <c r="V260" s="13"/>
      <c r="W260" s="13">
        <v>3845.58</v>
      </c>
      <c r="X260" s="13">
        <v>1</v>
      </c>
      <c r="Y260" s="13">
        <v>3845.58</v>
      </c>
      <c r="Z260" s="13">
        <v>216699.08</v>
      </c>
      <c r="AA260" s="13">
        <v>1</v>
      </c>
      <c r="AB260" s="13">
        <v>216699.08</v>
      </c>
    </row>
    <row r="261" spans="1:255" ht="13" x14ac:dyDescent="0.3">
      <c r="A261" s="13">
        <v>50</v>
      </c>
      <c r="B261" s="13">
        <v>0</v>
      </c>
      <c r="C261" s="13">
        <v>0</v>
      </c>
      <c r="D261" s="13">
        <v>1</v>
      </c>
      <c r="E261" s="13">
        <v>224</v>
      </c>
      <c r="F261" s="13">
        <f>ROUND(Source!AR233,O261)</f>
        <v>98907.520000000004</v>
      </c>
      <c r="G261" s="13" t="s">
        <v>144</v>
      </c>
      <c r="H261" s="13" t="s">
        <v>145</v>
      </c>
      <c r="I261" s="13"/>
      <c r="J261" s="13"/>
      <c r="K261" s="13">
        <v>224</v>
      </c>
      <c r="L261" s="13">
        <v>27</v>
      </c>
      <c r="M261" s="13">
        <v>3</v>
      </c>
      <c r="N261" s="13" t="s">
        <v>3</v>
      </c>
      <c r="O261" s="13">
        <v>2</v>
      </c>
      <c r="P261" s="13">
        <f>ROUND(Source!EJ233,O261)</f>
        <v>2055339.77</v>
      </c>
      <c r="Q261" s="13"/>
      <c r="R261" s="13"/>
      <c r="S261" s="13"/>
      <c r="T261" s="13"/>
      <c r="U261" s="13"/>
      <c r="V261" s="13"/>
      <c r="W261" s="13">
        <v>98907.520000000004</v>
      </c>
      <c r="X261" s="13">
        <v>1</v>
      </c>
      <c r="Y261" s="13">
        <v>98907.520000000004</v>
      </c>
      <c r="Z261" s="13">
        <v>2055339.77</v>
      </c>
      <c r="AA261" s="13">
        <v>1</v>
      </c>
      <c r="AB261" s="13">
        <v>2055339.77</v>
      </c>
    </row>
    <row r="263" spans="1:255" ht="13" x14ac:dyDescent="0.3">
      <c r="A263" s="10">
        <v>4</v>
      </c>
      <c r="B263" s="10">
        <v>1</v>
      </c>
      <c r="C263" s="10"/>
      <c r="D263" s="10">
        <f>ROW(A280)</f>
        <v>280</v>
      </c>
      <c r="E263" s="10"/>
      <c r="F263" s="10" t="s">
        <v>39</v>
      </c>
      <c r="G263" s="10" t="s">
        <v>315</v>
      </c>
      <c r="H263" s="10" t="s">
        <v>3</v>
      </c>
      <c r="I263" s="10">
        <v>0</v>
      </c>
      <c r="J263" s="10"/>
      <c r="K263" s="10">
        <v>-1</v>
      </c>
      <c r="L263" s="10"/>
      <c r="M263" s="10" t="s">
        <v>3</v>
      </c>
      <c r="N263" s="10"/>
      <c r="O263" s="10"/>
      <c r="P263" s="10"/>
      <c r="Q263" s="10"/>
      <c r="R263" s="10"/>
      <c r="S263" s="10">
        <v>0</v>
      </c>
      <c r="T263" s="10">
        <v>0</v>
      </c>
      <c r="U263" s="10" t="s">
        <v>3</v>
      </c>
      <c r="V263" s="10">
        <v>2</v>
      </c>
      <c r="W263" s="10"/>
      <c r="X263" s="10"/>
      <c r="Y263" s="10"/>
      <c r="Z263" s="10"/>
      <c r="AA263" s="10"/>
      <c r="AB263" s="10" t="s">
        <v>3</v>
      </c>
      <c r="AC263" s="10" t="s">
        <v>3</v>
      </c>
      <c r="AD263" s="10" t="s">
        <v>3</v>
      </c>
      <c r="AE263" s="10" t="s">
        <v>3</v>
      </c>
      <c r="AF263" s="10" t="s">
        <v>3</v>
      </c>
      <c r="AG263" s="10" t="s">
        <v>3</v>
      </c>
      <c r="AH263" s="10"/>
      <c r="AI263" s="10"/>
      <c r="AJ263" s="10"/>
      <c r="AK263" s="10"/>
      <c r="AL263" s="10"/>
      <c r="AM263" s="10"/>
      <c r="AN263" s="10"/>
      <c r="AO263" s="10"/>
      <c r="AP263" s="10" t="s">
        <v>3</v>
      </c>
      <c r="AQ263" s="10" t="s">
        <v>3</v>
      </c>
      <c r="AR263" s="10" t="s">
        <v>3</v>
      </c>
      <c r="AS263" s="10"/>
      <c r="AT263" s="10"/>
      <c r="AU263" s="10"/>
      <c r="AV263" s="10"/>
      <c r="AW263" s="10"/>
      <c r="AX263" s="10"/>
      <c r="AY263" s="10"/>
      <c r="AZ263" s="10" t="s">
        <v>3</v>
      </c>
      <c r="BA263" s="10"/>
      <c r="BB263" s="10" t="s">
        <v>3</v>
      </c>
      <c r="BC263" s="10" t="s">
        <v>3</v>
      </c>
      <c r="BD263" s="10" t="s">
        <v>3</v>
      </c>
      <c r="BE263" s="10" t="s">
        <v>3</v>
      </c>
      <c r="BF263" s="10" t="s">
        <v>3</v>
      </c>
      <c r="BG263" s="10" t="s">
        <v>3</v>
      </c>
      <c r="BH263" s="10" t="s">
        <v>3</v>
      </c>
      <c r="BI263" s="10" t="s">
        <v>3</v>
      </c>
      <c r="BJ263" s="10" t="s">
        <v>3</v>
      </c>
      <c r="BK263" s="10" t="s">
        <v>3</v>
      </c>
      <c r="BL263" s="10" t="s">
        <v>3</v>
      </c>
      <c r="BM263" s="10" t="s">
        <v>3</v>
      </c>
      <c r="BN263" s="10" t="s">
        <v>3</v>
      </c>
      <c r="BO263" s="10" t="s">
        <v>3</v>
      </c>
      <c r="BP263" s="10" t="s">
        <v>3</v>
      </c>
      <c r="BQ263" s="10"/>
      <c r="BR263" s="10"/>
      <c r="BS263" s="10"/>
      <c r="BT263" s="10"/>
      <c r="BU263" s="10"/>
      <c r="BV263" s="10"/>
      <c r="BW263" s="10"/>
      <c r="BX263" s="10">
        <v>0</v>
      </c>
      <c r="BY263" s="10"/>
      <c r="BZ263" s="10"/>
      <c r="CA263" s="10"/>
      <c r="CB263" s="10"/>
      <c r="CC263" s="10"/>
      <c r="CD263" s="10"/>
      <c r="CE263" s="10"/>
      <c r="CF263" s="10"/>
      <c r="CG263" s="10"/>
      <c r="CH263" s="10"/>
      <c r="CI263" s="10"/>
      <c r="CJ263" s="10">
        <v>0</v>
      </c>
    </row>
    <row r="265" spans="1:255" ht="13" x14ac:dyDescent="0.3">
      <c r="A265" s="11">
        <v>52</v>
      </c>
      <c r="B265" s="11">
        <f t="shared" ref="B265:G265" si="206">B280</f>
        <v>1</v>
      </c>
      <c r="C265" s="11">
        <f t="shared" si="206"/>
        <v>4</v>
      </c>
      <c r="D265" s="11">
        <f t="shared" si="206"/>
        <v>263</v>
      </c>
      <c r="E265" s="11">
        <f t="shared" si="206"/>
        <v>0</v>
      </c>
      <c r="F265" s="11" t="str">
        <f t="shared" si="206"/>
        <v>3</v>
      </c>
      <c r="G265" s="11" t="str">
        <f t="shared" si="206"/>
        <v>Огнестойкая кабельная линия</v>
      </c>
      <c r="H265" s="11"/>
      <c r="I265" s="11"/>
      <c r="J265" s="11"/>
      <c r="K265" s="11"/>
      <c r="L265" s="11"/>
      <c r="M265" s="11"/>
      <c r="N265" s="11"/>
      <c r="O265" s="11">
        <f t="shared" ref="O265:AT265" si="207">O280</f>
        <v>138934.89000000001</v>
      </c>
      <c r="P265" s="11">
        <f t="shared" si="207"/>
        <v>115017.13</v>
      </c>
      <c r="Q265" s="11">
        <f t="shared" si="207"/>
        <v>399.59</v>
      </c>
      <c r="R265" s="11">
        <f t="shared" si="207"/>
        <v>0</v>
      </c>
      <c r="S265" s="11">
        <f t="shared" si="207"/>
        <v>23518.17</v>
      </c>
      <c r="T265" s="11">
        <f t="shared" si="207"/>
        <v>0</v>
      </c>
      <c r="U265" s="11">
        <f t="shared" si="207"/>
        <v>1978.5221819999997</v>
      </c>
      <c r="V265" s="11">
        <f t="shared" si="207"/>
        <v>0</v>
      </c>
      <c r="W265" s="11">
        <f t="shared" si="207"/>
        <v>0</v>
      </c>
      <c r="X265" s="11">
        <f t="shared" si="207"/>
        <v>21166.35</v>
      </c>
      <c r="Y265" s="11">
        <f t="shared" si="207"/>
        <v>10818.36</v>
      </c>
      <c r="Z265" s="11">
        <f t="shared" si="207"/>
        <v>0</v>
      </c>
      <c r="AA265" s="11">
        <f t="shared" si="207"/>
        <v>0</v>
      </c>
      <c r="AB265" s="11">
        <f t="shared" si="207"/>
        <v>138934.89000000001</v>
      </c>
      <c r="AC265" s="11">
        <f t="shared" si="207"/>
        <v>115017.13</v>
      </c>
      <c r="AD265" s="11">
        <f t="shared" si="207"/>
        <v>399.59</v>
      </c>
      <c r="AE265" s="11">
        <f t="shared" si="207"/>
        <v>0</v>
      </c>
      <c r="AF265" s="11">
        <f t="shared" si="207"/>
        <v>23518.17</v>
      </c>
      <c r="AG265" s="11">
        <f t="shared" si="207"/>
        <v>0</v>
      </c>
      <c r="AH265" s="11">
        <f t="shared" si="207"/>
        <v>1978.5221819999997</v>
      </c>
      <c r="AI265" s="11">
        <f t="shared" si="207"/>
        <v>0</v>
      </c>
      <c r="AJ265" s="11">
        <f t="shared" si="207"/>
        <v>0</v>
      </c>
      <c r="AK265" s="11">
        <f t="shared" si="207"/>
        <v>21166.35</v>
      </c>
      <c r="AL265" s="11">
        <f t="shared" si="207"/>
        <v>10818.36</v>
      </c>
      <c r="AM265" s="11">
        <f t="shared" si="207"/>
        <v>0</v>
      </c>
      <c r="AN265" s="11">
        <f t="shared" si="207"/>
        <v>0</v>
      </c>
      <c r="AO265" s="11">
        <f t="shared" si="207"/>
        <v>0</v>
      </c>
      <c r="AP265" s="11">
        <f t="shared" si="207"/>
        <v>0</v>
      </c>
      <c r="AQ265" s="11">
        <f t="shared" si="207"/>
        <v>0</v>
      </c>
      <c r="AR265" s="11">
        <f t="shared" si="207"/>
        <v>170919.6</v>
      </c>
      <c r="AS265" s="11">
        <f t="shared" si="207"/>
        <v>0</v>
      </c>
      <c r="AT265" s="11">
        <f t="shared" si="207"/>
        <v>170919.6</v>
      </c>
      <c r="AU265" s="11">
        <f t="shared" ref="AU265:BZ265" si="208">AU280</f>
        <v>0</v>
      </c>
      <c r="AV265" s="11">
        <f t="shared" si="208"/>
        <v>115017.13</v>
      </c>
      <c r="AW265" s="11">
        <f t="shared" si="208"/>
        <v>115017.13</v>
      </c>
      <c r="AX265" s="11">
        <f t="shared" si="208"/>
        <v>0</v>
      </c>
      <c r="AY265" s="11">
        <f t="shared" si="208"/>
        <v>115017.13</v>
      </c>
      <c r="AZ265" s="11">
        <f t="shared" si="208"/>
        <v>0</v>
      </c>
      <c r="BA265" s="11">
        <f t="shared" si="208"/>
        <v>0</v>
      </c>
      <c r="BB265" s="11">
        <f t="shared" si="208"/>
        <v>0</v>
      </c>
      <c r="BC265" s="11">
        <f t="shared" si="208"/>
        <v>0</v>
      </c>
      <c r="BD265" s="11">
        <f t="shared" si="208"/>
        <v>0</v>
      </c>
      <c r="BE265" s="11">
        <f t="shared" si="208"/>
        <v>0</v>
      </c>
      <c r="BF265" s="11">
        <f t="shared" si="208"/>
        <v>0</v>
      </c>
      <c r="BG265" s="11">
        <f t="shared" si="208"/>
        <v>0</v>
      </c>
      <c r="BH265" s="11">
        <f t="shared" si="208"/>
        <v>0</v>
      </c>
      <c r="BI265" s="11">
        <f t="shared" si="208"/>
        <v>0</v>
      </c>
      <c r="BJ265" s="11">
        <f t="shared" si="208"/>
        <v>0</v>
      </c>
      <c r="BK265" s="11">
        <f t="shared" si="208"/>
        <v>0</v>
      </c>
      <c r="BL265" s="11">
        <f t="shared" si="208"/>
        <v>0</v>
      </c>
      <c r="BM265" s="11">
        <f t="shared" si="208"/>
        <v>0</v>
      </c>
      <c r="BN265" s="11">
        <f t="shared" si="208"/>
        <v>0</v>
      </c>
      <c r="BO265" s="11">
        <f t="shared" si="208"/>
        <v>0</v>
      </c>
      <c r="BP265" s="11">
        <f t="shared" si="208"/>
        <v>0</v>
      </c>
      <c r="BQ265" s="11">
        <f t="shared" si="208"/>
        <v>0</v>
      </c>
      <c r="BR265" s="11">
        <f t="shared" si="208"/>
        <v>0</v>
      </c>
      <c r="BS265" s="11">
        <f t="shared" si="208"/>
        <v>0</v>
      </c>
      <c r="BT265" s="11">
        <f t="shared" si="208"/>
        <v>0</v>
      </c>
      <c r="BU265" s="11">
        <f t="shared" si="208"/>
        <v>0</v>
      </c>
      <c r="BV265" s="11">
        <f t="shared" si="208"/>
        <v>0</v>
      </c>
      <c r="BW265" s="11">
        <f t="shared" si="208"/>
        <v>0</v>
      </c>
      <c r="BX265" s="11">
        <f t="shared" si="208"/>
        <v>0</v>
      </c>
      <c r="BY265" s="11">
        <f t="shared" si="208"/>
        <v>0</v>
      </c>
      <c r="BZ265" s="11">
        <f t="shared" si="208"/>
        <v>0</v>
      </c>
      <c r="CA265" s="11">
        <f t="shared" ref="CA265:DF265" si="209">CA280</f>
        <v>170919.6</v>
      </c>
      <c r="CB265" s="11">
        <f t="shared" si="209"/>
        <v>0</v>
      </c>
      <c r="CC265" s="11">
        <f t="shared" si="209"/>
        <v>170919.6</v>
      </c>
      <c r="CD265" s="11">
        <f t="shared" si="209"/>
        <v>0</v>
      </c>
      <c r="CE265" s="11">
        <f t="shared" si="209"/>
        <v>115017.13</v>
      </c>
      <c r="CF265" s="11">
        <f t="shared" si="209"/>
        <v>115017.13</v>
      </c>
      <c r="CG265" s="11">
        <f t="shared" si="209"/>
        <v>0</v>
      </c>
      <c r="CH265" s="11">
        <f t="shared" si="209"/>
        <v>115017.13</v>
      </c>
      <c r="CI265" s="11">
        <f t="shared" si="209"/>
        <v>0</v>
      </c>
      <c r="CJ265" s="11">
        <f t="shared" si="209"/>
        <v>0</v>
      </c>
      <c r="CK265" s="11">
        <f t="shared" si="209"/>
        <v>0</v>
      </c>
      <c r="CL265" s="11">
        <f t="shared" si="209"/>
        <v>0</v>
      </c>
      <c r="CM265" s="11">
        <f t="shared" si="209"/>
        <v>0</v>
      </c>
      <c r="CN265" s="11">
        <f t="shared" si="209"/>
        <v>0</v>
      </c>
      <c r="CO265" s="11">
        <f t="shared" si="209"/>
        <v>0</v>
      </c>
      <c r="CP265" s="11">
        <f t="shared" si="209"/>
        <v>0</v>
      </c>
      <c r="CQ265" s="11">
        <f t="shared" si="209"/>
        <v>0</v>
      </c>
      <c r="CR265" s="11">
        <f t="shared" si="209"/>
        <v>0</v>
      </c>
      <c r="CS265" s="11">
        <f t="shared" si="209"/>
        <v>0</v>
      </c>
      <c r="CT265" s="11">
        <f t="shared" si="209"/>
        <v>0</v>
      </c>
      <c r="CU265" s="11">
        <f t="shared" si="209"/>
        <v>0</v>
      </c>
      <c r="CV265" s="11">
        <f t="shared" si="209"/>
        <v>0</v>
      </c>
      <c r="CW265" s="11">
        <f t="shared" si="209"/>
        <v>0</v>
      </c>
      <c r="CX265" s="11">
        <f t="shared" si="209"/>
        <v>0</v>
      </c>
      <c r="CY265" s="11">
        <f t="shared" si="209"/>
        <v>0</v>
      </c>
      <c r="CZ265" s="11">
        <f t="shared" si="209"/>
        <v>0</v>
      </c>
      <c r="DA265" s="11">
        <f t="shared" si="209"/>
        <v>0</v>
      </c>
      <c r="DB265" s="11">
        <f t="shared" si="209"/>
        <v>0</v>
      </c>
      <c r="DC265" s="11">
        <f t="shared" si="209"/>
        <v>0</v>
      </c>
      <c r="DD265" s="11">
        <f t="shared" si="209"/>
        <v>0</v>
      </c>
      <c r="DE265" s="11">
        <f t="shared" si="209"/>
        <v>0</v>
      </c>
      <c r="DF265" s="11">
        <f t="shared" si="209"/>
        <v>0</v>
      </c>
      <c r="DG265" s="12">
        <f t="shared" ref="DG265:EL265" si="210">DG280</f>
        <v>2458267.38</v>
      </c>
      <c r="DH265" s="12">
        <f t="shared" si="210"/>
        <v>1129182.44</v>
      </c>
      <c r="DI265" s="12">
        <f t="shared" si="210"/>
        <v>3836.06</v>
      </c>
      <c r="DJ265" s="12">
        <f t="shared" si="210"/>
        <v>0</v>
      </c>
      <c r="DK265" s="12">
        <f t="shared" si="210"/>
        <v>1325248.8799999999</v>
      </c>
      <c r="DL265" s="12">
        <f t="shared" si="210"/>
        <v>0</v>
      </c>
      <c r="DM265" s="12">
        <f t="shared" si="210"/>
        <v>1978.5221819999997</v>
      </c>
      <c r="DN265" s="12">
        <f t="shared" si="210"/>
        <v>0</v>
      </c>
      <c r="DO265" s="12">
        <f t="shared" si="210"/>
        <v>0</v>
      </c>
      <c r="DP265" s="12">
        <f t="shared" si="210"/>
        <v>1192723.99</v>
      </c>
      <c r="DQ265" s="12">
        <f t="shared" si="210"/>
        <v>609614.48</v>
      </c>
      <c r="DR265" s="12">
        <f t="shared" si="210"/>
        <v>0</v>
      </c>
      <c r="DS265" s="12">
        <f t="shared" si="210"/>
        <v>0</v>
      </c>
      <c r="DT265" s="12">
        <f t="shared" si="210"/>
        <v>2458267.38</v>
      </c>
      <c r="DU265" s="12">
        <f t="shared" si="210"/>
        <v>1129182.44</v>
      </c>
      <c r="DV265" s="12">
        <f t="shared" si="210"/>
        <v>3836.06</v>
      </c>
      <c r="DW265" s="12">
        <f t="shared" si="210"/>
        <v>0</v>
      </c>
      <c r="DX265" s="12">
        <f t="shared" si="210"/>
        <v>1325248.8799999999</v>
      </c>
      <c r="DY265" s="12">
        <f t="shared" si="210"/>
        <v>0</v>
      </c>
      <c r="DZ265" s="12">
        <f t="shared" si="210"/>
        <v>1978.5221819999997</v>
      </c>
      <c r="EA265" s="12">
        <f t="shared" si="210"/>
        <v>0</v>
      </c>
      <c r="EB265" s="12">
        <f t="shared" si="210"/>
        <v>0</v>
      </c>
      <c r="EC265" s="12">
        <f t="shared" si="210"/>
        <v>1192723.99</v>
      </c>
      <c r="ED265" s="12">
        <f t="shared" si="210"/>
        <v>609614.48</v>
      </c>
      <c r="EE265" s="12">
        <f t="shared" si="210"/>
        <v>0</v>
      </c>
      <c r="EF265" s="12">
        <f t="shared" si="210"/>
        <v>0</v>
      </c>
      <c r="EG265" s="12">
        <f t="shared" si="210"/>
        <v>0</v>
      </c>
      <c r="EH265" s="12">
        <f t="shared" si="210"/>
        <v>0</v>
      </c>
      <c r="EI265" s="12">
        <f t="shared" si="210"/>
        <v>0</v>
      </c>
      <c r="EJ265" s="12">
        <f t="shared" si="210"/>
        <v>4260605.8499999996</v>
      </c>
      <c r="EK265" s="12">
        <f t="shared" si="210"/>
        <v>0</v>
      </c>
      <c r="EL265" s="12">
        <f t="shared" si="210"/>
        <v>4260605.8499999996</v>
      </c>
      <c r="EM265" s="12">
        <f t="shared" ref="EM265:FR265" si="211">EM280</f>
        <v>0</v>
      </c>
      <c r="EN265" s="12">
        <f t="shared" si="211"/>
        <v>1129182.44</v>
      </c>
      <c r="EO265" s="12">
        <f t="shared" si="211"/>
        <v>1129182.44</v>
      </c>
      <c r="EP265" s="12">
        <f t="shared" si="211"/>
        <v>0</v>
      </c>
      <c r="EQ265" s="12">
        <f t="shared" si="211"/>
        <v>1129182.44</v>
      </c>
      <c r="ER265" s="12">
        <f t="shared" si="211"/>
        <v>0</v>
      </c>
      <c r="ES265" s="12">
        <f t="shared" si="211"/>
        <v>0</v>
      </c>
      <c r="ET265" s="12">
        <f t="shared" si="211"/>
        <v>0</v>
      </c>
      <c r="EU265" s="12">
        <f t="shared" si="211"/>
        <v>0</v>
      </c>
      <c r="EV265" s="12">
        <f t="shared" si="211"/>
        <v>0</v>
      </c>
      <c r="EW265" s="12">
        <f t="shared" si="211"/>
        <v>0</v>
      </c>
      <c r="EX265" s="12">
        <f t="shared" si="211"/>
        <v>0</v>
      </c>
      <c r="EY265" s="12">
        <f t="shared" si="211"/>
        <v>0</v>
      </c>
      <c r="EZ265" s="12">
        <f t="shared" si="211"/>
        <v>0</v>
      </c>
      <c r="FA265" s="12">
        <f t="shared" si="211"/>
        <v>0</v>
      </c>
      <c r="FB265" s="12">
        <f t="shared" si="211"/>
        <v>0</v>
      </c>
      <c r="FC265" s="12">
        <f t="shared" si="211"/>
        <v>0</v>
      </c>
      <c r="FD265" s="12">
        <f t="shared" si="211"/>
        <v>0</v>
      </c>
      <c r="FE265" s="12">
        <f t="shared" si="211"/>
        <v>0</v>
      </c>
      <c r="FF265" s="12">
        <f t="shared" si="211"/>
        <v>0</v>
      </c>
      <c r="FG265" s="12">
        <f t="shared" si="211"/>
        <v>0</v>
      </c>
      <c r="FH265" s="12">
        <f t="shared" si="211"/>
        <v>0</v>
      </c>
      <c r="FI265" s="12">
        <f t="shared" si="211"/>
        <v>0</v>
      </c>
      <c r="FJ265" s="12">
        <f t="shared" si="211"/>
        <v>0</v>
      </c>
      <c r="FK265" s="12">
        <f t="shared" si="211"/>
        <v>0</v>
      </c>
      <c r="FL265" s="12">
        <f t="shared" si="211"/>
        <v>0</v>
      </c>
      <c r="FM265" s="12">
        <f t="shared" si="211"/>
        <v>0</v>
      </c>
      <c r="FN265" s="12">
        <f t="shared" si="211"/>
        <v>0</v>
      </c>
      <c r="FO265" s="12">
        <f t="shared" si="211"/>
        <v>0</v>
      </c>
      <c r="FP265" s="12">
        <f t="shared" si="211"/>
        <v>0</v>
      </c>
      <c r="FQ265" s="12">
        <f t="shared" si="211"/>
        <v>0</v>
      </c>
      <c r="FR265" s="12">
        <f t="shared" si="211"/>
        <v>0</v>
      </c>
      <c r="FS265" s="12">
        <f t="shared" ref="FS265:GX265" si="212">FS280</f>
        <v>4260605.8499999996</v>
      </c>
      <c r="FT265" s="12">
        <f t="shared" si="212"/>
        <v>0</v>
      </c>
      <c r="FU265" s="12">
        <f t="shared" si="212"/>
        <v>4260605.8499999996</v>
      </c>
      <c r="FV265" s="12">
        <f t="shared" si="212"/>
        <v>0</v>
      </c>
      <c r="FW265" s="12">
        <f t="shared" si="212"/>
        <v>1129182.44</v>
      </c>
      <c r="FX265" s="12">
        <f t="shared" si="212"/>
        <v>1129182.44</v>
      </c>
      <c r="FY265" s="12">
        <f t="shared" si="212"/>
        <v>0</v>
      </c>
      <c r="FZ265" s="12">
        <f t="shared" si="212"/>
        <v>1129182.44</v>
      </c>
      <c r="GA265" s="12">
        <f t="shared" si="212"/>
        <v>0</v>
      </c>
      <c r="GB265" s="12">
        <f t="shared" si="212"/>
        <v>0</v>
      </c>
      <c r="GC265" s="12">
        <f t="shared" si="212"/>
        <v>0</v>
      </c>
      <c r="GD265" s="12">
        <f t="shared" si="212"/>
        <v>0</v>
      </c>
      <c r="GE265" s="12">
        <f t="shared" si="212"/>
        <v>0</v>
      </c>
      <c r="GF265" s="12">
        <f t="shared" si="212"/>
        <v>0</v>
      </c>
      <c r="GG265" s="12">
        <f t="shared" si="212"/>
        <v>0</v>
      </c>
      <c r="GH265" s="12">
        <f t="shared" si="212"/>
        <v>0</v>
      </c>
      <c r="GI265" s="12">
        <f t="shared" si="212"/>
        <v>0</v>
      </c>
      <c r="GJ265" s="12">
        <f t="shared" si="212"/>
        <v>0</v>
      </c>
      <c r="GK265" s="12">
        <f t="shared" si="212"/>
        <v>0</v>
      </c>
      <c r="GL265" s="12">
        <f t="shared" si="212"/>
        <v>0</v>
      </c>
      <c r="GM265" s="12">
        <f t="shared" si="212"/>
        <v>0</v>
      </c>
      <c r="GN265" s="12">
        <f t="shared" si="212"/>
        <v>0</v>
      </c>
      <c r="GO265" s="12">
        <f t="shared" si="212"/>
        <v>0</v>
      </c>
      <c r="GP265" s="12">
        <f t="shared" si="212"/>
        <v>0</v>
      </c>
      <c r="GQ265" s="12">
        <f t="shared" si="212"/>
        <v>0</v>
      </c>
      <c r="GR265" s="12">
        <f t="shared" si="212"/>
        <v>0</v>
      </c>
      <c r="GS265" s="12">
        <f t="shared" si="212"/>
        <v>0</v>
      </c>
      <c r="GT265" s="12">
        <f t="shared" si="212"/>
        <v>0</v>
      </c>
      <c r="GU265" s="12">
        <f t="shared" si="212"/>
        <v>0</v>
      </c>
      <c r="GV265" s="12">
        <f t="shared" si="212"/>
        <v>0</v>
      </c>
      <c r="GW265" s="12">
        <f t="shared" si="212"/>
        <v>0</v>
      </c>
      <c r="GX265" s="12">
        <f t="shared" si="212"/>
        <v>0</v>
      </c>
    </row>
    <row r="267" spans="1:255" x14ac:dyDescent="0.25">
      <c r="A267" s="2">
        <v>17</v>
      </c>
      <c r="B267" s="2">
        <v>1</v>
      </c>
      <c r="C267" s="2">
        <f>ROW(SmtRes!A234)</f>
        <v>234</v>
      </c>
      <c r="D267" s="2">
        <f>ROW(EtalonRes!A300)</f>
        <v>300</v>
      </c>
      <c r="E267" s="2" t="s">
        <v>316</v>
      </c>
      <c r="F267" s="2" t="s">
        <v>77</v>
      </c>
      <c r="G267" s="2" t="s">
        <v>78</v>
      </c>
      <c r="H267" s="2" t="s">
        <v>68</v>
      </c>
      <c r="I267" s="2">
        <f>ROUND(4550/100,9)</f>
        <v>45.5</v>
      </c>
      <c r="J267" s="2">
        <v>0</v>
      </c>
      <c r="K267" s="2">
        <f>ROUND(4550/100,9)</f>
        <v>45.5</v>
      </c>
      <c r="L267" s="2"/>
      <c r="M267" s="2"/>
      <c r="N267" s="2"/>
      <c r="O267" s="2">
        <f t="shared" ref="O267:O278" si="213">ROUND(CP267,2)</f>
        <v>24982.01</v>
      </c>
      <c r="P267" s="2">
        <f t="shared" ref="P267:P278" si="214">ROUND((ROUND((AC267*AW267*I267),2)*BC267),2)</f>
        <v>1064.25</v>
      </c>
      <c r="Q267" s="2">
        <f>(ROUND((ROUND((((ET267*1.2))*AV267*I267),2)*BB267),2)+ROUND((ROUND(((AE267-((EU267*1.2)))*AV267*I267),2)*BS267),2))</f>
        <v>399.59</v>
      </c>
      <c r="R267" s="2">
        <f>(ROUND((ROUND((((EU267*1.2))*AV267*I267),2)*BS267),2)+ROUND((ROUND(((AE267-((EU267*1.2)))*AV267*I267),2)*BS267),2))</f>
        <v>0</v>
      </c>
      <c r="S267" s="2">
        <f t="shared" ref="S267:S278" si="215">ROUND((ROUND((AF267*AV267*I267),2)*BA267),2)</f>
        <v>23518.17</v>
      </c>
      <c r="T267" s="2">
        <f t="shared" ref="T267:T278" si="216">ROUND(CU267*I267,2)</f>
        <v>0</v>
      </c>
      <c r="U267" s="2">
        <f t="shared" ref="U267:U278" si="217">CV267*I267</f>
        <v>1978.5221819999997</v>
      </c>
      <c r="V267" s="2">
        <f t="shared" ref="V267:V278" si="218">CW267*I267</f>
        <v>0</v>
      </c>
      <c r="W267" s="2">
        <f t="shared" ref="W267:W278" si="219">ROUND(CX267*I267,2)</f>
        <v>0</v>
      </c>
      <c r="X267" s="2">
        <f>(ROUND((((S267+ROUND((ROUND((((EU267*1.2))*AV267*I267),2)*BS267),2))*AT267)/100),2)+ROUND(((ROUND((ROUND(((AE267-((EU267*1.2)))*AV267*I267),2)*BS267),2)*AT267)/100),2))</f>
        <v>21166.35</v>
      </c>
      <c r="Y267" s="2">
        <f>(ROUND((((S267+ROUND((ROUND((((EU267*1.2))*AV267*I267),2)*BS267),2))*AU267)/100),2)+ROUND(((ROUND((ROUND(((AE267-((EU267*1.2)))*AV267*I267),2)*BS267),2)*AU267)/100),2))</f>
        <v>10818.36</v>
      </c>
      <c r="Z267" s="2"/>
      <c r="AA267" s="2">
        <v>57014138</v>
      </c>
      <c r="AB267" s="2">
        <f t="shared" ref="AB267:AB278" si="220">ROUND((AC267+AD267+AF267),6)</f>
        <v>525.45799999999997</v>
      </c>
      <c r="AC267" s="2">
        <f>ROUND(((ES267*1)),6)</f>
        <v>23.39</v>
      </c>
      <c r="AD267" s="2">
        <f>ROUND(((((ET267*1.2))-((EU267*1.2)))+AE267),6)</f>
        <v>8.3879999999999999</v>
      </c>
      <c r="AE267" s="2">
        <f>ROUND(((EU267*1.2)),6)</f>
        <v>0</v>
      </c>
      <c r="AF267" s="2">
        <f>ROUND(((EV267*1.2)),6)</f>
        <v>493.68</v>
      </c>
      <c r="AG267" s="2">
        <f t="shared" ref="AG267:AG278" si="221">ROUND((AP267),6)</f>
        <v>0</v>
      </c>
      <c r="AH267" s="2">
        <f>((EW267*1.2))</f>
        <v>41.531999999999996</v>
      </c>
      <c r="AI267" s="2">
        <f>((EX267*1.2))</f>
        <v>0</v>
      </c>
      <c r="AJ267" s="2">
        <f t="shared" ref="AJ267:AJ278" si="222">(AS267)</f>
        <v>0</v>
      </c>
      <c r="AK267" s="2">
        <v>441.78</v>
      </c>
      <c r="AL267" s="2">
        <v>23.39</v>
      </c>
      <c r="AM267" s="2">
        <v>6.99</v>
      </c>
      <c r="AN267" s="2">
        <v>0</v>
      </c>
      <c r="AO267" s="2">
        <v>411.4</v>
      </c>
      <c r="AP267" s="2">
        <v>0</v>
      </c>
      <c r="AQ267" s="2">
        <v>34.61</v>
      </c>
      <c r="AR267" s="2">
        <v>0</v>
      </c>
      <c r="AS267" s="2">
        <v>0</v>
      </c>
      <c r="AT267" s="2">
        <v>90</v>
      </c>
      <c r="AU267" s="2">
        <v>46</v>
      </c>
      <c r="AV267" s="2">
        <v>1.0469999999999999</v>
      </c>
      <c r="AW267" s="2">
        <v>1</v>
      </c>
      <c r="AX267" s="2"/>
      <c r="AY267" s="2"/>
      <c r="AZ267" s="2">
        <v>1</v>
      </c>
      <c r="BA267" s="2">
        <v>1</v>
      </c>
      <c r="BB267" s="2">
        <v>1</v>
      </c>
      <c r="BC267" s="2">
        <v>1</v>
      </c>
      <c r="BD267" s="2" t="s">
        <v>3</v>
      </c>
      <c r="BE267" s="2" t="s">
        <v>3</v>
      </c>
      <c r="BF267" s="2" t="s">
        <v>3</v>
      </c>
      <c r="BG267" s="2" t="s">
        <v>3</v>
      </c>
      <c r="BH267" s="2">
        <v>0</v>
      </c>
      <c r="BI267" s="2">
        <v>2</v>
      </c>
      <c r="BJ267" s="2" t="s">
        <v>79</v>
      </c>
      <c r="BK267" s="2"/>
      <c r="BL267" s="2"/>
      <c r="BM267" s="2">
        <v>68</v>
      </c>
      <c r="BN267" s="2">
        <v>0</v>
      </c>
      <c r="BO267" s="2" t="s">
        <v>77</v>
      </c>
      <c r="BP267" s="2">
        <v>1</v>
      </c>
      <c r="BQ267" s="2">
        <v>40</v>
      </c>
      <c r="BR267" s="2">
        <v>0</v>
      </c>
      <c r="BS267" s="2">
        <v>1</v>
      </c>
      <c r="BT267" s="2">
        <v>1</v>
      </c>
      <c r="BU267" s="2">
        <v>1</v>
      </c>
      <c r="BV267" s="2">
        <v>1</v>
      </c>
      <c r="BW267" s="2">
        <v>1</v>
      </c>
      <c r="BX267" s="2">
        <v>1</v>
      </c>
      <c r="BY267" s="2" t="s">
        <v>3</v>
      </c>
      <c r="BZ267" s="2">
        <v>90</v>
      </c>
      <c r="CA267" s="2">
        <v>46</v>
      </c>
      <c r="CB267" s="2" t="s">
        <v>3</v>
      </c>
      <c r="CC267" s="2"/>
      <c r="CD267" s="2"/>
      <c r="CE267" s="2">
        <v>1566</v>
      </c>
      <c r="CF267" s="2">
        <v>0</v>
      </c>
      <c r="CG267" s="2">
        <v>0</v>
      </c>
      <c r="CH267" s="2"/>
      <c r="CI267" s="2"/>
      <c r="CJ267" s="2"/>
      <c r="CK267" s="2"/>
      <c r="CL267" s="2"/>
      <c r="CM267" s="2">
        <v>0</v>
      </c>
      <c r="CN267" s="2" t="s">
        <v>624</v>
      </c>
      <c r="CO267" s="2">
        <v>0</v>
      </c>
      <c r="CP267" s="2">
        <f t="shared" ref="CP267:CP278" si="223">(P267+Q267+S267)</f>
        <v>24982.01</v>
      </c>
      <c r="CQ267" s="2">
        <f t="shared" ref="CQ267:CQ278" si="224">ROUND((ROUND((AC267*AW267*1),2)*BC267),2)</f>
        <v>23.39</v>
      </c>
      <c r="CR267" s="2">
        <f>(ROUND((ROUND((((ET267*1.2))*AV267*1),2)*BB267),2)+ROUND((ROUND(((AE267-((EU267*1.2)))*AV267*1),2)*BS267),2))</f>
        <v>8.7799999999999994</v>
      </c>
      <c r="CS267" s="2">
        <f>(ROUND((ROUND((((EU267*1.2))*AV267*1),2)*BS267),2)+ROUND((ROUND(((AE267-((EU267*1.2)))*AV267*1),2)*BS267),2))</f>
        <v>0</v>
      </c>
      <c r="CT267" s="2">
        <f t="shared" ref="CT267:CT278" si="225">ROUND((ROUND((AF267*AV267*1),2)*BA267),2)</f>
        <v>516.88</v>
      </c>
      <c r="CU267" s="2">
        <f t="shared" ref="CU267:CU278" si="226">AG267</f>
        <v>0</v>
      </c>
      <c r="CV267" s="2">
        <f t="shared" ref="CV267:CV278" si="227">(AH267*AV267)</f>
        <v>43.484003999999992</v>
      </c>
      <c r="CW267" s="2">
        <f t="shared" ref="CW267:CW278" si="228">AI267</f>
        <v>0</v>
      </c>
      <c r="CX267" s="2">
        <f t="shared" ref="CX267:CX278" si="229">AJ267</f>
        <v>0</v>
      </c>
      <c r="CY267" s="2">
        <f>(ROUND((((S267+ROUND((ROUND((((EU267*1.2))*AV267*1),2)*BS267),2))*AT267)/100),2)+ROUND(((ROUND((ROUND(((AE267-((EU267*1.2)))*AV267*1),2)*BS267),2)*AT267)/100),2))</f>
        <v>21166.35</v>
      </c>
      <c r="CZ267" s="2">
        <f>(ROUND((((S267+ROUND((ROUND((((EU267*1.2))*AV267*1),2)*BS267),2))*AU267)/100),2)+ROUND(((ROUND((ROUND(((AE267-((EU267*1.2)))*AV267*1),2)*BS267),2)*AU267)/100),2))</f>
        <v>10818.36</v>
      </c>
      <c r="DA267" s="2"/>
      <c r="DB267" s="2">
        <v>93</v>
      </c>
      <c r="DC267" s="2" t="s">
        <v>3</v>
      </c>
      <c r="DD267" s="2" t="s">
        <v>70</v>
      </c>
      <c r="DE267" s="2" t="s">
        <v>71</v>
      </c>
      <c r="DF267" s="2" t="s">
        <v>71</v>
      </c>
      <c r="DG267" s="2" t="s">
        <v>71</v>
      </c>
      <c r="DH267" s="2" t="s">
        <v>3</v>
      </c>
      <c r="DI267" s="2" t="s">
        <v>71</v>
      </c>
      <c r="DJ267" s="2" t="s">
        <v>71</v>
      </c>
      <c r="DK267" s="2" t="s">
        <v>3</v>
      </c>
      <c r="DL267" s="2" t="s">
        <v>3</v>
      </c>
      <c r="DM267" s="2" t="s">
        <v>3</v>
      </c>
      <c r="DN267" s="2">
        <v>0</v>
      </c>
      <c r="DO267" s="2">
        <v>0</v>
      </c>
      <c r="DP267" s="2">
        <v>1</v>
      </c>
      <c r="DQ267" s="2">
        <v>1</v>
      </c>
      <c r="DR267" s="2"/>
      <c r="DS267" s="2"/>
      <c r="DT267" s="2"/>
      <c r="DU267" s="2">
        <v>1003</v>
      </c>
      <c r="DV267" s="2" t="s">
        <v>68</v>
      </c>
      <c r="DW267" s="2" t="s">
        <v>68</v>
      </c>
      <c r="DX267" s="2">
        <v>100</v>
      </c>
      <c r="DY267" s="2"/>
      <c r="DZ267" s="2" t="s">
        <v>3</v>
      </c>
      <c r="EA267" s="2" t="s">
        <v>3</v>
      </c>
      <c r="EB267" s="2" t="s">
        <v>3</v>
      </c>
      <c r="EC267" s="2" t="s">
        <v>3</v>
      </c>
      <c r="ED267" s="2"/>
      <c r="EE267" s="2">
        <v>57042958</v>
      </c>
      <c r="EF267" s="2">
        <v>40</v>
      </c>
      <c r="EG267" s="2" t="s">
        <v>31</v>
      </c>
      <c r="EH267" s="2">
        <v>0</v>
      </c>
      <c r="EI267" s="2" t="s">
        <v>3</v>
      </c>
      <c r="EJ267" s="2">
        <v>2</v>
      </c>
      <c r="EK267" s="2">
        <v>68</v>
      </c>
      <c r="EL267" s="2" t="s">
        <v>32</v>
      </c>
      <c r="EM267" s="2" t="s">
        <v>33</v>
      </c>
      <c r="EN267" s="2"/>
      <c r="EO267" s="2" t="s">
        <v>75</v>
      </c>
      <c r="EP267" s="2"/>
      <c r="EQ267" s="2">
        <v>0</v>
      </c>
      <c r="ER267" s="2">
        <v>441.78</v>
      </c>
      <c r="ES267" s="2">
        <v>23.39</v>
      </c>
      <c r="ET267" s="2">
        <v>6.99</v>
      </c>
      <c r="EU267" s="2">
        <v>0</v>
      </c>
      <c r="EV267" s="2">
        <v>411.4</v>
      </c>
      <c r="EW267" s="2">
        <v>34.61</v>
      </c>
      <c r="EX267" s="2">
        <v>0</v>
      </c>
      <c r="EY267" s="2">
        <v>0</v>
      </c>
      <c r="EZ267" s="2"/>
      <c r="FA267" s="2"/>
      <c r="FB267" s="2"/>
      <c r="FC267" s="2"/>
      <c r="FD267" s="2"/>
      <c r="FE267" s="2"/>
      <c r="FF267" s="2"/>
      <c r="FG267" s="2"/>
      <c r="FH267" s="2"/>
      <c r="FI267" s="2"/>
      <c r="FJ267" s="2"/>
      <c r="FK267" s="2"/>
      <c r="FL267" s="2"/>
      <c r="FM267" s="2"/>
      <c r="FN267" s="2"/>
      <c r="FO267" s="2"/>
      <c r="FP267" s="2"/>
      <c r="FQ267" s="2">
        <v>0</v>
      </c>
      <c r="FR267" s="2">
        <v>0</v>
      </c>
      <c r="FS267" s="2">
        <v>0</v>
      </c>
      <c r="FT267" s="2"/>
      <c r="FU267" s="2"/>
      <c r="FV267" s="2"/>
      <c r="FW267" s="2"/>
      <c r="FX267" s="2">
        <v>90</v>
      </c>
      <c r="FY267" s="2">
        <v>46</v>
      </c>
      <c r="FZ267" s="2"/>
      <c r="GA267" s="2" t="s">
        <v>3</v>
      </c>
      <c r="GB267" s="2"/>
      <c r="GC267" s="2"/>
      <c r="GD267" s="2">
        <v>1</v>
      </c>
      <c r="GE267" s="2"/>
      <c r="GF267" s="2">
        <v>-63843540</v>
      </c>
      <c r="GG267" s="2">
        <v>2</v>
      </c>
      <c r="GH267" s="2">
        <v>1</v>
      </c>
      <c r="GI267" s="2">
        <v>2</v>
      </c>
      <c r="GJ267" s="2">
        <v>0</v>
      </c>
      <c r="GK267" s="2">
        <v>0</v>
      </c>
      <c r="GL267" s="2">
        <f t="shared" ref="GL267:GL278" si="230">ROUND(IF(AND(BH267=3,BI267=3,FS267&lt;&gt;0),P267,0),2)</f>
        <v>0</v>
      </c>
      <c r="GM267" s="2">
        <f t="shared" ref="GM267:GM278" si="231">ROUND(O267+X267+Y267,2)+GX267</f>
        <v>56966.720000000001</v>
      </c>
      <c r="GN267" s="2">
        <f t="shared" ref="GN267:GN278" si="232">IF(OR(BI267=0,BI267=1),GM267-GX267,0)</f>
        <v>0</v>
      </c>
      <c r="GO267" s="2">
        <f t="shared" ref="GO267:GO278" si="233">IF(BI267=2,GM267-GX267,0)</f>
        <v>56966.720000000001</v>
      </c>
      <c r="GP267" s="2">
        <f t="shared" ref="GP267:GP278" si="234">IF(BI267=4,GM267-GX267,0)</f>
        <v>0</v>
      </c>
      <c r="GQ267" s="2"/>
      <c r="GR267" s="2">
        <v>0</v>
      </c>
      <c r="GS267" s="2">
        <v>3</v>
      </c>
      <c r="GT267" s="2">
        <v>0</v>
      </c>
      <c r="GU267" s="2" t="s">
        <v>3</v>
      </c>
      <c r="GV267" s="2">
        <f t="shared" ref="GV267:GV278" si="235">ROUND((GT267),6)</f>
        <v>0</v>
      </c>
      <c r="GW267" s="2">
        <v>1</v>
      </c>
      <c r="GX267" s="2">
        <f t="shared" ref="GX267:GX278" si="236">ROUND(HC267*I267,2)</f>
        <v>0</v>
      </c>
      <c r="GY267" s="2"/>
      <c r="GZ267" s="2"/>
      <c r="HA267" s="2">
        <v>0</v>
      </c>
      <c r="HB267" s="2">
        <v>0</v>
      </c>
      <c r="HC267" s="2">
        <f t="shared" ref="HC267:HC278" si="237">GV267*GW267</f>
        <v>0</v>
      </c>
      <c r="HD267" s="2"/>
      <c r="HE267" s="2" t="s">
        <v>3</v>
      </c>
      <c r="HF267" s="2" t="s">
        <v>3</v>
      </c>
      <c r="HG267" s="2"/>
      <c r="HH267" s="2"/>
      <c r="HI267" s="2"/>
      <c r="HJ267" s="2"/>
      <c r="HK267" s="2"/>
      <c r="HL267" s="2"/>
      <c r="HM267" s="2" t="s">
        <v>3</v>
      </c>
      <c r="HN267" s="2" t="s">
        <v>3</v>
      </c>
      <c r="HO267" s="2" t="s">
        <v>3</v>
      </c>
      <c r="HP267" s="2" t="s">
        <v>3</v>
      </c>
      <c r="HQ267" s="2" t="s">
        <v>3</v>
      </c>
      <c r="HR267" s="2"/>
      <c r="HS267" s="2">
        <v>0</v>
      </c>
      <c r="HT267" s="2"/>
      <c r="HU267" s="2"/>
      <c r="HV267" s="2"/>
      <c r="HW267" s="2"/>
      <c r="HX267" s="2"/>
      <c r="HY267" s="2"/>
      <c r="HZ267" s="2"/>
      <c r="IA267" s="2"/>
      <c r="IB267" s="2"/>
      <c r="IC267" s="2"/>
      <c r="ID267" s="2"/>
      <c r="IE267" s="2"/>
      <c r="IF267" s="2"/>
      <c r="IG267" s="2"/>
      <c r="IH267" s="2"/>
      <c r="II267" s="2"/>
      <c r="IJ267" s="2"/>
      <c r="IK267" s="2">
        <v>0</v>
      </c>
      <c r="IL267" s="2"/>
      <c r="IM267" s="2"/>
      <c r="IN267" s="2"/>
      <c r="IO267" s="2"/>
      <c r="IP267" s="2"/>
      <c r="IQ267" s="2"/>
      <c r="IR267" s="2"/>
      <c r="IS267" s="2"/>
      <c r="IT267" s="2"/>
      <c r="IU267" s="2"/>
    </row>
    <row r="268" spans="1:255" x14ac:dyDescent="0.25">
      <c r="A268" s="3">
        <v>17</v>
      </c>
      <c r="B268" s="3">
        <v>1</v>
      </c>
      <c r="C268" s="3">
        <f>ROW(SmtRes!A240)</f>
        <v>240</v>
      </c>
      <c r="D268" s="3">
        <f>ROW(EtalonRes!A310)</f>
        <v>310</v>
      </c>
      <c r="E268" s="3" t="s">
        <v>316</v>
      </c>
      <c r="F268" s="3" t="s">
        <v>77</v>
      </c>
      <c r="G268" s="3" t="s">
        <v>78</v>
      </c>
      <c r="H268" s="3" t="s">
        <v>68</v>
      </c>
      <c r="I268" s="3">
        <f>ROUND(4550/100,9)</f>
        <v>45.5</v>
      </c>
      <c r="J268" s="3">
        <v>0</v>
      </c>
      <c r="K268" s="3">
        <f>ROUND(4550/100,9)</f>
        <v>45.5</v>
      </c>
      <c r="O268" s="3">
        <f t="shared" si="213"/>
        <v>1336971.03</v>
      </c>
      <c r="P268" s="3">
        <f t="shared" si="214"/>
        <v>7886.09</v>
      </c>
      <c r="Q268" s="3">
        <f>(ROUND((ROUND((((ET268*1.2))*AV268*I268),2)*BB268),2)+ROUND((ROUND(((AE268-((EU268*1.2)))*AV268*I268),2)*BS268),2))</f>
        <v>3836.06</v>
      </c>
      <c r="R268" s="3">
        <f>(ROUND((ROUND((((EU268*1.2))*AV268*I268),2)*BS268),2)+ROUND((ROUND(((AE268-((EU268*1.2)))*AV268*I268),2)*BS268),2))</f>
        <v>0</v>
      </c>
      <c r="S268" s="3">
        <f t="shared" si="215"/>
        <v>1325248.8799999999</v>
      </c>
      <c r="T268" s="3">
        <f t="shared" si="216"/>
        <v>0</v>
      </c>
      <c r="U268" s="3">
        <f t="shared" si="217"/>
        <v>1978.5221819999997</v>
      </c>
      <c r="V268" s="3">
        <f t="shared" si="218"/>
        <v>0</v>
      </c>
      <c r="W268" s="3">
        <f t="shared" si="219"/>
        <v>0</v>
      </c>
      <c r="X268" s="3">
        <f>(ROUND((((S268+ROUND((ROUND((((EU268*1.2))*AV268*I268),2)*BS268),2))*AT268)/100),2)+ROUND(((ROUND((ROUND(((AE268-((EU268*1.2)))*AV268*I268),2)*BS268),2)*AT268)/100),2))</f>
        <v>1192723.99</v>
      </c>
      <c r="Y268" s="3">
        <f>(ROUND((((S268+ROUND((ROUND((((EU268*1.2))*AV268*I268),2)*BS268),2))*AU268)/100),2)+ROUND(((ROUND((ROUND(((AE268-((EU268*1.2)))*AV268*I268),2)*BS268),2)*AU268)/100),2))</f>
        <v>609614.48</v>
      </c>
      <c r="AA268" s="3">
        <v>57014140</v>
      </c>
      <c r="AB268" s="3">
        <f t="shared" si="220"/>
        <v>525.45799999999997</v>
      </c>
      <c r="AC268" s="3">
        <f>ROUND(((ES268*1)),6)</f>
        <v>23.39</v>
      </c>
      <c r="AD268" s="3">
        <f>ROUND(((((ET268*1.2))-((EU268*1.2)))+AE268),6)</f>
        <v>8.3879999999999999</v>
      </c>
      <c r="AE268" s="3">
        <f>ROUND(((EU268*1.2)),6)</f>
        <v>0</v>
      </c>
      <c r="AF268" s="3">
        <f>ROUND(((EV268*1.2)),6)</f>
        <v>493.68</v>
      </c>
      <c r="AG268" s="3">
        <f t="shared" si="221"/>
        <v>0</v>
      </c>
      <c r="AH268" s="3">
        <f>((EW268*1.2))</f>
        <v>41.531999999999996</v>
      </c>
      <c r="AI268" s="3">
        <f>((EX268*1.2))</f>
        <v>0</v>
      </c>
      <c r="AJ268" s="3">
        <f t="shared" si="222"/>
        <v>0</v>
      </c>
      <c r="AK268" s="3">
        <v>441.78</v>
      </c>
      <c r="AL268" s="3">
        <v>23.39</v>
      </c>
      <c r="AM268" s="3">
        <v>6.99</v>
      </c>
      <c r="AN268" s="3">
        <v>0</v>
      </c>
      <c r="AO268" s="3">
        <v>411.4</v>
      </c>
      <c r="AP268" s="3">
        <v>0</v>
      </c>
      <c r="AQ268" s="3">
        <v>34.61</v>
      </c>
      <c r="AR268" s="3">
        <v>0</v>
      </c>
      <c r="AS268" s="3">
        <v>0</v>
      </c>
      <c r="AT268" s="3">
        <v>90</v>
      </c>
      <c r="AU268" s="3">
        <v>46</v>
      </c>
      <c r="AV268" s="3">
        <v>1.0469999999999999</v>
      </c>
      <c r="AW268" s="3">
        <v>1</v>
      </c>
      <c r="AZ268" s="3">
        <v>1</v>
      </c>
      <c r="BA268" s="3">
        <v>56.35</v>
      </c>
      <c r="BB268" s="3">
        <v>9.6</v>
      </c>
      <c r="BC268" s="3">
        <v>7.41</v>
      </c>
      <c r="BD268" s="3" t="s">
        <v>3</v>
      </c>
      <c r="BE268" s="3" t="s">
        <v>3</v>
      </c>
      <c r="BF268" s="3" t="s">
        <v>3</v>
      </c>
      <c r="BG268" s="3" t="s">
        <v>3</v>
      </c>
      <c r="BH268" s="3">
        <v>0</v>
      </c>
      <c r="BI268" s="3">
        <v>2</v>
      </c>
      <c r="BJ268" s="3" t="s">
        <v>79</v>
      </c>
      <c r="BM268" s="3">
        <v>68</v>
      </c>
      <c r="BN268" s="3">
        <v>0</v>
      </c>
      <c r="BO268" s="3" t="s">
        <v>77</v>
      </c>
      <c r="BP268" s="3">
        <v>1</v>
      </c>
      <c r="BQ268" s="3">
        <v>40</v>
      </c>
      <c r="BR268" s="3">
        <v>0</v>
      </c>
      <c r="BS268" s="3">
        <v>56.35</v>
      </c>
      <c r="BT268" s="3">
        <v>1</v>
      </c>
      <c r="BU268" s="3">
        <v>1</v>
      </c>
      <c r="BV268" s="3">
        <v>1</v>
      </c>
      <c r="BW268" s="3">
        <v>1</v>
      </c>
      <c r="BX268" s="3">
        <v>1</v>
      </c>
      <c r="BY268" s="3" t="s">
        <v>3</v>
      </c>
      <c r="BZ268" s="3">
        <v>90</v>
      </c>
      <c r="CA268" s="3">
        <v>46</v>
      </c>
      <c r="CB268" s="3" t="s">
        <v>3</v>
      </c>
      <c r="CE268" s="3">
        <v>1566</v>
      </c>
      <c r="CF268" s="3">
        <v>0</v>
      </c>
      <c r="CG268" s="3">
        <v>0</v>
      </c>
      <c r="CM268" s="3">
        <v>0</v>
      </c>
      <c r="CN268" s="3" t="s">
        <v>624</v>
      </c>
      <c r="CO268" s="3">
        <v>0</v>
      </c>
      <c r="CP268" s="3">
        <f t="shared" si="223"/>
        <v>1336971.0299999998</v>
      </c>
      <c r="CQ268" s="3">
        <f t="shared" si="224"/>
        <v>173.32</v>
      </c>
      <c r="CR268" s="3">
        <f>(ROUND((ROUND((((ET268*1.2))*AV268*1),2)*BB268),2)+ROUND((ROUND(((AE268-((EU268*1.2)))*AV268*1),2)*BS268),2))</f>
        <v>84.29</v>
      </c>
      <c r="CS268" s="3">
        <f>(ROUND((ROUND((((EU268*1.2))*AV268*1),2)*BS268),2)+ROUND((ROUND(((AE268-((EU268*1.2)))*AV268*1),2)*BS268),2))</f>
        <v>0</v>
      </c>
      <c r="CT268" s="3">
        <f t="shared" si="225"/>
        <v>29126.19</v>
      </c>
      <c r="CU268" s="3">
        <f t="shared" si="226"/>
        <v>0</v>
      </c>
      <c r="CV268" s="3">
        <f t="shared" si="227"/>
        <v>43.484003999999992</v>
      </c>
      <c r="CW268" s="3">
        <f t="shared" si="228"/>
        <v>0</v>
      </c>
      <c r="CX268" s="3">
        <f t="shared" si="229"/>
        <v>0</v>
      </c>
      <c r="CY268" s="3">
        <f>(ROUND((((S268+ROUND((ROUND((((EU268*1.2))*AV268*1),2)*BS268),2))*AT268)/100),2)+ROUND(((ROUND((ROUND(((AE268-((EU268*1.2)))*AV268*1),2)*BS268),2)*AT268)/100),2))</f>
        <v>1192723.99</v>
      </c>
      <c r="CZ268" s="3">
        <f>(ROUND((((S268+ROUND((ROUND((((EU268*1.2))*AV268*1),2)*BS268),2))*AU268)/100),2)+ROUND(((ROUND((ROUND(((AE268-((EU268*1.2)))*AV268*1),2)*BS268),2)*AU268)/100),2))</f>
        <v>609614.48</v>
      </c>
      <c r="DB268" s="3">
        <v>94</v>
      </c>
      <c r="DC268" s="3" t="s">
        <v>3</v>
      </c>
      <c r="DD268" s="3" t="s">
        <v>70</v>
      </c>
      <c r="DE268" s="3" t="s">
        <v>71</v>
      </c>
      <c r="DF268" s="3" t="s">
        <v>71</v>
      </c>
      <c r="DG268" s="3" t="s">
        <v>71</v>
      </c>
      <c r="DH268" s="3" t="s">
        <v>3</v>
      </c>
      <c r="DI268" s="3" t="s">
        <v>71</v>
      </c>
      <c r="DJ268" s="3" t="s">
        <v>71</v>
      </c>
      <c r="DK268" s="3" t="s">
        <v>3</v>
      </c>
      <c r="DL268" s="3" t="s">
        <v>3</v>
      </c>
      <c r="DM268" s="3" t="s">
        <v>3</v>
      </c>
      <c r="DN268" s="3">
        <v>0</v>
      </c>
      <c r="DO268" s="3">
        <v>0</v>
      </c>
      <c r="DP268" s="3">
        <v>1</v>
      </c>
      <c r="DQ268" s="3">
        <v>1</v>
      </c>
      <c r="DU268" s="3">
        <v>1003</v>
      </c>
      <c r="DV268" s="3" t="s">
        <v>68</v>
      </c>
      <c r="DW268" s="3" t="s">
        <v>68</v>
      </c>
      <c r="DX268" s="3">
        <v>100</v>
      </c>
      <c r="DZ268" s="3" t="s">
        <v>3</v>
      </c>
      <c r="EA268" s="3" t="s">
        <v>3</v>
      </c>
      <c r="EB268" s="3" t="s">
        <v>3</v>
      </c>
      <c r="EC268" s="3" t="s">
        <v>3</v>
      </c>
      <c r="EE268" s="3">
        <v>57042958</v>
      </c>
      <c r="EF268" s="3">
        <v>40</v>
      </c>
      <c r="EG268" s="3" t="s">
        <v>31</v>
      </c>
      <c r="EH268" s="3">
        <v>0</v>
      </c>
      <c r="EI268" s="3" t="s">
        <v>3</v>
      </c>
      <c r="EJ268" s="3">
        <v>2</v>
      </c>
      <c r="EK268" s="3">
        <v>68</v>
      </c>
      <c r="EL268" s="3" t="s">
        <v>32</v>
      </c>
      <c r="EM268" s="3" t="s">
        <v>33</v>
      </c>
      <c r="EO268" s="3" t="s">
        <v>75</v>
      </c>
      <c r="EQ268" s="3">
        <v>0</v>
      </c>
      <c r="ER268" s="3">
        <v>441.78</v>
      </c>
      <c r="ES268" s="3">
        <v>23.39</v>
      </c>
      <c r="ET268" s="3">
        <v>6.99</v>
      </c>
      <c r="EU268" s="3">
        <v>0</v>
      </c>
      <c r="EV268" s="3">
        <v>411.4</v>
      </c>
      <c r="EW268" s="3">
        <v>34.61</v>
      </c>
      <c r="EX268" s="3">
        <v>0</v>
      </c>
      <c r="EY268" s="3">
        <v>0</v>
      </c>
      <c r="FQ268" s="3">
        <v>0</v>
      </c>
      <c r="FR268" s="3">
        <v>0</v>
      </c>
      <c r="FS268" s="3">
        <v>0</v>
      </c>
      <c r="FX268" s="3">
        <v>90</v>
      </c>
      <c r="FY268" s="3">
        <v>46</v>
      </c>
      <c r="GA268" s="3" t="s">
        <v>3</v>
      </c>
      <c r="GD268" s="3">
        <v>1</v>
      </c>
      <c r="GF268" s="3">
        <v>-63843540</v>
      </c>
      <c r="GG268" s="3">
        <v>2</v>
      </c>
      <c r="GH268" s="3">
        <v>1</v>
      </c>
      <c r="GI268" s="3">
        <v>2</v>
      </c>
      <c r="GJ268" s="3">
        <v>0</v>
      </c>
      <c r="GK268" s="3">
        <v>0</v>
      </c>
      <c r="GL268" s="3">
        <f t="shared" si="230"/>
        <v>0</v>
      </c>
      <c r="GM268" s="3">
        <f t="shared" si="231"/>
        <v>3139309.5</v>
      </c>
      <c r="GN268" s="3">
        <f t="shared" si="232"/>
        <v>0</v>
      </c>
      <c r="GO268" s="3">
        <f t="shared" si="233"/>
        <v>3139309.5</v>
      </c>
      <c r="GP268" s="3">
        <f t="shared" si="234"/>
        <v>0</v>
      </c>
      <c r="GR268" s="3">
        <v>0</v>
      </c>
      <c r="GS268" s="3">
        <v>3</v>
      </c>
      <c r="GT268" s="3">
        <v>0</v>
      </c>
      <c r="GU268" s="3" t="s">
        <v>3</v>
      </c>
      <c r="GV268" s="3">
        <f t="shared" si="235"/>
        <v>0</v>
      </c>
      <c r="GW268" s="3">
        <v>1</v>
      </c>
      <c r="GX268" s="3">
        <f t="shared" si="236"/>
        <v>0</v>
      </c>
      <c r="HA268" s="3">
        <v>0</v>
      </c>
      <c r="HB268" s="3">
        <v>0</v>
      </c>
      <c r="HC268" s="3">
        <f t="shared" si="237"/>
        <v>0</v>
      </c>
      <c r="HE268" s="3" t="s">
        <v>3</v>
      </c>
      <c r="HF268" s="3" t="s">
        <v>3</v>
      </c>
      <c r="HM268" s="3" t="s">
        <v>3</v>
      </c>
      <c r="HN268" s="3" t="s">
        <v>3</v>
      </c>
      <c r="HO268" s="3" t="s">
        <v>3</v>
      </c>
      <c r="HP268" s="3" t="s">
        <v>3</v>
      </c>
      <c r="HQ268" s="3" t="s">
        <v>3</v>
      </c>
      <c r="HS268" s="3">
        <v>0</v>
      </c>
      <c r="IK268" s="3">
        <v>0</v>
      </c>
    </row>
    <row r="269" spans="1:255" x14ac:dyDescent="0.25">
      <c r="A269" s="2">
        <v>17</v>
      </c>
      <c r="B269" s="2">
        <v>1</v>
      </c>
      <c r="C269" s="2"/>
      <c r="D269" s="2"/>
      <c r="E269" s="2" t="s">
        <v>317</v>
      </c>
      <c r="F269" s="2" t="s">
        <v>318</v>
      </c>
      <c r="G269" s="2" t="s">
        <v>319</v>
      </c>
      <c r="H269" s="2" t="s">
        <v>320</v>
      </c>
      <c r="I269" s="2">
        <f>ROUND(4550*1.02,9)</f>
        <v>4641</v>
      </c>
      <c r="J269" s="2">
        <v>0</v>
      </c>
      <c r="K269" s="2">
        <f>ROUND(4550*1.02,9)</f>
        <v>4641</v>
      </c>
      <c r="L269" s="2"/>
      <c r="M269" s="2"/>
      <c r="N269" s="2"/>
      <c r="O269" s="2">
        <f t="shared" si="213"/>
        <v>52582.53</v>
      </c>
      <c r="P269" s="2">
        <f t="shared" si="214"/>
        <v>52582.53</v>
      </c>
      <c r="Q269" s="2">
        <f t="shared" ref="Q269:Q278" si="238">(ROUND((ROUND(((ET269)*AV269*I269),2)*BB269),2)+ROUND((ROUND(((AE269-(EU269))*AV269*I269),2)*BS269),2))</f>
        <v>0</v>
      </c>
      <c r="R269" s="2">
        <f t="shared" ref="R269:R278" si="239">(ROUND((ROUND(((EU269)*AV269*I269),2)*BS269),2)+ROUND((ROUND(((AE269-(EU269))*AV269*I269),2)*BS269),2))</f>
        <v>0</v>
      </c>
      <c r="S269" s="2">
        <f t="shared" si="215"/>
        <v>0</v>
      </c>
      <c r="T269" s="2">
        <f t="shared" si="216"/>
        <v>0</v>
      </c>
      <c r="U269" s="2">
        <f t="shared" si="217"/>
        <v>0</v>
      </c>
      <c r="V269" s="2">
        <f t="shared" si="218"/>
        <v>0</v>
      </c>
      <c r="W269" s="2">
        <f t="shared" si="219"/>
        <v>0</v>
      </c>
      <c r="X269" s="2">
        <f t="shared" ref="X269:X278" si="240">(ROUND((((S269+ROUND((ROUND(((EU269)*AV269*I269),2)*BS269),2))*AT269)/100),2)+ROUND(((ROUND((ROUND(((AE269-(EU269))*AV269*I269),2)*BS269),2)*AT269)/100),2))</f>
        <v>0</v>
      </c>
      <c r="Y269" s="2">
        <f t="shared" ref="Y269:Y278" si="241">(ROUND((((S269+ROUND((ROUND(((EU269)*AV269*I269),2)*BS269),2))*AU269)/100),2)+ROUND(((ROUND((ROUND(((AE269-(EU269))*AV269*I269),2)*BS269),2)*AU269)/100),2))</f>
        <v>0</v>
      </c>
      <c r="Z269" s="2"/>
      <c r="AA269" s="2">
        <v>57014138</v>
      </c>
      <c r="AB269" s="2">
        <f t="shared" si="220"/>
        <v>11.33</v>
      </c>
      <c r="AC269" s="2">
        <f t="shared" ref="AC269:AC278" si="242">ROUND((ES269),6)</f>
        <v>11.33</v>
      </c>
      <c r="AD269" s="2">
        <f t="shared" ref="AD269:AD278" si="243">ROUND((((ET269)-(EU269))+AE269),6)</f>
        <v>0</v>
      </c>
      <c r="AE269" s="2">
        <f t="shared" ref="AE269:AE278" si="244">ROUND((EU269),6)</f>
        <v>0</v>
      </c>
      <c r="AF269" s="2">
        <f t="shared" ref="AF269:AF278" si="245">ROUND((EV269),6)</f>
        <v>0</v>
      </c>
      <c r="AG269" s="2">
        <f t="shared" si="221"/>
        <v>0</v>
      </c>
      <c r="AH269" s="2">
        <f t="shared" ref="AH269:AH278" si="246">(EW269)</f>
        <v>0</v>
      </c>
      <c r="AI269" s="2">
        <f t="shared" ref="AI269:AI278" si="247">(EX269)</f>
        <v>0</v>
      </c>
      <c r="AJ269" s="2">
        <f t="shared" si="222"/>
        <v>0</v>
      </c>
      <c r="AK269" s="2">
        <v>11.33</v>
      </c>
      <c r="AL269" s="2">
        <v>11.33</v>
      </c>
      <c r="AM269" s="2">
        <v>0</v>
      </c>
      <c r="AN269" s="2">
        <v>0</v>
      </c>
      <c r="AO269" s="2">
        <v>0</v>
      </c>
      <c r="AP269" s="2">
        <v>0</v>
      </c>
      <c r="AQ269" s="2">
        <v>0</v>
      </c>
      <c r="AR269" s="2">
        <v>0</v>
      </c>
      <c r="AS269" s="2">
        <v>0</v>
      </c>
      <c r="AT269" s="2">
        <v>0</v>
      </c>
      <c r="AU269" s="2">
        <v>0</v>
      </c>
      <c r="AV269" s="2">
        <v>1</v>
      </c>
      <c r="AW269" s="2">
        <v>1</v>
      </c>
      <c r="AX269" s="2"/>
      <c r="AY269" s="2"/>
      <c r="AZ269" s="2">
        <v>1</v>
      </c>
      <c r="BA269" s="2">
        <v>1</v>
      </c>
      <c r="BB269" s="2">
        <v>1</v>
      </c>
      <c r="BC269" s="2">
        <v>1</v>
      </c>
      <c r="BD269" s="2" t="s">
        <v>3</v>
      </c>
      <c r="BE269" s="2" t="s">
        <v>3</v>
      </c>
      <c r="BF269" s="2" t="s">
        <v>3</v>
      </c>
      <c r="BG269" s="2" t="s">
        <v>3</v>
      </c>
      <c r="BH269" s="2">
        <v>3</v>
      </c>
      <c r="BI269" s="2">
        <v>2</v>
      </c>
      <c r="BJ269" s="2" t="s">
        <v>318</v>
      </c>
      <c r="BK269" s="2"/>
      <c r="BL269" s="2"/>
      <c r="BM269" s="2">
        <v>400005</v>
      </c>
      <c r="BN269" s="2">
        <v>0</v>
      </c>
      <c r="BO269" s="2" t="s">
        <v>3</v>
      </c>
      <c r="BP269" s="2">
        <v>0</v>
      </c>
      <c r="BQ269" s="2">
        <v>213</v>
      </c>
      <c r="BR269" s="2">
        <v>0</v>
      </c>
      <c r="BS269" s="2">
        <v>1</v>
      </c>
      <c r="BT269" s="2">
        <v>1</v>
      </c>
      <c r="BU269" s="2">
        <v>1</v>
      </c>
      <c r="BV269" s="2">
        <v>1</v>
      </c>
      <c r="BW269" s="2">
        <v>1</v>
      </c>
      <c r="BX269" s="2">
        <v>1</v>
      </c>
      <c r="BY269" s="2" t="s">
        <v>3</v>
      </c>
      <c r="BZ269" s="2">
        <v>0</v>
      </c>
      <c r="CA269" s="2">
        <v>0</v>
      </c>
      <c r="CB269" s="2" t="s">
        <v>3</v>
      </c>
      <c r="CC269" s="2"/>
      <c r="CD269" s="2"/>
      <c r="CE269" s="2">
        <v>1566</v>
      </c>
      <c r="CF269" s="2">
        <v>0</v>
      </c>
      <c r="CG269" s="2">
        <v>0</v>
      </c>
      <c r="CH269" s="2"/>
      <c r="CI269" s="2"/>
      <c r="CJ269" s="2"/>
      <c r="CK269" s="2"/>
      <c r="CL269" s="2"/>
      <c r="CM269" s="2">
        <v>0</v>
      </c>
      <c r="CN269" s="2" t="s">
        <v>3</v>
      </c>
      <c r="CO269" s="2">
        <v>0</v>
      </c>
      <c r="CP269" s="2">
        <f t="shared" si="223"/>
        <v>52582.53</v>
      </c>
      <c r="CQ269" s="2">
        <f t="shared" si="224"/>
        <v>11.33</v>
      </c>
      <c r="CR269" s="2">
        <f t="shared" ref="CR269:CR278" si="248">(ROUND((ROUND(((ET269)*AV269*1),2)*BB269),2)+ROUND((ROUND(((AE269-(EU269))*AV269*1),2)*BS269),2))</f>
        <v>0</v>
      </c>
      <c r="CS269" s="2">
        <f t="shared" ref="CS269:CS278" si="249">(ROUND((ROUND(((EU269)*AV269*1),2)*BS269),2)+ROUND((ROUND(((AE269-(EU269))*AV269*1),2)*BS269),2))</f>
        <v>0</v>
      </c>
      <c r="CT269" s="2">
        <f t="shared" si="225"/>
        <v>0</v>
      </c>
      <c r="CU269" s="2">
        <f t="shared" si="226"/>
        <v>0</v>
      </c>
      <c r="CV269" s="2">
        <f t="shared" si="227"/>
        <v>0</v>
      </c>
      <c r="CW269" s="2">
        <f t="shared" si="228"/>
        <v>0</v>
      </c>
      <c r="CX269" s="2">
        <f t="shared" si="229"/>
        <v>0</v>
      </c>
      <c r="CY269" s="2">
        <f t="shared" ref="CY269:CY278" si="250">(ROUND((((S269+ROUND((ROUND(((EU269)*AV269*1),2)*BS269),2))*AT269)/100),2)+ROUND(((ROUND((ROUND(((AE269-(EU269))*AV269*1),2)*BS269),2)*AT269)/100),2))</f>
        <v>0</v>
      </c>
      <c r="CZ269" s="2">
        <f t="shared" ref="CZ269:CZ278" si="251">(ROUND((((S269+ROUND((ROUND(((EU269)*AV269*1),2)*BS269),2))*AU269)/100),2)+ROUND(((ROUND((ROUND(((AE269-(EU269))*AV269*1),2)*BS269),2)*AU269)/100),2))</f>
        <v>0</v>
      </c>
      <c r="DA269" s="2"/>
      <c r="DB269" s="2"/>
      <c r="DC269" s="2" t="s">
        <v>3</v>
      </c>
      <c r="DD269" s="2" t="s">
        <v>3</v>
      </c>
      <c r="DE269" s="2" t="s">
        <v>3</v>
      </c>
      <c r="DF269" s="2" t="s">
        <v>3</v>
      </c>
      <c r="DG269" s="2" t="s">
        <v>3</v>
      </c>
      <c r="DH269" s="2" t="s">
        <v>3</v>
      </c>
      <c r="DI269" s="2" t="s">
        <v>3</v>
      </c>
      <c r="DJ269" s="2" t="s">
        <v>3</v>
      </c>
      <c r="DK269" s="2" t="s">
        <v>3</v>
      </c>
      <c r="DL269" s="2" t="s">
        <v>3</v>
      </c>
      <c r="DM269" s="2" t="s">
        <v>3</v>
      </c>
      <c r="DN269" s="2">
        <v>0</v>
      </c>
      <c r="DO269" s="2">
        <v>0</v>
      </c>
      <c r="DP269" s="2">
        <v>1</v>
      </c>
      <c r="DQ269" s="2">
        <v>1</v>
      </c>
      <c r="DR269" s="2"/>
      <c r="DS269" s="2"/>
      <c r="DT269" s="2"/>
      <c r="DU269" s="2">
        <v>1003</v>
      </c>
      <c r="DV269" s="2" t="s">
        <v>320</v>
      </c>
      <c r="DW269" s="2" t="s">
        <v>320</v>
      </c>
      <c r="DX269" s="2">
        <v>1</v>
      </c>
      <c r="DY269" s="2"/>
      <c r="DZ269" s="2" t="s">
        <v>3</v>
      </c>
      <c r="EA269" s="2" t="s">
        <v>3</v>
      </c>
      <c r="EB269" s="2" t="s">
        <v>3</v>
      </c>
      <c r="EC269" s="2" t="s">
        <v>3</v>
      </c>
      <c r="ED269" s="2"/>
      <c r="EE269" s="2">
        <v>57042888</v>
      </c>
      <c r="EF269" s="2">
        <v>213</v>
      </c>
      <c r="EG269" s="2" t="s">
        <v>159</v>
      </c>
      <c r="EH269" s="2">
        <v>0</v>
      </c>
      <c r="EI269" s="2" t="s">
        <v>3</v>
      </c>
      <c r="EJ269" s="2">
        <v>1</v>
      </c>
      <c r="EK269" s="2">
        <v>400005</v>
      </c>
      <c r="EL269" s="2" t="s">
        <v>159</v>
      </c>
      <c r="EM269" s="2" t="s">
        <v>160</v>
      </c>
      <c r="EN269" s="2"/>
      <c r="EO269" s="2" t="s">
        <v>3</v>
      </c>
      <c r="EP269" s="2"/>
      <c r="EQ269" s="2">
        <v>16</v>
      </c>
      <c r="ER269" s="2">
        <v>0</v>
      </c>
      <c r="ES269" s="2">
        <v>11.33</v>
      </c>
      <c r="ET269" s="2">
        <v>0</v>
      </c>
      <c r="EU269" s="2">
        <v>0</v>
      </c>
      <c r="EV269" s="2">
        <v>0</v>
      </c>
      <c r="EW269" s="2">
        <v>0</v>
      </c>
      <c r="EX269" s="2">
        <v>0</v>
      </c>
      <c r="EY269" s="2">
        <v>0</v>
      </c>
      <c r="EZ269" s="2"/>
      <c r="FA269" s="2"/>
      <c r="FB269" s="2"/>
      <c r="FC269" s="2"/>
      <c r="FD269" s="2"/>
      <c r="FE269" s="2"/>
      <c r="FF269" s="2"/>
      <c r="FG269" s="2"/>
      <c r="FH269" s="2"/>
      <c r="FI269" s="2"/>
      <c r="FJ269" s="2"/>
      <c r="FK269" s="2"/>
      <c r="FL269" s="2"/>
      <c r="FM269" s="2"/>
      <c r="FN269" s="2"/>
      <c r="FO269" s="2"/>
      <c r="FP269" s="2"/>
      <c r="FQ269" s="2">
        <v>0</v>
      </c>
      <c r="FR269" s="2">
        <v>0</v>
      </c>
      <c r="FS269" s="2">
        <v>0</v>
      </c>
      <c r="FT269" s="2"/>
      <c r="FU269" s="2"/>
      <c r="FV269" s="2"/>
      <c r="FW269" s="2"/>
      <c r="FX269" s="2">
        <v>0</v>
      </c>
      <c r="FY269" s="2">
        <v>0</v>
      </c>
      <c r="FZ269" s="2"/>
      <c r="GA269" s="2" t="s">
        <v>321</v>
      </c>
      <c r="GB269" s="2"/>
      <c r="GC269" s="2"/>
      <c r="GD269" s="2">
        <v>1</v>
      </c>
      <c r="GE269" s="2"/>
      <c r="GF269" s="2">
        <v>998904531</v>
      </c>
      <c r="GG269" s="2">
        <v>2</v>
      </c>
      <c r="GH269" s="2">
        <v>4</v>
      </c>
      <c r="GI269" s="2">
        <v>-2</v>
      </c>
      <c r="GJ269" s="2">
        <v>0</v>
      </c>
      <c r="GK269" s="2">
        <v>0</v>
      </c>
      <c r="GL269" s="2">
        <f t="shared" si="230"/>
        <v>0</v>
      </c>
      <c r="GM269" s="2">
        <f t="shared" si="231"/>
        <v>52582.53</v>
      </c>
      <c r="GN269" s="2">
        <f t="shared" si="232"/>
        <v>0</v>
      </c>
      <c r="GO269" s="2">
        <f t="shared" si="233"/>
        <v>52582.53</v>
      </c>
      <c r="GP269" s="2">
        <f t="shared" si="234"/>
        <v>0</v>
      </c>
      <c r="GQ269" s="2"/>
      <c r="GR269" s="2">
        <v>1</v>
      </c>
      <c r="GS269" s="2">
        <v>2</v>
      </c>
      <c r="GT269" s="2">
        <v>0</v>
      </c>
      <c r="GU269" s="2" t="s">
        <v>3</v>
      </c>
      <c r="GV269" s="2">
        <f t="shared" si="235"/>
        <v>0</v>
      </c>
      <c r="GW269" s="2">
        <v>1</v>
      </c>
      <c r="GX269" s="2">
        <f t="shared" si="236"/>
        <v>0</v>
      </c>
      <c r="GY269" s="2"/>
      <c r="GZ269" s="2"/>
      <c r="HA269" s="2">
        <v>0</v>
      </c>
      <c r="HB269" s="2">
        <v>0</v>
      </c>
      <c r="HC269" s="2">
        <f t="shared" si="237"/>
        <v>0</v>
      </c>
      <c r="HD269" s="2"/>
      <c r="HE269" s="2" t="s">
        <v>162</v>
      </c>
      <c r="HF269" s="2" t="s">
        <v>35</v>
      </c>
      <c r="HG269" s="2"/>
      <c r="HH269" s="2"/>
      <c r="HI269" s="2"/>
      <c r="HJ269" s="2"/>
      <c r="HK269" s="2"/>
      <c r="HL269" s="2"/>
      <c r="HM269" s="2" t="s">
        <v>3</v>
      </c>
      <c r="HN269" s="2" t="s">
        <v>3</v>
      </c>
      <c r="HO269" s="2" t="s">
        <v>3</v>
      </c>
      <c r="HP269" s="2" t="s">
        <v>3</v>
      </c>
      <c r="HQ269" s="2" t="s">
        <v>3</v>
      </c>
      <c r="HR269" s="2"/>
      <c r="HS269" s="2">
        <v>0</v>
      </c>
      <c r="HT269" s="2"/>
      <c r="HU269" s="2"/>
      <c r="HV269" s="2"/>
      <c r="HW269" s="2"/>
      <c r="HX269" s="2"/>
      <c r="HY269" s="2"/>
      <c r="HZ269" s="2"/>
      <c r="IA269" s="2"/>
      <c r="IB269" s="2"/>
      <c r="IC269" s="2"/>
      <c r="ID269" s="2"/>
      <c r="IE269" s="2"/>
      <c r="IF269" s="2"/>
      <c r="IG269" s="2"/>
      <c r="IH269" s="2"/>
      <c r="II269" s="2"/>
      <c r="IJ269" s="2"/>
      <c r="IK269" s="2">
        <v>0</v>
      </c>
      <c r="IL269" s="2"/>
      <c r="IM269" s="2"/>
      <c r="IN269" s="2"/>
      <c r="IO269" s="2"/>
      <c r="IP269" s="2"/>
      <c r="IQ269" s="2"/>
      <c r="IR269" s="2"/>
      <c r="IS269" s="2"/>
      <c r="IT269" s="2"/>
      <c r="IU269" s="2"/>
    </row>
    <row r="270" spans="1:255" x14ac:dyDescent="0.25">
      <c r="A270" s="3">
        <v>17</v>
      </c>
      <c r="B270" s="3">
        <v>1</v>
      </c>
      <c r="E270" s="3" t="s">
        <v>317</v>
      </c>
      <c r="F270" s="3" t="s">
        <v>318</v>
      </c>
      <c r="G270" s="3" t="s">
        <v>319</v>
      </c>
      <c r="H270" s="3" t="s">
        <v>320</v>
      </c>
      <c r="I270" s="3">
        <f>ROUND(4550*1.02,9)</f>
        <v>4641</v>
      </c>
      <c r="J270" s="3">
        <v>0</v>
      </c>
      <c r="K270" s="3">
        <f>ROUND(4550*1.02,9)</f>
        <v>4641</v>
      </c>
      <c r="O270" s="3">
        <f t="shared" si="213"/>
        <v>517412.1</v>
      </c>
      <c r="P270" s="3">
        <f t="shared" si="214"/>
        <v>517412.1</v>
      </c>
      <c r="Q270" s="3">
        <f t="shared" si="238"/>
        <v>0</v>
      </c>
      <c r="R270" s="3">
        <f t="shared" si="239"/>
        <v>0</v>
      </c>
      <c r="S270" s="3">
        <f t="shared" si="215"/>
        <v>0</v>
      </c>
      <c r="T270" s="3">
        <f t="shared" si="216"/>
        <v>0</v>
      </c>
      <c r="U270" s="3">
        <f t="shared" si="217"/>
        <v>0</v>
      </c>
      <c r="V270" s="3">
        <f t="shared" si="218"/>
        <v>0</v>
      </c>
      <c r="W270" s="3">
        <f t="shared" si="219"/>
        <v>0</v>
      </c>
      <c r="X270" s="3">
        <f t="shared" si="240"/>
        <v>0</v>
      </c>
      <c r="Y270" s="3">
        <f t="shared" si="241"/>
        <v>0</v>
      </c>
      <c r="AA270" s="3">
        <v>57014140</v>
      </c>
      <c r="AB270" s="3">
        <f t="shared" si="220"/>
        <v>11.33</v>
      </c>
      <c r="AC270" s="3">
        <f t="shared" si="242"/>
        <v>11.33</v>
      </c>
      <c r="AD270" s="3">
        <f t="shared" si="243"/>
        <v>0</v>
      </c>
      <c r="AE270" s="3">
        <f t="shared" si="244"/>
        <v>0</v>
      </c>
      <c r="AF270" s="3">
        <f t="shared" si="245"/>
        <v>0</v>
      </c>
      <c r="AG270" s="3">
        <f t="shared" si="221"/>
        <v>0</v>
      </c>
      <c r="AH270" s="3">
        <f t="shared" si="246"/>
        <v>0</v>
      </c>
      <c r="AI270" s="3">
        <f t="shared" si="247"/>
        <v>0</v>
      </c>
      <c r="AJ270" s="3">
        <f t="shared" si="222"/>
        <v>0</v>
      </c>
      <c r="AK270" s="3">
        <v>11.33</v>
      </c>
      <c r="AL270" s="3">
        <v>11.33</v>
      </c>
      <c r="AM270" s="3">
        <v>0</v>
      </c>
      <c r="AN270" s="3">
        <v>0</v>
      </c>
      <c r="AO270" s="3">
        <v>0</v>
      </c>
      <c r="AP270" s="3">
        <v>0</v>
      </c>
      <c r="AQ270" s="3">
        <v>0</v>
      </c>
      <c r="AR270" s="3">
        <v>0</v>
      </c>
      <c r="AS270" s="3">
        <v>0</v>
      </c>
      <c r="AT270" s="3">
        <v>0</v>
      </c>
      <c r="AU270" s="3">
        <v>0</v>
      </c>
      <c r="AV270" s="3">
        <v>1</v>
      </c>
      <c r="AW270" s="3">
        <v>1</v>
      </c>
      <c r="AZ270" s="3">
        <v>1</v>
      </c>
      <c r="BA270" s="3">
        <v>1</v>
      </c>
      <c r="BB270" s="3">
        <v>1</v>
      </c>
      <c r="BC270" s="3">
        <v>9.84</v>
      </c>
      <c r="BD270" s="3" t="s">
        <v>3</v>
      </c>
      <c r="BE270" s="3" t="s">
        <v>3</v>
      </c>
      <c r="BF270" s="3" t="s">
        <v>3</v>
      </c>
      <c r="BG270" s="3" t="s">
        <v>3</v>
      </c>
      <c r="BH270" s="3">
        <v>3</v>
      </c>
      <c r="BI270" s="3">
        <v>2</v>
      </c>
      <c r="BJ270" s="3" t="s">
        <v>318</v>
      </c>
      <c r="BM270" s="3">
        <v>400005</v>
      </c>
      <c r="BN270" s="3">
        <v>0</v>
      </c>
      <c r="BO270" s="3" t="s">
        <v>3</v>
      </c>
      <c r="BP270" s="3">
        <v>0</v>
      </c>
      <c r="BQ270" s="3">
        <v>213</v>
      </c>
      <c r="BR270" s="3">
        <v>0</v>
      </c>
      <c r="BS270" s="3">
        <v>1</v>
      </c>
      <c r="BT270" s="3">
        <v>1</v>
      </c>
      <c r="BU270" s="3">
        <v>1</v>
      </c>
      <c r="BV270" s="3">
        <v>1</v>
      </c>
      <c r="BW270" s="3">
        <v>1</v>
      </c>
      <c r="BX270" s="3">
        <v>1</v>
      </c>
      <c r="BY270" s="3" t="s">
        <v>3</v>
      </c>
      <c r="BZ270" s="3">
        <v>0</v>
      </c>
      <c r="CA270" s="3">
        <v>0</v>
      </c>
      <c r="CB270" s="3" t="s">
        <v>3</v>
      </c>
      <c r="CE270" s="3">
        <v>1566</v>
      </c>
      <c r="CF270" s="3">
        <v>0</v>
      </c>
      <c r="CG270" s="3">
        <v>0</v>
      </c>
      <c r="CM270" s="3">
        <v>0</v>
      </c>
      <c r="CN270" s="3" t="s">
        <v>3</v>
      </c>
      <c r="CO270" s="3">
        <v>0</v>
      </c>
      <c r="CP270" s="3">
        <f t="shared" si="223"/>
        <v>517412.1</v>
      </c>
      <c r="CQ270" s="3">
        <f t="shared" si="224"/>
        <v>111.49</v>
      </c>
      <c r="CR270" s="3">
        <f t="shared" si="248"/>
        <v>0</v>
      </c>
      <c r="CS270" s="3">
        <f t="shared" si="249"/>
        <v>0</v>
      </c>
      <c r="CT270" s="3">
        <f t="shared" si="225"/>
        <v>0</v>
      </c>
      <c r="CU270" s="3">
        <f t="shared" si="226"/>
        <v>0</v>
      </c>
      <c r="CV270" s="3">
        <f t="shared" si="227"/>
        <v>0</v>
      </c>
      <c r="CW270" s="3">
        <f t="shared" si="228"/>
        <v>0</v>
      </c>
      <c r="CX270" s="3">
        <f t="shared" si="229"/>
        <v>0</v>
      </c>
      <c r="CY270" s="3">
        <f t="shared" si="250"/>
        <v>0</v>
      </c>
      <c r="CZ270" s="3">
        <f t="shared" si="251"/>
        <v>0</v>
      </c>
      <c r="DC270" s="3" t="s">
        <v>3</v>
      </c>
      <c r="DD270" s="3" t="s">
        <v>3</v>
      </c>
      <c r="DE270" s="3" t="s">
        <v>3</v>
      </c>
      <c r="DF270" s="3" t="s">
        <v>3</v>
      </c>
      <c r="DG270" s="3" t="s">
        <v>3</v>
      </c>
      <c r="DH270" s="3" t="s">
        <v>3</v>
      </c>
      <c r="DI270" s="3" t="s">
        <v>3</v>
      </c>
      <c r="DJ270" s="3" t="s">
        <v>3</v>
      </c>
      <c r="DK270" s="3" t="s">
        <v>3</v>
      </c>
      <c r="DL270" s="3" t="s">
        <v>3</v>
      </c>
      <c r="DM270" s="3" t="s">
        <v>3</v>
      </c>
      <c r="DN270" s="3">
        <v>0</v>
      </c>
      <c r="DO270" s="3">
        <v>0</v>
      </c>
      <c r="DP270" s="3">
        <v>1</v>
      </c>
      <c r="DQ270" s="3">
        <v>1</v>
      </c>
      <c r="DU270" s="3">
        <v>1003</v>
      </c>
      <c r="DV270" s="3" t="s">
        <v>320</v>
      </c>
      <c r="DW270" s="3" t="s">
        <v>320</v>
      </c>
      <c r="DX270" s="3">
        <v>1</v>
      </c>
      <c r="DZ270" s="3" t="s">
        <v>3</v>
      </c>
      <c r="EA270" s="3" t="s">
        <v>3</v>
      </c>
      <c r="EB270" s="3" t="s">
        <v>3</v>
      </c>
      <c r="EC270" s="3" t="s">
        <v>3</v>
      </c>
      <c r="EE270" s="3">
        <v>57042888</v>
      </c>
      <c r="EF270" s="3">
        <v>213</v>
      </c>
      <c r="EG270" s="3" t="s">
        <v>159</v>
      </c>
      <c r="EH270" s="3">
        <v>0</v>
      </c>
      <c r="EI270" s="3" t="s">
        <v>3</v>
      </c>
      <c r="EJ270" s="3">
        <v>1</v>
      </c>
      <c r="EK270" s="3">
        <v>400005</v>
      </c>
      <c r="EL270" s="3" t="s">
        <v>159</v>
      </c>
      <c r="EM270" s="3" t="s">
        <v>160</v>
      </c>
      <c r="EO270" s="3" t="s">
        <v>3</v>
      </c>
      <c r="EQ270" s="3">
        <v>16</v>
      </c>
      <c r="ER270" s="3">
        <v>0</v>
      </c>
      <c r="ES270" s="3">
        <v>11.33</v>
      </c>
      <c r="ET270" s="3">
        <v>0</v>
      </c>
      <c r="EU270" s="3">
        <v>0</v>
      </c>
      <c r="EV270" s="3">
        <v>0</v>
      </c>
      <c r="EW270" s="3">
        <v>0</v>
      </c>
      <c r="EX270" s="3">
        <v>0</v>
      </c>
      <c r="EY270" s="3">
        <v>0</v>
      </c>
      <c r="EZ270" s="3">
        <v>5</v>
      </c>
      <c r="FC270" s="3">
        <v>1</v>
      </c>
      <c r="FD270" s="3">
        <v>18</v>
      </c>
      <c r="FF270" s="3">
        <v>133.33000000000001</v>
      </c>
      <c r="FQ270" s="3">
        <v>0</v>
      </c>
      <c r="FR270" s="3">
        <v>0</v>
      </c>
      <c r="FS270" s="3">
        <v>0</v>
      </c>
      <c r="FX270" s="3">
        <v>0</v>
      </c>
      <c r="FY270" s="3">
        <v>0</v>
      </c>
      <c r="GA270" s="3" t="s">
        <v>321</v>
      </c>
      <c r="GD270" s="3">
        <v>1</v>
      </c>
      <c r="GF270" s="3">
        <v>998904531</v>
      </c>
      <c r="GG270" s="3">
        <v>2</v>
      </c>
      <c r="GH270" s="3">
        <v>3</v>
      </c>
      <c r="GI270" s="3">
        <v>5</v>
      </c>
      <c r="GJ270" s="3">
        <v>0</v>
      </c>
      <c r="GK270" s="3">
        <v>0</v>
      </c>
      <c r="GL270" s="3">
        <f t="shared" si="230"/>
        <v>0</v>
      </c>
      <c r="GM270" s="3">
        <f t="shared" si="231"/>
        <v>517412.1</v>
      </c>
      <c r="GN270" s="3">
        <f t="shared" si="232"/>
        <v>0</v>
      </c>
      <c r="GO270" s="3">
        <f t="shared" si="233"/>
        <v>517412.1</v>
      </c>
      <c r="GP270" s="3">
        <f t="shared" si="234"/>
        <v>0</v>
      </c>
      <c r="GR270" s="3">
        <v>1</v>
      </c>
      <c r="GS270" s="3">
        <v>1</v>
      </c>
      <c r="GT270" s="3">
        <v>0</v>
      </c>
      <c r="GU270" s="3" t="s">
        <v>3</v>
      </c>
      <c r="GV270" s="3">
        <f t="shared" si="235"/>
        <v>0</v>
      </c>
      <c r="GW270" s="3">
        <v>1</v>
      </c>
      <c r="GX270" s="3">
        <f t="shared" si="236"/>
        <v>0</v>
      </c>
      <c r="HA270" s="3">
        <v>0</v>
      </c>
      <c r="HB270" s="3">
        <v>0</v>
      </c>
      <c r="HC270" s="3">
        <f t="shared" si="237"/>
        <v>0</v>
      </c>
      <c r="HE270" s="3" t="s">
        <v>162</v>
      </c>
      <c r="HF270" s="3" t="s">
        <v>35</v>
      </c>
      <c r="HM270" s="3" t="s">
        <v>3</v>
      </c>
      <c r="HN270" s="3" t="s">
        <v>3</v>
      </c>
      <c r="HO270" s="3" t="s">
        <v>3</v>
      </c>
      <c r="HP270" s="3" t="s">
        <v>3</v>
      </c>
      <c r="HQ270" s="3" t="s">
        <v>3</v>
      </c>
      <c r="HS270" s="3">
        <v>0</v>
      </c>
      <c r="IK270" s="3">
        <v>0</v>
      </c>
    </row>
    <row r="271" spans="1:255" x14ac:dyDescent="0.25">
      <c r="A271" s="2">
        <v>17</v>
      </c>
      <c r="B271" s="2">
        <v>1</v>
      </c>
      <c r="C271" s="2"/>
      <c r="D271" s="2"/>
      <c r="E271" s="2" t="s">
        <v>322</v>
      </c>
      <c r="F271" s="2" t="s">
        <v>323</v>
      </c>
      <c r="G271" s="2" t="s">
        <v>324</v>
      </c>
      <c r="H271" s="2" t="s">
        <v>152</v>
      </c>
      <c r="I271" s="2">
        <v>11375</v>
      </c>
      <c r="J271" s="2">
        <v>0</v>
      </c>
      <c r="K271" s="2">
        <v>11375</v>
      </c>
      <c r="L271" s="2"/>
      <c r="M271" s="2"/>
      <c r="N271" s="2"/>
      <c r="O271" s="2">
        <f t="shared" si="213"/>
        <v>17403.75</v>
      </c>
      <c r="P271" s="2">
        <f t="shared" si="214"/>
        <v>17403.75</v>
      </c>
      <c r="Q271" s="2">
        <f t="shared" si="238"/>
        <v>0</v>
      </c>
      <c r="R271" s="2">
        <f t="shared" si="239"/>
        <v>0</v>
      </c>
      <c r="S271" s="2">
        <f t="shared" si="215"/>
        <v>0</v>
      </c>
      <c r="T271" s="2">
        <f t="shared" si="216"/>
        <v>0</v>
      </c>
      <c r="U271" s="2">
        <f t="shared" si="217"/>
        <v>0</v>
      </c>
      <c r="V271" s="2">
        <f t="shared" si="218"/>
        <v>0</v>
      </c>
      <c r="W271" s="2">
        <f t="shared" si="219"/>
        <v>0</v>
      </c>
      <c r="X271" s="2">
        <f t="shared" si="240"/>
        <v>0</v>
      </c>
      <c r="Y271" s="2">
        <f t="shared" si="241"/>
        <v>0</v>
      </c>
      <c r="Z271" s="2"/>
      <c r="AA271" s="2">
        <v>57014138</v>
      </c>
      <c r="AB271" s="2">
        <f t="shared" si="220"/>
        <v>1.53</v>
      </c>
      <c r="AC271" s="2">
        <f t="shared" si="242"/>
        <v>1.53</v>
      </c>
      <c r="AD271" s="2">
        <f t="shared" si="243"/>
        <v>0</v>
      </c>
      <c r="AE271" s="2">
        <f t="shared" si="244"/>
        <v>0</v>
      </c>
      <c r="AF271" s="2">
        <f t="shared" si="245"/>
        <v>0</v>
      </c>
      <c r="AG271" s="2">
        <f t="shared" si="221"/>
        <v>0</v>
      </c>
      <c r="AH271" s="2">
        <f t="shared" si="246"/>
        <v>0</v>
      </c>
      <c r="AI271" s="2">
        <f t="shared" si="247"/>
        <v>0</v>
      </c>
      <c r="AJ271" s="2">
        <f t="shared" si="222"/>
        <v>0</v>
      </c>
      <c r="AK271" s="2">
        <v>1.53</v>
      </c>
      <c r="AL271" s="2">
        <v>1.53</v>
      </c>
      <c r="AM271" s="2">
        <v>0</v>
      </c>
      <c r="AN271" s="2">
        <v>0</v>
      </c>
      <c r="AO271" s="2">
        <v>0</v>
      </c>
      <c r="AP271" s="2">
        <v>0</v>
      </c>
      <c r="AQ271" s="2">
        <v>0</v>
      </c>
      <c r="AR271" s="2">
        <v>0</v>
      </c>
      <c r="AS271" s="2">
        <v>0</v>
      </c>
      <c r="AT271" s="2">
        <v>0</v>
      </c>
      <c r="AU271" s="2">
        <v>0</v>
      </c>
      <c r="AV271" s="2">
        <v>1</v>
      </c>
      <c r="AW271" s="2">
        <v>1</v>
      </c>
      <c r="AX271" s="2"/>
      <c r="AY271" s="2"/>
      <c r="AZ271" s="2">
        <v>1</v>
      </c>
      <c r="BA271" s="2">
        <v>1</v>
      </c>
      <c r="BB271" s="2">
        <v>1</v>
      </c>
      <c r="BC271" s="2">
        <v>1</v>
      </c>
      <c r="BD271" s="2" t="s">
        <v>3</v>
      </c>
      <c r="BE271" s="2" t="s">
        <v>3</v>
      </c>
      <c r="BF271" s="2" t="s">
        <v>3</v>
      </c>
      <c r="BG271" s="2" t="s">
        <v>3</v>
      </c>
      <c r="BH271" s="2">
        <v>3</v>
      </c>
      <c r="BI271" s="2">
        <v>2</v>
      </c>
      <c r="BJ271" s="2" t="s">
        <v>323</v>
      </c>
      <c r="BK271" s="2"/>
      <c r="BL271" s="2"/>
      <c r="BM271" s="2">
        <v>400005</v>
      </c>
      <c r="BN271" s="2">
        <v>0</v>
      </c>
      <c r="BO271" s="2" t="s">
        <v>3</v>
      </c>
      <c r="BP271" s="2">
        <v>0</v>
      </c>
      <c r="BQ271" s="2">
        <v>213</v>
      </c>
      <c r="BR271" s="2">
        <v>0</v>
      </c>
      <c r="BS271" s="2">
        <v>1</v>
      </c>
      <c r="BT271" s="2">
        <v>1</v>
      </c>
      <c r="BU271" s="2">
        <v>1</v>
      </c>
      <c r="BV271" s="2">
        <v>1</v>
      </c>
      <c r="BW271" s="2">
        <v>1</v>
      </c>
      <c r="BX271" s="2">
        <v>1</v>
      </c>
      <c r="BY271" s="2" t="s">
        <v>3</v>
      </c>
      <c r="BZ271" s="2">
        <v>0</v>
      </c>
      <c r="CA271" s="2">
        <v>0</v>
      </c>
      <c r="CB271" s="2" t="s">
        <v>3</v>
      </c>
      <c r="CC271" s="2"/>
      <c r="CD271" s="2"/>
      <c r="CE271" s="2">
        <v>1566</v>
      </c>
      <c r="CF271" s="2">
        <v>0</v>
      </c>
      <c r="CG271" s="2">
        <v>0</v>
      </c>
      <c r="CH271" s="2"/>
      <c r="CI271" s="2"/>
      <c r="CJ271" s="2"/>
      <c r="CK271" s="2"/>
      <c r="CL271" s="2"/>
      <c r="CM271" s="2">
        <v>0</v>
      </c>
      <c r="CN271" s="2" t="s">
        <v>3</v>
      </c>
      <c r="CO271" s="2">
        <v>0</v>
      </c>
      <c r="CP271" s="2">
        <f t="shared" si="223"/>
        <v>17403.75</v>
      </c>
      <c r="CQ271" s="2">
        <f t="shared" si="224"/>
        <v>1.53</v>
      </c>
      <c r="CR271" s="2">
        <f t="shared" si="248"/>
        <v>0</v>
      </c>
      <c r="CS271" s="2">
        <f t="shared" si="249"/>
        <v>0</v>
      </c>
      <c r="CT271" s="2">
        <f t="shared" si="225"/>
        <v>0</v>
      </c>
      <c r="CU271" s="2">
        <f t="shared" si="226"/>
        <v>0</v>
      </c>
      <c r="CV271" s="2">
        <f t="shared" si="227"/>
        <v>0</v>
      </c>
      <c r="CW271" s="2">
        <f t="shared" si="228"/>
        <v>0</v>
      </c>
      <c r="CX271" s="2">
        <f t="shared" si="229"/>
        <v>0</v>
      </c>
      <c r="CY271" s="2">
        <f t="shared" si="250"/>
        <v>0</v>
      </c>
      <c r="CZ271" s="2">
        <f t="shared" si="251"/>
        <v>0</v>
      </c>
      <c r="DA271" s="2"/>
      <c r="DB271" s="2"/>
      <c r="DC271" s="2" t="s">
        <v>3</v>
      </c>
      <c r="DD271" s="2" t="s">
        <v>3</v>
      </c>
      <c r="DE271" s="2" t="s">
        <v>3</v>
      </c>
      <c r="DF271" s="2" t="s">
        <v>3</v>
      </c>
      <c r="DG271" s="2" t="s">
        <v>3</v>
      </c>
      <c r="DH271" s="2" t="s">
        <v>3</v>
      </c>
      <c r="DI271" s="2" t="s">
        <v>3</v>
      </c>
      <c r="DJ271" s="2" t="s">
        <v>3</v>
      </c>
      <c r="DK271" s="2" t="s">
        <v>3</v>
      </c>
      <c r="DL271" s="2" t="s">
        <v>3</v>
      </c>
      <c r="DM271" s="2" t="s">
        <v>3</v>
      </c>
      <c r="DN271" s="2">
        <v>0</v>
      </c>
      <c r="DO271" s="2">
        <v>0</v>
      </c>
      <c r="DP271" s="2">
        <v>1</v>
      </c>
      <c r="DQ271" s="2">
        <v>1</v>
      </c>
      <c r="DR271" s="2"/>
      <c r="DS271" s="2"/>
      <c r="DT271" s="2"/>
      <c r="DU271" s="2">
        <v>1013</v>
      </c>
      <c r="DV271" s="2" t="s">
        <v>152</v>
      </c>
      <c r="DW271" s="2" t="s">
        <v>152</v>
      </c>
      <c r="DX271" s="2">
        <v>1</v>
      </c>
      <c r="DY271" s="2"/>
      <c r="DZ271" s="2" t="s">
        <v>3</v>
      </c>
      <c r="EA271" s="2" t="s">
        <v>3</v>
      </c>
      <c r="EB271" s="2" t="s">
        <v>3</v>
      </c>
      <c r="EC271" s="2" t="s">
        <v>3</v>
      </c>
      <c r="ED271" s="2"/>
      <c r="EE271" s="2">
        <v>57042888</v>
      </c>
      <c r="EF271" s="2">
        <v>213</v>
      </c>
      <c r="EG271" s="2" t="s">
        <v>159</v>
      </c>
      <c r="EH271" s="2">
        <v>0</v>
      </c>
      <c r="EI271" s="2" t="s">
        <v>3</v>
      </c>
      <c r="EJ271" s="2">
        <v>1</v>
      </c>
      <c r="EK271" s="2">
        <v>400005</v>
      </c>
      <c r="EL271" s="2" t="s">
        <v>159</v>
      </c>
      <c r="EM271" s="2" t="s">
        <v>160</v>
      </c>
      <c r="EN271" s="2"/>
      <c r="EO271" s="2" t="s">
        <v>3</v>
      </c>
      <c r="EP271" s="2"/>
      <c r="EQ271" s="2">
        <v>16</v>
      </c>
      <c r="ER271" s="2">
        <v>0</v>
      </c>
      <c r="ES271" s="2">
        <v>1.53</v>
      </c>
      <c r="ET271" s="2">
        <v>0</v>
      </c>
      <c r="EU271" s="2">
        <v>0</v>
      </c>
      <c r="EV271" s="2">
        <v>0</v>
      </c>
      <c r="EW271" s="2">
        <v>0</v>
      </c>
      <c r="EX271" s="2">
        <v>0</v>
      </c>
      <c r="EY271" s="2">
        <v>0</v>
      </c>
      <c r="EZ271" s="2"/>
      <c r="FA271" s="2"/>
      <c r="FB271" s="2"/>
      <c r="FC271" s="2"/>
      <c r="FD271" s="2"/>
      <c r="FE271" s="2"/>
      <c r="FF271" s="2"/>
      <c r="FG271" s="2"/>
      <c r="FH271" s="2"/>
      <c r="FI271" s="2"/>
      <c r="FJ271" s="2"/>
      <c r="FK271" s="2"/>
      <c r="FL271" s="2"/>
      <c r="FM271" s="2"/>
      <c r="FN271" s="2"/>
      <c r="FO271" s="2"/>
      <c r="FP271" s="2"/>
      <c r="FQ271" s="2">
        <v>0</v>
      </c>
      <c r="FR271" s="2">
        <v>0</v>
      </c>
      <c r="FS271" s="2">
        <v>0</v>
      </c>
      <c r="FT271" s="2"/>
      <c r="FU271" s="2"/>
      <c r="FV271" s="2"/>
      <c r="FW271" s="2"/>
      <c r="FX271" s="2">
        <v>0</v>
      </c>
      <c r="FY271" s="2">
        <v>0</v>
      </c>
      <c r="FZ271" s="2"/>
      <c r="GA271" s="2" t="s">
        <v>325</v>
      </c>
      <c r="GB271" s="2"/>
      <c r="GC271" s="2"/>
      <c r="GD271" s="2">
        <v>1</v>
      </c>
      <c r="GE271" s="2"/>
      <c r="GF271" s="2">
        <v>458046465</v>
      </c>
      <c r="GG271" s="2">
        <v>2</v>
      </c>
      <c r="GH271" s="2">
        <v>4</v>
      </c>
      <c r="GI271" s="2">
        <v>-2</v>
      </c>
      <c r="GJ271" s="2">
        <v>0</v>
      </c>
      <c r="GK271" s="2">
        <v>0</v>
      </c>
      <c r="GL271" s="2">
        <f t="shared" si="230"/>
        <v>0</v>
      </c>
      <c r="GM271" s="2">
        <f t="shared" si="231"/>
        <v>17403.75</v>
      </c>
      <c r="GN271" s="2">
        <f t="shared" si="232"/>
        <v>0</v>
      </c>
      <c r="GO271" s="2">
        <f t="shared" si="233"/>
        <v>17403.75</v>
      </c>
      <c r="GP271" s="2">
        <f t="shared" si="234"/>
        <v>0</v>
      </c>
      <c r="GQ271" s="2"/>
      <c r="GR271" s="2">
        <v>1</v>
      </c>
      <c r="GS271" s="2">
        <v>2</v>
      </c>
      <c r="GT271" s="2">
        <v>0</v>
      </c>
      <c r="GU271" s="2" t="s">
        <v>3</v>
      </c>
      <c r="GV271" s="2">
        <f t="shared" si="235"/>
        <v>0</v>
      </c>
      <c r="GW271" s="2">
        <v>1</v>
      </c>
      <c r="GX271" s="2">
        <f t="shared" si="236"/>
        <v>0</v>
      </c>
      <c r="GY271" s="2"/>
      <c r="GZ271" s="2"/>
      <c r="HA271" s="2">
        <v>0</v>
      </c>
      <c r="HB271" s="2">
        <v>0</v>
      </c>
      <c r="HC271" s="2">
        <f t="shared" si="237"/>
        <v>0</v>
      </c>
      <c r="HD271" s="2"/>
      <c r="HE271" s="2" t="s">
        <v>162</v>
      </c>
      <c r="HF271" s="2" t="s">
        <v>35</v>
      </c>
      <c r="HG271" s="2"/>
      <c r="HH271" s="2"/>
      <c r="HI271" s="2"/>
      <c r="HJ271" s="2"/>
      <c r="HK271" s="2"/>
      <c r="HL271" s="2"/>
      <c r="HM271" s="2" t="s">
        <v>3</v>
      </c>
      <c r="HN271" s="2" t="s">
        <v>3</v>
      </c>
      <c r="HO271" s="2" t="s">
        <v>3</v>
      </c>
      <c r="HP271" s="2" t="s">
        <v>3</v>
      </c>
      <c r="HQ271" s="2" t="s">
        <v>3</v>
      </c>
      <c r="HR271" s="2"/>
      <c r="HS271" s="2">
        <v>0</v>
      </c>
      <c r="HT271" s="2"/>
      <c r="HU271" s="2"/>
      <c r="HV271" s="2"/>
      <c r="HW271" s="2"/>
      <c r="HX271" s="2"/>
      <c r="HY271" s="2"/>
      <c r="HZ271" s="2"/>
      <c r="IA271" s="2"/>
      <c r="IB271" s="2"/>
      <c r="IC271" s="2"/>
      <c r="ID271" s="2"/>
      <c r="IE271" s="2"/>
      <c r="IF271" s="2"/>
      <c r="IG271" s="2"/>
      <c r="IH271" s="2"/>
      <c r="II271" s="2"/>
      <c r="IJ271" s="2"/>
      <c r="IK271" s="2">
        <v>0</v>
      </c>
      <c r="IL271" s="2"/>
      <c r="IM271" s="2"/>
      <c r="IN271" s="2"/>
      <c r="IO271" s="2"/>
      <c r="IP271" s="2"/>
      <c r="IQ271" s="2"/>
      <c r="IR271" s="2"/>
      <c r="IS271" s="2"/>
      <c r="IT271" s="2"/>
      <c r="IU271" s="2"/>
    </row>
    <row r="272" spans="1:255" x14ac:dyDescent="0.25">
      <c r="A272" s="3">
        <v>17</v>
      </c>
      <c r="B272" s="3">
        <v>1</v>
      </c>
      <c r="E272" s="3" t="s">
        <v>322</v>
      </c>
      <c r="F272" s="3" t="s">
        <v>323</v>
      </c>
      <c r="G272" s="3" t="s">
        <v>324</v>
      </c>
      <c r="H272" s="3" t="s">
        <v>152</v>
      </c>
      <c r="I272" s="3">
        <v>11375</v>
      </c>
      <c r="J272" s="3">
        <v>0</v>
      </c>
      <c r="K272" s="3">
        <v>11375</v>
      </c>
      <c r="O272" s="3">
        <f t="shared" si="213"/>
        <v>171252.9</v>
      </c>
      <c r="P272" s="3">
        <f t="shared" si="214"/>
        <v>171252.9</v>
      </c>
      <c r="Q272" s="3">
        <f t="shared" si="238"/>
        <v>0</v>
      </c>
      <c r="R272" s="3">
        <f t="shared" si="239"/>
        <v>0</v>
      </c>
      <c r="S272" s="3">
        <f t="shared" si="215"/>
        <v>0</v>
      </c>
      <c r="T272" s="3">
        <f t="shared" si="216"/>
        <v>0</v>
      </c>
      <c r="U272" s="3">
        <f t="shared" si="217"/>
        <v>0</v>
      </c>
      <c r="V272" s="3">
        <f t="shared" si="218"/>
        <v>0</v>
      </c>
      <c r="W272" s="3">
        <f t="shared" si="219"/>
        <v>0</v>
      </c>
      <c r="X272" s="3">
        <f t="shared" si="240"/>
        <v>0</v>
      </c>
      <c r="Y272" s="3">
        <f t="shared" si="241"/>
        <v>0</v>
      </c>
      <c r="AA272" s="3">
        <v>57014140</v>
      </c>
      <c r="AB272" s="3">
        <f t="shared" si="220"/>
        <v>1.53</v>
      </c>
      <c r="AC272" s="3">
        <f t="shared" si="242"/>
        <v>1.53</v>
      </c>
      <c r="AD272" s="3">
        <f t="shared" si="243"/>
        <v>0</v>
      </c>
      <c r="AE272" s="3">
        <f t="shared" si="244"/>
        <v>0</v>
      </c>
      <c r="AF272" s="3">
        <f t="shared" si="245"/>
        <v>0</v>
      </c>
      <c r="AG272" s="3">
        <f t="shared" si="221"/>
        <v>0</v>
      </c>
      <c r="AH272" s="3">
        <f t="shared" si="246"/>
        <v>0</v>
      </c>
      <c r="AI272" s="3">
        <f t="shared" si="247"/>
        <v>0</v>
      </c>
      <c r="AJ272" s="3">
        <f t="shared" si="222"/>
        <v>0</v>
      </c>
      <c r="AK272" s="3">
        <v>1.53</v>
      </c>
      <c r="AL272" s="3">
        <v>1.53</v>
      </c>
      <c r="AM272" s="3">
        <v>0</v>
      </c>
      <c r="AN272" s="3">
        <v>0</v>
      </c>
      <c r="AO272" s="3">
        <v>0</v>
      </c>
      <c r="AP272" s="3">
        <v>0</v>
      </c>
      <c r="AQ272" s="3">
        <v>0</v>
      </c>
      <c r="AR272" s="3">
        <v>0</v>
      </c>
      <c r="AS272" s="3">
        <v>0</v>
      </c>
      <c r="AT272" s="3">
        <v>0</v>
      </c>
      <c r="AU272" s="3">
        <v>0</v>
      </c>
      <c r="AV272" s="3">
        <v>1</v>
      </c>
      <c r="AW272" s="3">
        <v>1</v>
      </c>
      <c r="AZ272" s="3">
        <v>1</v>
      </c>
      <c r="BA272" s="3">
        <v>1</v>
      </c>
      <c r="BB272" s="3">
        <v>1</v>
      </c>
      <c r="BC272" s="3">
        <v>9.84</v>
      </c>
      <c r="BD272" s="3" t="s">
        <v>3</v>
      </c>
      <c r="BE272" s="3" t="s">
        <v>3</v>
      </c>
      <c r="BF272" s="3" t="s">
        <v>3</v>
      </c>
      <c r="BG272" s="3" t="s">
        <v>3</v>
      </c>
      <c r="BH272" s="3">
        <v>3</v>
      </c>
      <c r="BI272" s="3">
        <v>2</v>
      </c>
      <c r="BJ272" s="3" t="s">
        <v>323</v>
      </c>
      <c r="BM272" s="3">
        <v>400005</v>
      </c>
      <c r="BN272" s="3">
        <v>0</v>
      </c>
      <c r="BO272" s="3" t="s">
        <v>3</v>
      </c>
      <c r="BP272" s="3">
        <v>0</v>
      </c>
      <c r="BQ272" s="3">
        <v>213</v>
      </c>
      <c r="BR272" s="3">
        <v>0</v>
      </c>
      <c r="BS272" s="3">
        <v>1</v>
      </c>
      <c r="BT272" s="3">
        <v>1</v>
      </c>
      <c r="BU272" s="3">
        <v>1</v>
      </c>
      <c r="BV272" s="3">
        <v>1</v>
      </c>
      <c r="BW272" s="3">
        <v>1</v>
      </c>
      <c r="BX272" s="3">
        <v>1</v>
      </c>
      <c r="BY272" s="3" t="s">
        <v>3</v>
      </c>
      <c r="BZ272" s="3">
        <v>0</v>
      </c>
      <c r="CA272" s="3">
        <v>0</v>
      </c>
      <c r="CB272" s="3" t="s">
        <v>3</v>
      </c>
      <c r="CE272" s="3">
        <v>1566</v>
      </c>
      <c r="CF272" s="3">
        <v>0</v>
      </c>
      <c r="CG272" s="3">
        <v>0</v>
      </c>
      <c r="CM272" s="3">
        <v>0</v>
      </c>
      <c r="CN272" s="3" t="s">
        <v>3</v>
      </c>
      <c r="CO272" s="3">
        <v>0</v>
      </c>
      <c r="CP272" s="3">
        <f t="shared" si="223"/>
        <v>171252.9</v>
      </c>
      <c r="CQ272" s="3">
        <f t="shared" si="224"/>
        <v>15.06</v>
      </c>
      <c r="CR272" s="3">
        <f t="shared" si="248"/>
        <v>0</v>
      </c>
      <c r="CS272" s="3">
        <f t="shared" si="249"/>
        <v>0</v>
      </c>
      <c r="CT272" s="3">
        <f t="shared" si="225"/>
        <v>0</v>
      </c>
      <c r="CU272" s="3">
        <f t="shared" si="226"/>
        <v>0</v>
      </c>
      <c r="CV272" s="3">
        <f t="shared" si="227"/>
        <v>0</v>
      </c>
      <c r="CW272" s="3">
        <f t="shared" si="228"/>
        <v>0</v>
      </c>
      <c r="CX272" s="3">
        <f t="shared" si="229"/>
        <v>0</v>
      </c>
      <c r="CY272" s="3">
        <f t="shared" si="250"/>
        <v>0</v>
      </c>
      <c r="CZ272" s="3">
        <f t="shared" si="251"/>
        <v>0</v>
      </c>
      <c r="DC272" s="3" t="s">
        <v>3</v>
      </c>
      <c r="DD272" s="3" t="s">
        <v>3</v>
      </c>
      <c r="DE272" s="3" t="s">
        <v>3</v>
      </c>
      <c r="DF272" s="3" t="s">
        <v>3</v>
      </c>
      <c r="DG272" s="3" t="s">
        <v>3</v>
      </c>
      <c r="DH272" s="3" t="s">
        <v>3</v>
      </c>
      <c r="DI272" s="3" t="s">
        <v>3</v>
      </c>
      <c r="DJ272" s="3" t="s">
        <v>3</v>
      </c>
      <c r="DK272" s="3" t="s">
        <v>3</v>
      </c>
      <c r="DL272" s="3" t="s">
        <v>3</v>
      </c>
      <c r="DM272" s="3" t="s">
        <v>3</v>
      </c>
      <c r="DN272" s="3">
        <v>0</v>
      </c>
      <c r="DO272" s="3">
        <v>0</v>
      </c>
      <c r="DP272" s="3">
        <v>1</v>
      </c>
      <c r="DQ272" s="3">
        <v>1</v>
      </c>
      <c r="DU272" s="3">
        <v>1013</v>
      </c>
      <c r="DV272" s="3" t="s">
        <v>152</v>
      </c>
      <c r="DW272" s="3" t="s">
        <v>152</v>
      </c>
      <c r="DX272" s="3">
        <v>1</v>
      </c>
      <c r="DZ272" s="3" t="s">
        <v>3</v>
      </c>
      <c r="EA272" s="3" t="s">
        <v>3</v>
      </c>
      <c r="EB272" s="3" t="s">
        <v>3</v>
      </c>
      <c r="EC272" s="3" t="s">
        <v>3</v>
      </c>
      <c r="EE272" s="3">
        <v>57042888</v>
      </c>
      <c r="EF272" s="3">
        <v>213</v>
      </c>
      <c r="EG272" s="3" t="s">
        <v>159</v>
      </c>
      <c r="EH272" s="3">
        <v>0</v>
      </c>
      <c r="EI272" s="3" t="s">
        <v>3</v>
      </c>
      <c r="EJ272" s="3">
        <v>1</v>
      </c>
      <c r="EK272" s="3">
        <v>400005</v>
      </c>
      <c r="EL272" s="3" t="s">
        <v>159</v>
      </c>
      <c r="EM272" s="3" t="s">
        <v>160</v>
      </c>
      <c r="EO272" s="3" t="s">
        <v>3</v>
      </c>
      <c r="EQ272" s="3">
        <v>16</v>
      </c>
      <c r="ER272" s="3">
        <v>0</v>
      </c>
      <c r="ES272" s="3">
        <v>1.53</v>
      </c>
      <c r="ET272" s="3">
        <v>0</v>
      </c>
      <c r="EU272" s="3">
        <v>0</v>
      </c>
      <c r="EV272" s="3">
        <v>0</v>
      </c>
      <c r="EW272" s="3">
        <v>0</v>
      </c>
      <c r="EX272" s="3">
        <v>0</v>
      </c>
      <c r="EY272" s="3">
        <v>0</v>
      </c>
      <c r="EZ272" s="3">
        <v>5</v>
      </c>
      <c r="FC272" s="3">
        <v>1</v>
      </c>
      <c r="FD272" s="3">
        <v>18</v>
      </c>
      <c r="FF272" s="3">
        <v>18</v>
      </c>
      <c r="FQ272" s="3">
        <v>0</v>
      </c>
      <c r="FR272" s="3">
        <v>0</v>
      </c>
      <c r="FS272" s="3">
        <v>0</v>
      </c>
      <c r="FX272" s="3">
        <v>0</v>
      </c>
      <c r="FY272" s="3">
        <v>0</v>
      </c>
      <c r="GA272" s="3" t="s">
        <v>325</v>
      </c>
      <c r="GD272" s="3">
        <v>1</v>
      </c>
      <c r="GF272" s="3">
        <v>458046465</v>
      </c>
      <c r="GG272" s="3">
        <v>2</v>
      </c>
      <c r="GH272" s="3">
        <v>3</v>
      </c>
      <c r="GI272" s="3">
        <v>5</v>
      </c>
      <c r="GJ272" s="3">
        <v>0</v>
      </c>
      <c r="GK272" s="3">
        <v>0</v>
      </c>
      <c r="GL272" s="3">
        <f t="shared" si="230"/>
        <v>0</v>
      </c>
      <c r="GM272" s="3">
        <f t="shared" si="231"/>
        <v>171252.9</v>
      </c>
      <c r="GN272" s="3">
        <f t="shared" si="232"/>
        <v>0</v>
      </c>
      <c r="GO272" s="3">
        <f t="shared" si="233"/>
        <v>171252.9</v>
      </c>
      <c r="GP272" s="3">
        <f t="shared" si="234"/>
        <v>0</v>
      </c>
      <c r="GR272" s="3">
        <v>1</v>
      </c>
      <c r="GS272" s="3">
        <v>1</v>
      </c>
      <c r="GT272" s="3">
        <v>0</v>
      </c>
      <c r="GU272" s="3" t="s">
        <v>3</v>
      </c>
      <c r="GV272" s="3">
        <f t="shared" si="235"/>
        <v>0</v>
      </c>
      <c r="GW272" s="3">
        <v>1</v>
      </c>
      <c r="GX272" s="3">
        <f t="shared" si="236"/>
        <v>0</v>
      </c>
      <c r="HA272" s="3">
        <v>0</v>
      </c>
      <c r="HB272" s="3">
        <v>0</v>
      </c>
      <c r="HC272" s="3">
        <f t="shared" si="237"/>
        <v>0</v>
      </c>
      <c r="HE272" s="3" t="s">
        <v>162</v>
      </c>
      <c r="HF272" s="3" t="s">
        <v>35</v>
      </c>
      <c r="HM272" s="3" t="s">
        <v>3</v>
      </c>
      <c r="HN272" s="3" t="s">
        <v>3</v>
      </c>
      <c r="HO272" s="3" t="s">
        <v>3</v>
      </c>
      <c r="HP272" s="3" t="s">
        <v>3</v>
      </c>
      <c r="HQ272" s="3" t="s">
        <v>3</v>
      </c>
      <c r="HS272" s="3">
        <v>0</v>
      </c>
      <c r="IK272" s="3">
        <v>0</v>
      </c>
    </row>
    <row r="273" spans="1:255" x14ac:dyDescent="0.25">
      <c r="A273" s="2">
        <v>17</v>
      </c>
      <c r="B273" s="2">
        <v>1</v>
      </c>
      <c r="C273" s="2"/>
      <c r="D273" s="2"/>
      <c r="E273" s="2" t="s">
        <v>326</v>
      </c>
      <c r="F273" s="2" t="s">
        <v>327</v>
      </c>
      <c r="G273" s="2" t="s">
        <v>328</v>
      </c>
      <c r="H273" s="2" t="s">
        <v>320</v>
      </c>
      <c r="I273" s="2">
        <f>ROUND(4500*1.02,9)</f>
        <v>4590</v>
      </c>
      <c r="J273" s="2">
        <v>0</v>
      </c>
      <c r="K273" s="2">
        <f>ROUND(4500*1.02,9)</f>
        <v>4590</v>
      </c>
      <c r="L273" s="2"/>
      <c r="M273" s="2"/>
      <c r="N273" s="2"/>
      <c r="O273" s="2">
        <f t="shared" si="213"/>
        <v>43191.9</v>
      </c>
      <c r="P273" s="2">
        <f t="shared" si="214"/>
        <v>43191.9</v>
      </c>
      <c r="Q273" s="2">
        <f t="shared" si="238"/>
        <v>0</v>
      </c>
      <c r="R273" s="2">
        <f t="shared" si="239"/>
        <v>0</v>
      </c>
      <c r="S273" s="2">
        <f t="shared" si="215"/>
        <v>0</v>
      </c>
      <c r="T273" s="2">
        <f t="shared" si="216"/>
        <v>0</v>
      </c>
      <c r="U273" s="2">
        <f t="shared" si="217"/>
        <v>0</v>
      </c>
      <c r="V273" s="2">
        <f t="shared" si="218"/>
        <v>0</v>
      </c>
      <c r="W273" s="2">
        <f t="shared" si="219"/>
        <v>0</v>
      </c>
      <c r="X273" s="2">
        <f t="shared" si="240"/>
        <v>0</v>
      </c>
      <c r="Y273" s="2">
        <f t="shared" si="241"/>
        <v>0</v>
      </c>
      <c r="Z273" s="2"/>
      <c r="AA273" s="2">
        <v>57014138</v>
      </c>
      <c r="AB273" s="2">
        <f t="shared" si="220"/>
        <v>9.41</v>
      </c>
      <c r="AC273" s="2">
        <f t="shared" si="242"/>
        <v>9.41</v>
      </c>
      <c r="AD273" s="2">
        <f t="shared" si="243"/>
        <v>0</v>
      </c>
      <c r="AE273" s="2">
        <f t="shared" si="244"/>
        <v>0</v>
      </c>
      <c r="AF273" s="2">
        <f t="shared" si="245"/>
        <v>0</v>
      </c>
      <c r="AG273" s="2">
        <f t="shared" si="221"/>
        <v>0</v>
      </c>
      <c r="AH273" s="2">
        <f t="shared" si="246"/>
        <v>0</v>
      </c>
      <c r="AI273" s="2">
        <f t="shared" si="247"/>
        <v>0</v>
      </c>
      <c r="AJ273" s="2">
        <f t="shared" si="222"/>
        <v>0</v>
      </c>
      <c r="AK273" s="2">
        <v>9.41</v>
      </c>
      <c r="AL273" s="2">
        <v>9.41</v>
      </c>
      <c r="AM273" s="2">
        <v>0</v>
      </c>
      <c r="AN273" s="2">
        <v>0</v>
      </c>
      <c r="AO273" s="2">
        <v>0</v>
      </c>
      <c r="AP273" s="2">
        <v>0</v>
      </c>
      <c r="AQ273" s="2">
        <v>0</v>
      </c>
      <c r="AR273" s="2">
        <v>0</v>
      </c>
      <c r="AS273" s="2">
        <v>0</v>
      </c>
      <c r="AT273" s="2">
        <v>0</v>
      </c>
      <c r="AU273" s="2">
        <v>0</v>
      </c>
      <c r="AV273" s="2">
        <v>1</v>
      </c>
      <c r="AW273" s="2">
        <v>1</v>
      </c>
      <c r="AX273" s="2"/>
      <c r="AY273" s="2"/>
      <c r="AZ273" s="2">
        <v>1</v>
      </c>
      <c r="BA273" s="2">
        <v>1</v>
      </c>
      <c r="BB273" s="2">
        <v>1</v>
      </c>
      <c r="BC273" s="2">
        <v>1</v>
      </c>
      <c r="BD273" s="2" t="s">
        <v>3</v>
      </c>
      <c r="BE273" s="2" t="s">
        <v>3</v>
      </c>
      <c r="BF273" s="2" t="s">
        <v>3</v>
      </c>
      <c r="BG273" s="2" t="s">
        <v>3</v>
      </c>
      <c r="BH273" s="2">
        <v>3</v>
      </c>
      <c r="BI273" s="2">
        <v>2</v>
      </c>
      <c r="BJ273" s="2" t="s">
        <v>327</v>
      </c>
      <c r="BK273" s="2"/>
      <c r="BL273" s="2"/>
      <c r="BM273" s="2">
        <v>400005</v>
      </c>
      <c r="BN273" s="2">
        <v>0</v>
      </c>
      <c r="BO273" s="2" t="s">
        <v>3</v>
      </c>
      <c r="BP273" s="2">
        <v>0</v>
      </c>
      <c r="BQ273" s="2">
        <v>213</v>
      </c>
      <c r="BR273" s="2">
        <v>0</v>
      </c>
      <c r="BS273" s="2">
        <v>1</v>
      </c>
      <c r="BT273" s="2">
        <v>1</v>
      </c>
      <c r="BU273" s="2">
        <v>1</v>
      </c>
      <c r="BV273" s="2">
        <v>1</v>
      </c>
      <c r="BW273" s="2">
        <v>1</v>
      </c>
      <c r="BX273" s="2">
        <v>1</v>
      </c>
      <c r="BY273" s="2" t="s">
        <v>3</v>
      </c>
      <c r="BZ273" s="2">
        <v>0</v>
      </c>
      <c r="CA273" s="2">
        <v>0</v>
      </c>
      <c r="CB273" s="2" t="s">
        <v>3</v>
      </c>
      <c r="CC273" s="2"/>
      <c r="CD273" s="2"/>
      <c r="CE273" s="2">
        <v>1566</v>
      </c>
      <c r="CF273" s="2">
        <v>0</v>
      </c>
      <c r="CG273" s="2">
        <v>0</v>
      </c>
      <c r="CH273" s="2"/>
      <c r="CI273" s="2"/>
      <c r="CJ273" s="2"/>
      <c r="CK273" s="2"/>
      <c r="CL273" s="2"/>
      <c r="CM273" s="2">
        <v>0</v>
      </c>
      <c r="CN273" s="2" t="s">
        <v>3</v>
      </c>
      <c r="CO273" s="2">
        <v>0</v>
      </c>
      <c r="CP273" s="2">
        <f t="shared" si="223"/>
        <v>43191.9</v>
      </c>
      <c r="CQ273" s="2">
        <f t="shared" si="224"/>
        <v>9.41</v>
      </c>
      <c r="CR273" s="2">
        <f t="shared" si="248"/>
        <v>0</v>
      </c>
      <c r="CS273" s="2">
        <f t="shared" si="249"/>
        <v>0</v>
      </c>
      <c r="CT273" s="2">
        <f t="shared" si="225"/>
        <v>0</v>
      </c>
      <c r="CU273" s="2">
        <f t="shared" si="226"/>
        <v>0</v>
      </c>
      <c r="CV273" s="2">
        <f t="shared" si="227"/>
        <v>0</v>
      </c>
      <c r="CW273" s="2">
        <f t="shared" si="228"/>
        <v>0</v>
      </c>
      <c r="CX273" s="2">
        <f t="shared" si="229"/>
        <v>0</v>
      </c>
      <c r="CY273" s="2">
        <f t="shared" si="250"/>
        <v>0</v>
      </c>
      <c r="CZ273" s="2">
        <f t="shared" si="251"/>
        <v>0</v>
      </c>
      <c r="DA273" s="2"/>
      <c r="DB273" s="2"/>
      <c r="DC273" s="2" t="s">
        <v>3</v>
      </c>
      <c r="DD273" s="2" t="s">
        <v>3</v>
      </c>
      <c r="DE273" s="2" t="s">
        <v>3</v>
      </c>
      <c r="DF273" s="2" t="s">
        <v>3</v>
      </c>
      <c r="DG273" s="2" t="s">
        <v>3</v>
      </c>
      <c r="DH273" s="2" t="s">
        <v>3</v>
      </c>
      <c r="DI273" s="2" t="s">
        <v>3</v>
      </c>
      <c r="DJ273" s="2" t="s">
        <v>3</v>
      </c>
      <c r="DK273" s="2" t="s">
        <v>3</v>
      </c>
      <c r="DL273" s="2" t="s">
        <v>3</v>
      </c>
      <c r="DM273" s="2" t="s">
        <v>3</v>
      </c>
      <c r="DN273" s="2">
        <v>0</v>
      </c>
      <c r="DO273" s="2">
        <v>0</v>
      </c>
      <c r="DP273" s="2">
        <v>1</v>
      </c>
      <c r="DQ273" s="2">
        <v>1</v>
      </c>
      <c r="DR273" s="2"/>
      <c r="DS273" s="2"/>
      <c r="DT273" s="2"/>
      <c r="DU273" s="2">
        <v>1003</v>
      </c>
      <c r="DV273" s="2" t="s">
        <v>320</v>
      </c>
      <c r="DW273" s="2" t="s">
        <v>320</v>
      </c>
      <c r="DX273" s="2">
        <v>1</v>
      </c>
      <c r="DY273" s="2"/>
      <c r="DZ273" s="2" t="s">
        <v>3</v>
      </c>
      <c r="EA273" s="2" t="s">
        <v>3</v>
      </c>
      <c r="EB273" s="2" t="s">
        <v>3</v>
      </c>
      <c r="EC273" s="2" t="s">
        <v>3</v>
      </c>
      <c r="ED273" s="2"/>
      <c r="EE273" s="2">
        <v>57042888</v>
      </c>
      <c r="EF273" s="2">
        <v>213</v>
      </c>
      <c r="EG273" s="2" t="s">
        <v>159</v>
      </c>
      <c r="EH273" s="2">
        <v>0</v>
      </c>
      <c r="EI273" s="2" t="s">
        <v>3</v>
      </c>
      <c r="EJ273" s="2">
        <v>1</v>
      </c>
      <c r="EK273" s="2">
        <v>400005</v>
      </c>
      <c r="EL273" s="2" t="s">
        <v>159</v>
      </c>
      <c r="EM273" s="2" t="s">
        <v>160</v>
      </c>
      <c r="EN273" s="2"/>
      <c r="EO273" s="2" t="s">
        <v>3</v>
      </c>
      <c r="EP273" s="2"/>
      <c r="EQ273" s="2">
        <v>16</v>
      </c>
      <c r="ER273" s="2">
        <v>0</v>
      </c>
      <c r="ES273" s="2">
        <v>9.41</v>
      </c>
      <c r="ET273" s="2">
        <v>0</v>
      </c>
      <c r="EU273" s="2">
        <v>0</v>
      </c>
      <c r="EV273" s="2">
        <v>0</v>
      </c>
      <c r="EW273" s="2">
        <v>0</v>
      </c>
      <c r="EX273" s="2">
        <v>0</v>
      </c>
      <c r="EY273" s="2">
        <v>0</v>
      </c>
      <c r="EZ273" s="2"/>
      <c r="FA273" s="2"/>
      <c r="FB273" s="2"/>
      <c r="FC273" s="2"/>
      <c r="FD273" s="2"/>
      <c r="FE273" s="2"/>
      <c r="FF273" s="2"/>
      <c r="FG273" s="2"/>
      <c r="FH273" s="2"/>
      <c r="FI273" s="2"/>
      <c r="FJ273" s="2"/>
      <c r="FK273" s="2"/>
      <c r="FL273" s="2"/>
      <c r="FM273" s="2"/>
      <c r="FN273" s="2"/>
      <c r="FO273" s="2"/>
      <c r="FP273" s="2"/>
      <c r="FQ273" s="2">
        <v>0</v>
      </c>
      <c r="FR273" s="2">
        <v>0</v>
      </c>
      <c r="FS273" s="2">
        <v>0</v>
      </c>
      <c r="FT273" s="2"/>
      <c r="FU273" s="2"/>
      <c r="FV273" s="2"/>
      <c r="FW273" s="2"/>
      <c r="FX273" s="2">
        <v>0</v>
      </c>
      <c r="FY273" s="2">
        <v>0</v>
      </c>
      <c r="FZ273" s="2"/>
      <c r="GA273" s="2" t="s">
        <v>329</v>
      </c>
      <c r="GB273" s="2"/>
      <c r="GC273" s="2"/>
      <c r="GD273" s="2">
        <v>1</v>
      </c>
      <c r="GE273" s="2"/>
      <c r="GF273" s="2">
        <v>-1189540916</v>
      </c>
      <c r="GG273" s="2">
        <v>2</v>
      </c>
      <c r="GH273" s="2">
        <v>4</v>
      </c>
      <c r="GI273" s="2">
        <v>-2</v>
      </c>
      <c r="GJ273" s="2">
        <v>0</v>
      </c>
      <c r="GK273" s="2">
        <v>0</v>
      </c>
      <c r="GL273" s="2">
        <f t="shared" si="230"/>
        <v>0</v>
      </c>
      <c r="GM273" s="2">
        <f t="shared" si="231"/>
        <v>43191.9</v>
      </c>
      <c r="GN273" s="2">
        <f t="shared" si="232"/>
        <v>0</v>
      </c>
      <c r="GO273" s="2">
        <f t="shared" si="233"/>
        <v>43191.9</v>
      </c>
      <c r="GP273" s="2">
        <f t="shared" si="234"/>
        <v>0</v>
      </c>
      <c r="GQ273" s="2"/>
      <c r="GR273" s="2">
        <v>1</v>
      </c>
      <c r="GS273" s="2">
        <v>2</v>
      </c>
      <c r="GT273" s="2">
        <v>0</v>
      </c>
      <c r="GU273" s="2" t="s">
        <v>3</v>
      </c>
      <c r="GV273" s="2">
        <f t="shared" si="235"/>
        <v>0</v>
      </c>
      <c r="GW273" s="2">
        <v>1</v>
      </c>
      <c r="GX273" s="2">
        <f t="shared" si="236"/>
        <v>0</v>
      </c>
      <c r="GY273" s="2"/>
      <c r="GZ273" s="2"/>
      <c r="HA273" s="2">
        <v>0</v>
      </c>
      <c r="HB273" s="2">
        <v>0</v>
      </c>
      <c r="HC273" s="2">
        <f t="shared" si="237"/>
        <v>0</v>
      </c>
      <c r="HD273" s="2"/>
      <c r="HE273" s="2" t="s">
        <v>162</v>
      </c>
      <c r="HF273" s="2" t="s">
        <v>35</v>
      </c>
      <c r="HG273" s="2"/>
      <c r="HH273" s="2"/>
      <c r="HI273" s="2"/>
      <c r="HJ273" s="2"/>
      <c r="HK273" s="2"/>
      <c r="HL273" s="2"/>
      <c r="HM273" s="2" t="s">
        <v>3</v>
      </c>
      <c r="HN273" s="2" t="s">
        <v>3</v>
      </c>
      <c r="HO273" s="2" t="s">
        <v>3</v>
      </c>
      <c r="HP273" s="2" t="s">
        <v>3</v>
      </c>
      <c r="HQ273" s="2" t="s">
        <v>3</v>
      </c>
      <c r="HR273" s="2"/>
      <c r="HS273" s="2">
        <v>0</v>
      </c>
      <c r="HT273" s="2"/>
      <c r="HU273" s="2"/>
      <c r="HV273" s="2"/>
      <c r="HW273" s="2"/>
      <c r="HX273" s="2"/>
      <c r="HY273" s="2"/>
      <c r="HZ273" s="2"/>
      <c r="IA273" s="2"/>
      <c r="IB273" s="2"/>
      <c r="IC273" s="2"/>
      <c r="ID273" s="2"/>
      <c r="IE273" s="2"/>
      <c r="IF273" s="2"/>
      <c r="IG273" s="2"/>
      <c r="IH273" s="2"/>
      <c r="II273" s="2"/>
      <c r="IJ273" s="2"/>
      <c r="IK273" s="2">
        <v>0</v>
      </c>
      <c r="IL273" s="2"/>
      <c r="IM273" s="2"/>
      <c r="IN273" s="2"/>
      <c r="IO273" s="2"/>
      <c r="IP273" s="2"/>
      <c r="IQ273" s="2"/>
      <c r="IR273" s="2"/>
      <c r="IS273" s="2"/>
      <c r="IT273" s="2"/>
      <c r="IU273" s="2"/>
    </row>
    <row r="274" spans="1:255" x14ac:dyDescent="0.25">
      <c r="A274" s="3">
        <v>17</v>
      </c>
      <c r="B274" s="3">
        <v>1</v>
      </c>
      <c r="E274" s="3" t="s">
        <v>326</v>
      </c>
      <c r="F274" s="3" t="s">
        <v>327</v>
      </c>
      <c r="G274" s="3" t="s">
        <v>328</v>
      </c>
      <c r="H274" s="3" t="s">
        <v>320</v>
      </c>
      <c r="I274" s="3">
        <f>ROUND(4500*1.02,9)</f>
        <v>4590</v>
      </c>
      <c r="J274" s="3">
        <v>0</v>
      </c>
      <c r="K274" s="3">
        <f>ROUND(4500*1.02,9)</f>
        <v>4590</v>
      </c>
      <c r="O274" s="3">
        <f t="shared" si="213"/>
        <v>425008.3</v>
      </c>
      <c r="P274" s="3">
        <f t="shared" si="214"/>
        <v>425008.3</v>
      </c>
      <c r="Q274" s="3">
        <f t="shared" si="238"/>
        <v>0</v>
      </c>
      <c r="R274" s="3">
        <f t="shared" si="239"/>
        <v>0</v>
      </c>
      <c r="S274" s="3">
        <f t="shared" si="215"/>
        <v>0</v>
      </c>
      <c r="T274" s="3">
        <f t="shared" si="216"/>
        <v>0</v>
      </c>
      <c r="U274" s="3">
        <f t="shared" si="217"/>
        <v>0</v>
      </c>
      <c r="V274" s="3">
        <f t="shared" si="218"/>
        <v>0</v>
      </c>
      <c r="W274" s="3">
        <f t="shared" si="219"/>
        <v>0</v>
      </c>
      <c r="X274" s="3">
        <f t="shared" si="240"/>
        <v>0</v>
      </c>
      <c r="Y274" s="3">
        <f t="shared" si="241"/>
        <v>0</v>
      </c>
      <c r="AA274" s="3">
        <v>57014140</v>
      </c>
      <c r="AB274" s="3">
        <f t="shared" si="220"/>
        <v>9.41</v>
      </c>
      <c r="AC274" s="3">
        <f t="shared" si="242"/>
        <v>9.41</v>
      </c>
      <c r="AD274" s="3">
        <f t="shared" si="243"/>
        <v>0</v>
      </c>
      <c r="AE274" s="3">
        <f t="shared" si="244"/>
        <v>0</v>
      </c>
      <c r="AF274" s="3">
        <f t="shared" si="245"/>
        <v>0</v>
      </c>
      <c r="AG274" s="3">
        <f t="shared" si="221"/>
        <v>0</v>
      </c>
      <c r="AH274" s="3">
        <f t="shared" si="246"/>
        <v>0</v>
      </c>
      <c r="AI274" s="3">
        <f t="shared" si="247"/>
        <v>0</v>
      </c>
      <c r="AJ274" s="3">
        <f t="shared" si="222"/>
        <v>0</v>
      </c>
      <c r="AK274" s="3">
        <v>9.41</v>
      </c>
      <c r="AL274" s="3">
        <v>9.41</v>
      </c>
      <c r="AM274" s="3">
        <v>0</v>
      </c>
      <c r="AN274" s="3">
        <v>0</v>
      </c>
      <c r="AO274" s="3">
        <v>0</v>
      </c>
      <c r="AP274" s="3">
        <v>0</v>
      </c>
      <c r="AQ274" s="3">
        <v>0</v>
      </c>
      <c r="AR274" s="3">
        <v>0</v>
      </c>
      <c r="AS274" s="3">
        <v>0</v>
      </c>
      <c r="AT274" s="3">
        <v>0</v>
      </c>
      <c r="AU274" s="3">
        <v>0</v>
      </c>
      <c r="AV274" s="3">
        <v>1</v>
      </c>
      <c r="AW274" s="3">
        <v>1</v>
      </c>
      <c r="AZ274" s="3">
        <v>1</v>
      </c>
      <c r="BA274" s="3">
        <v>1</v>
      </c>
      <c r="BB274" s="3">
        <v>1</v>
      </c>
      <c r="BC274" s="3">
        <v>9.84</v>
      </c>
      <c r="BD274" s="3" t="s">
        <v>3</v>
      </c>
      <c r="BE274" s="3" t="s">
        <v>3</v>
      </c>
      <c r="BF274" s="3" t="s">
        <v>3</v>
      </c>
      <c r="BG274" s="3" t="s">
        <v>3</v>
      </c>
      <c r="BH274" s="3">
        <v>3</v>
      </c>
      <c r="BI274" s="3">
        <v>2</v>
      </c>
      <c r="BJ274" s="3" t="s">
        <v>327</v>
      </c>
      <c r="BM274" s="3">
        <v>400005</v>
      </c>
      <c r="BN274" s="3">
        <v>0</v>
      </c>
      <c r="BO274" s="3" t="s">
        <v>3</v>
      </c>
      <c r="BP274" s="3">
        <v>0</v>
      </c>
      <c r="BQ274" s="3">
        <v>213</v>
      </c>
      <c r="BR274" s="3">
        <v>0</v>
      </c>
      <c r="BS274" s="3">
        <v>1</v>
      </c>
      <c r="BT274" s="3">
        <v>1</v>
      </c>
      <c r="BU274" s="3">
        <v>1</v>
      </c>
      <c r="BV274" s="3">
        <v>1</v>
      </c>
      <c r="BW274" s="3">
        <v>1</v>
      </c>
      <c r="BX274" s="3">
        <v>1</v>
      </c>
      <c r="BY274" s="3" t="s">
        <v>3</v>
      </c>
      <c r="BZ274" s="3">
        <v>0</v>
      </c>
      <c r="CA274" s="3">
        <v>0</v>
      </c>
      <c r="CB274" s="3" t="s">
        <v>3</v>
      </c>
      <c r="CE274" s="3">
        <v>1566</v>
      </c>
      <c r="CF274" s="3">
        <v>0</v>
      </c>
      <c r="CG274" s="3">
        <v>0</v>
      </c>
      <c r="CM274" s="3">
        <v>0</v>
      </c>
      <c r="CN274" s="3" t="s">
        <v>3</v>
      </c>
      <c r="CO274" s="3">
        <v>0</v>
      </c>
      <c r="CP274" s="3">
        <f t="shared" si="223"/>
        <v>425008.3</v>
      </c>
      <c r="CQ274" s="3">
        <f t="shared" si="224"/>
        <v>92.59</v>
      </c>
      <c r="CR274" s="3">
        <f t="shared" si="248"/>
        <v>0</v>
      </c>
      <c r="CS274" s="3">
        <f t="shared" si="249"/>
        <v>0</v>
      </c>
      <c r="CT274" s="3">
        <f t="shared" si="225"/>
        <v>0</v>
      </c>
      <c r="CU274" s="3">
        <f t="shared" si="226"/>
        <v>0</v>
      </c>
      <c r="CV274" s="3">
        <f t="shared" si="227"/>
        <v>0</v>
      </c>
      <c r="CW274" s="3">
        <f t="shared" si="228"/>
        <v>0</v>
      </c>
      <c r="CX274" s="3">
        <f t="shared" si="229"/>
        <v>0</v>
      </c>
      <c r="CY274" s="3">
        <f t="shared" si="250"/>
        <v>0</v>
      </c>
      <c r="CZ274" s="3">
        <f t="shared" si="251"/>
        <v>0</v>
      </c>
      <c r="DC274" s="3" t="s">
        <v>3</v>
      </c>
      <c r="DD274" s="3" t="s">
        <v>3</v>
      </c>
      <c r="DE274" s="3" t="s">
        <v>3</v>
      </c>
      <c r="DF274" s="3" t="s">
        <v>3</v>
      </c>
      <c r="DG274" s="3" t="s">
        <v>3</v>
      </c>
      <c r="DH274" s="3" t="s">
        <v>3</v>
      </c>
      <c r="DI274" s="3" t="s">
        <v>3</v>
      </c>
      <c r="DJ274" s="3" t="s">
        <v>3</v>
      </c>
      <c r="DK274" s="3" t="s">
        <v>3</v>
      </c>
      <c r="DL274" s="3" t="s">
        <v>3</v>
      </c>
      <c r="DM274" s="3" t="s">
        <v>3</v>
      </c>
      <c r="DN274" s="3">
        <v>0</v>
      </c>
      <c r="DO274" s="3">
        <v>0</v>
      </c>
      <c r="DP274" s="3">
        <v>1</v>
      </c>
      <c r="DQ274" s="3">
        <v>1</v>
      </c>
      <c r="DU274" s="3">
        <v>1003</v>
      </c>
      <c r="DV274" s="3" t="s">
        <v>320</v>
      </c>
      <c r="DW274" s="3" t="s">
        <v>320</v>
      </c>
      <c r="DX274" s="3">
        <v>1</v>
      </c>
      <c r="DZ274" s="3" t="s">
        <v>3</v>
      </c>
      <c r="EA274" s="3" t="s">
        <v>3</v>
      </c>
      <c r="EB274" s="3" t="s">
        <v>3</v>
      </c>
      <c r="EC274" s="3" t="s">
        <v>3</v>
      </c>
      <c r="EE274" s="3">
        <v>57042888</v>
      </c>
      <c r="EF274" s="3">
        <v>213</v>
      </c>
      <c r="EG274" s="3" t="s">
        <v>159</v>
      </c>
      <c r="EH274" s="3">
        <v>0</v>
      </c>
      <c r="EI274" s="3" t="s">
        <v>3</v>
      </c>
      <c r="EJ274" s="3">
        <v>1</v>
      </c>
      <c r="EK274" s="3">
        <v>400005</v>
      </c>
      <c r="EL274" s="3" t="s">
        <v>159</v>
      </c>
      <c r="EM274" s="3" t="s">
        <v>160</v>
      </c>
      <c r="EO274" s="3" t="s">
        <v>3</v>
      </c>
      <c r="EQ274" s="3">
        <v>16</v>
      </c>
      <c r="ER274" s="3">
        <v>0</v>
      </c>
      <c r="ES274" s="3">
        <v>9.41</v>
      </c>
      <c r="ET274" s="3">
        <v>0</v>
      </c>
      <c r="EU274" s="3">
        <v>0</v>
      </c>
      <c r="EV274" s="3">
        <v>0</v>
      </c>
      <c r="EW274" s="3">
        <v>0</v>
      </c>
      <c r="EX274" s="3">
        <v>0</v>
      </c>
      <c r="EY274" s="3">
        <v>0</v>
      </c>
      <c r="EZ274" s="3">
        <v>5</v>
      </c>
      <c r="FC274" s="3">
        <v>1</v>
      </c>
      <c r="FD274" s="3">
        <v>18</v>
      </c>
      <c r="FF274" s="3">
        <v>110.85</v>
      </c>
      <c r="FQ274" s="3">
        <v>0</v>
      </c>
      <c r="FR274" s="3">
        <v>0</v>
      </c>
      <c r="FS274" s="3">
        <v>0</v>
      </c>
      <c r="FX274" s="3">
        <v>0</v>
      </c>
      <c r="FY274" s="3">
        <v>0</v>
      </c>
      <c r="GA274" s="3" t="s">
        <v>329</v>
      </c>
      <c r="GD274" s="3">
        <v>1</v>
      </c>
      <c r="GF274" s="3">
        <v>-1189540916</v>
      </c>
      <c r="GG274" s="3">
        <v>2</v>
      </c>
      <c r="GH274" s="3">
        <v>3</v>
      </c>
      <c r="GI274" s="3">
        <v>5</v>
      </c>
      <c r="GJ274" s="3">
        <v>0</v>
      </c>
      <c r="GK274" s="3">
        <v>0</v>
      </c>
      <c r="GL274" s="3">
        <f t="shared" si="230"/>
        <v>0</v>
      </c>
      <c r="GM274" s="3">
        <f t="shared" si="231"/>
        <v>425008.3</v>
      </c>
      <c r="GN274" s="3">
        <f t="shared" si="232"/>
        <v>0</v>
      </c>
      <c r="GO274" s="3">
        <f t="shared" si="233"/>
        <v>425008.3</v>
      </c>
      <c r="GP274" s="3">
        <f t="shared" si="234"/>
        <v>0</v>
      </c>
      <c r="GR274" s="3">
        <v>1</v>
      </c>
      <c r="GS274" s="3">
        <v>1</v>
      </c>
      <c r="GT274" s="3">
        <v>0</v>
      </c>
      <c r="GU274" s="3" t="s">
        <v>3</v>
      </c>
      <c r="GV274" s="3">
        <f t="shared" si="235"/>
        <v>0</v>
      </c>
      <c r="GW274" s="3">
        <v>1</v>
      </c>
      <c r="GX274" s="3">
        <f t="shared" si="236"/>
        <v>0</v>
      </c>
      <c r="HA274" s="3">
        <v>0</v>
      </c>
      <c r="HB274" s="3">
        <v>0</v>
      </c>
      <c r="HC274" s="3">
        <f t="shared" si="237"/>
        <v>0</v>
      </c>
      <c r="HE274" s="3" t="s">
        <v>162</v>
      </c>
      <c r="HF274" s="3" t="s">
        <v>35</v>
      </c>
      <c r="HM274" s="3" t="s">
        <v>3</v>
      </c>
      <c r="HN274" s="3" t="s">
        <v>3</v>
      </c>
      <c r="HO274" s="3" t="s">
        <v>3</v>
      </c>
      <c r="HP274" s="3" t="s">
        <v>3</v>
      </c>
      <c r="HQ274" s="3" t="s">
        <v>3</v>
      </c>
      <c r="HS274" s="3">
        <v>0</v>
      </c>
      <c r="IK274" s="3">
        <v>0</v>
      </c>
    </row>
    <row r="275" spans="1:255" x14ac:dyDescent="0.25">
      <c r="A275" s="2">
        <v>17</v>
      </c>
      <c r="B275" s="2">
        <v>1</v>
      </c>
      <c r="C275" s="2"/>
      <c r="D275" s="2"/>
      <c r="E275" s="2" t="s">
        <v>330</v>
      </c>
      <c r="F275" s="2" t="s">
        <v>331</v>
      </c>
      <c r="G275" s="2" t="s">
        <v>332</v>
      </c>
      <c r="H275" s="2" t="s">
        <v>320</v>
      </c>
      <c r="I275" s="2">
        <v>50</v>
      </c>
      <c r="J275" s="2">
        <v>0</v>
      </c>
      <c r="K275" s="2">
        <v>50</v>
      </c>
      <c r="L275" s="2"/>
      <c r="M275" s="2"/>
      <c r="N275" s="2"/>
      <c r="O275" s="2">
        <f t="shared" si="213"/>
        <v>647</v>
      </c>
      <c r="P275" s="2">
        <f t="shared" si="214"/>
        <v>647</v>
      </c>
      <c r="Q275" s="2">
        <f t="shared" si="238"/>
        <v>0</v>
      </c>
      <c r="R275" s="2">
        <f t="shared" si="239"/>
        <v>0</v>
      </c>
      <c r="S275" s="2">
        <f t="shared" si="215"/>
        <v>0</v>
      </c>
      <c r="T275" s="2">
        <f t="shared" si="216"/>
        <v>0</v>
      </c>
      <c r="U275" s="2">
        <f t="shared" si="217"/>
        <v>0</v>
      </c>
      <c r="V275" s="2">
        <f t="shared" si="218"/>
        <v>0</v>
      </c>
      <c r="W275" s="2">
        <f t="shared" si="219"/>
        <v>0</v>
      </c>
      <c r="X275" s="2">
        <f t="shared" si="240"/>
        <v>0</v>
      </c>
      <c r="Y275" s="2">
        <f t="shared" si="241"/>
        <v>0</v>
      </c>
      <c r="Z275" s="2"/>
      <c r="AA275" s="2">
        <v>57014138</v>
      </c>
      <c r="AB275" s="2">
        <f t="shared" si="220"/>
        <v>12.94</v>
      </c>
      <c r="AC275" s="2">
        <f t="shared" si="242"/>
        <v>12.94</v>
      </c>
      <c r="AD275" s="2">
        <f t="shared" si="243"/>
        <v>0</v>
      </c>
      <c r="AE275" s="2">
        <f t="shared" si="244"/>
        <v>0</v>
      </c>
      <c r="AF275" s="2">
        <f t="shared" si="245"/>
        <v>0</v>
      </c>
      <c r="AG275" s="2">
        <f t="shared" si="221"/>
        <v>0</v>
      </c>
      <c r="AH275" s="2">
        <f t="shared" si="246"/>
        <v>0</v>
      </c>
      <c r="AI275" s="2">
        <f t="shared" si="247"/>
        <v>0</v>
      </c>
      <c r="AJ275" s="2">
        <f t="shared" si="222"/>
        <v>0</v>
      </c>
      <c r="AK275" s="2">
        <v>12.94</v>
      </c>
      <c r="AL275" s="2">
        <v>12.94</v>
      </c>
      <c r="AM275" s="2">
        <v>0</v>
      </c>
      <c r="AN275" s="2">
        <v>0</v>
      </c>
      <c r="AO275" s="2">
        <v>0</v>
      </c>
      <c r="AP275" s="2">
        <v>0</v>
      </c>
      <c r="AQ275" s="2">
        <v>0</v>
      </c>
      <c r="AR275" s="2">
        <v>0</v>
      </c>
      <c r="AS275" s="2">
        <v>0</v>
      </c>
      <c r="AT275" s="2">
        <v>0</v>
      </c>
      <c r="AU275" s="2">
        <v>0</v>
      </c>
      <c r="AV275" s="2">
        <v>1</v>
      </c>
      <c r="AW275" s="2">
        <v>1</v>
      </c>
      <c r="AX275" s="2"/>
      <c r="AY275" s="2"/>
      <c r="AZ275" s="2">
        <v>1</v>
      </c>
      <c r="BA275" s="2">
        <v>1</v>
      </c>
      <c r="BB275" s="2">
        <v>1</v>
      </c>
      <c r="BC275" s="2">
        <v>1</v>
      </c>
      <c r="BD275" s="2" t="s">
        <v>3</v>
      </c>
      <c r="BE275" s="2" t="s">
        <v>3</v>
      </c>
      <c r="BF275" s="2" t="s">
        <v>3</v>
      </c>
      <c r="BG275" s="2" t="s">
        <v>3</v>
      </c>
      <c r="BH275" s="2">
        <v>3</v>
      </c>
      <c r="BI275" s="2">
        <v>2</v>
      </c>
      <c r="BJ275" s="2" t="s">
        <v>331</v>
      </c>
      <c r="BK275" s="2"/>
      <c r="BL275" s="2"/>
      <c r="BM275" s="2">
        <v>400005</v>
      </c>
      <c r="BN275" s="2">
        <v>0</v>
      </c>
      <c r="BO275" s="2" t="s">
        <v>3</v>
      </c>
      <c r="BP275" s="2">
        <v>0</v>
      </c>
      <c r="BQ275" s="2">
        <v>213</v>
      </c>
      <c r="BR275" s="2">
        <v>0</v>
      </c>
      <c r="BS275" s="2">
        <v>1</v>
      </c>
      <c r="BT275" s="2">
        <v>1</v>
      </c>
      <c r="BU275" s="2">
        <v>1</v>
      </c>
      <c r="BV275" s="2">
        <v>1</v>
      </c>
      <c r="BW275" s="2">
        <v>1</v>
      </c>
      <c r="BX275" s="2">
        <v>1</v>
      </c>
      <c r="BY275" s="2" t="s">
        <v>3</v>
      </c>
      <c r="BZ275" s="2">
        <v>0</v>
      </c>
      <c r="CA275" s="2">
        <v>0</v>
      </c>
      <c r="CB275" s="2" t="s">
        <v>3</v>
      </c>
      <c r="CC275" s="2"/>
      <c r="CD275" s="2"/>
      <c r="CE275" s="2">
        <v>1566</v>
      </c>
      <c r="CF275" s="2">
        <v>0</v>
      </c>
      <c r="CG275" s="2">
        <v>0</v>
      </c>
      <c r="CH275" s="2"/>
      <c r="CI275" s="2"/>
      <c r="CJ275" s="2"/>
      <c r="CK275" s="2"/>
      <c r="CL275" s="2"/>
      <c r="CM275" s="2">
        <v>0</v>
      </c>
      <c r="CN275" s="2" t="s">
        <v>3</v>
      </c>
      <c r="CO275" s="2">
        <v>0</v>
      </c>
      <c r="CP275" s="2">
        <f t="shared" si="223"/>
        <v>647</v>
      </c>
      <c r="CQ275" s="2">
        <f t="shared" si="224"/>
        <v>12.94</v>
      </c>
      <c r="CR275" s="2">
        <f t="shared" si="248"/>
        <v>0</v>
      </c>
      <c r="CS275" s="2">
        <f t="shared" si="249"/>
        <v>0</v>
      </c>
      <c r="CT275" s="2">
        <f t="shared" si="225"/>
        <v>0</v>
      </c>
      <c r="CU275" s="2">
        <f t="shared" si="226"/>
        <v>0</v>
      </c>
      <c r="CV275" s="2">
        <f t="shared" si="227"/>
        <v>0</v>
      </c>
      <c r="CW275" s="2">
        <f t="shared" si="228"/>
        <v>0</v>
      </c>
      <c r="CX275" s="2">
        <f t="shared" si="229"/>
        <v>0</v>
      </c>
      <c r="CY275" s="2">
        <f t="shared" si="250"/>
        <v>0</v>
      </c>
      <c r="CZ275" s="2">
        <f t="shared" si="251"/>
        <v>0</v>
      </c>
      <c r="DA275" s="2"/>
      <c r="DB275" s="2"/>
      <c r="DC275" s="2" t="s">
        <v>3</v>
      </c>
      <c r="DD275" s="2" t="s">
        <v>3</v>
      </c>
      <c r="DE275" s="2" t="s">
        <v>3</v>
      </c>
      <c r="DF275" s="2" t="s">
        <v>3</v>
      </c>
      <c r="DG275" s="2" t="s">
        <v>3</v>
      </c>
      <c r="DH275" s="2" t="s">
        <v>3</v>
      </c>
      <c r="DI275" s="2" t="s">
        <v>3</v>
      </c>
      <c r="DJ275" s="2" t="s">
        <v>3</v>
      </c>
      <c r="DK275" s="2" t="s">
        <v>3</v>
      </c>
      <c r="DL275" s="2" t="s">
        <v>3</v>
      </c>
      <c r="DM275" s="2" t="s">
        <v>3</v>
      </c>
      <c r="DN275" s="2">
        <v>0</v>
      </c>
      <c r="DO275" s="2">
        <v>0</v>
      </c>
      <c r="DP275" s="2">
        <v>1</v>
      </c>
      <c r="DQ275" s="2">
        <v>1</v>
      </c>
      <c r="DR275" s="2"/>
      <c r="DS275" s="2"/>
      <c r="DT275" s="2"/>
      <c r="DU275" s="2">
        <v>1003</v>
      </c>
      <c r="DV275" s="2" t="s">
        <v>320</v>
      </c>
      <c r="DW275" s="2" t="s">
        <v>320</v>
      </c>
      <c r="DX275" s="2">
        <v>1</v>
      </c>
      <c r="DY275" s="2"/>
      <c r="DZ275" s="2" t="s">
        <v>3</v>
      </c>
      <c r="EA275" s="2" t="s">
        <v>3</v>
      </c>
      <c r="EB275" s="2" t="s">
        <v>3</v>
      </c>
      <c r="EC275" s="2" t="s">
        <v>3</v>
      </c>
      <c r="ED275" s="2"/>
      <c r="EE275" s="2">
        <v>57042888</v>
      </c>
      <c r="EF275" s="2">
        <v>213</v>
      </c>
      <c r="EG275" s="2" t="s">
        <v>159</v>
      </c>
      <c r="EH275" s="2">
        <v>0</v>
      </c>
      <c r="EI275" s="2" t="s">
        <v>3</v>
      </c>
      <c r="EJ275" s="2">
        <v>1</v>
      </c>
      <c r="EK275" s="2">
        <v>400005</v>
      </c>
      <c r="EL275" s="2" t="s">
        <v>159</v>
      </c>
      <c r="EM275" s="2" t="s">
        <v>160</v>
      </c>
      <c r="EN275" s="2"/>
      <c r="EO275" s="2" t="s">
        <v>3</v>
      </c>
      <c r="EP275" s="2"/>
      <c r="EQ275" s="2">
        <v>16</v>
      </c>
      <c r="ER275" s="2">
        <v>0</v>
      </c>
      <c r="ES275" s="2">
        <v>12.94</v>
      </c>
      <c r="ET275" s="2">
        <v>0</v>
      </c>
      <c r="EU275" s="2">
        <v>0</v>
      </c>
      <c r="EV275" s="2">
        <v>0</v>
      </c>
      <c r="EW275" s="2">
        <v>0</v>
      </c>
      <c r="EX275" s="2">
        <v>0</v>
      </c>
      <c r="EY275" s="2">
        <v>0</v>
      </c>
      <c r="EZ275" s="2"/>
      <c r="FA275" s="2"/>
      <c r="FB275" s="2"/>
      <c r="FC275" s="2"/>
      <c r="FD275" s="2"/>
      <c r="FE275" s="2"/>
      <c r="FF275" s="2"/>
      <c r="FG275" s="2"/>
      <c r="FH275" s="2"/>
      <c r="FI275" s="2"/>
      <c r="FJ275" s="2"/>
      <c r="FK275" s="2"/>
      <c r="FL275" s="2"/>
      <c r="FM275" s="2"/>
      <c r="FN275" s="2"/>
      <c r="FO275" s="2"/>
      <c r="FP275" s="2"/>
      <c r="FQ275" s="2">
        <v>0</v>
      </c>
      <c r="FR275" s="2">
        <v>0</v>
      </c>
      <c r="FS275" s="2">
        <v>0</v>
      </c>
      <c r="FT275" s="2"/>
      <c r="FU275" s="2"/>
      <c r="FV275" s="2"/>
      <c r="FW275" s="2"/>
      <c r="FX275" s="2">
        <v>0</v>
      </c>
      <c r="FY275" s="2">
        <v>0</v>
      </c>
      <c r="FZ275" s="2"/>
      <c r="GA275" s="2" t="s">
        <v>333</v>
      </c>
      <c r="GB275" s="2"/>
      <c r="GC275" s="2"/>
      <c r="GD275" s="2">
        <v>1</v>
      </c>
      <c r="GE275" s="2"/>
      <c r="GF275" s="2">
        <v>753175664</v>
      </c>
      <c r="GG275" s="2">
        <v>2</v>
      </c>
      <c r="GH275" s="2">
        <v>4</v>
      </c>
      <c r="GI275" s="2">
        <v>-2</v>
      </c>
      <c r="GJ275" s="2">
        <v>0</v>
      </c>
      <c r="GK275" s="2">
        <v>0</v>
      </c>
      <c r="GL275" s="2">
        <f t="shared" si="230"/>
        <v>0</v>
      </c>
      <c r="GM275" s="2">
        <f t="shared" si="231"/>
        <v>647</v>
      </c>
      <c r="GN275" s="2">
        <f t="shared" si="232"/>
        <v>0</v>
      </c>
      <c r="GO275" s="2">
        <f t="shared" si="233"/>
        <v>647</v>
      </c>
      <c r="GP275" s="2">
        <f t="shared" si="234"/>
        <v>0</v>
      </c>
      <c r="GQ275" s="2"/>
      <c r="GR275" s="2">
        <v>1</v>
      </c>
      <c r="GS275" s="2">
        <v>2</v>
      </c>
      <c r="GT275" s="2">
        <v>0</v>
      </c>
      <c r="GU275" s="2" t="s">
        <v>3</v>
      </c>
      <c r="GV275" s="2">
        <f t="shared" si="235"/>
        <v>0</v>
      </c>
      <c r="GW275" s="2">
        <v>1</v>
      </c>
      <c r="GX275" s="2">
        <f t="shared" si="236"/>
        <v>0</v>
      </c>
      <c r="GY275" s="2"/>
      <c r="GZ275" s="2"/>
      <c r="HA275" s="2">
        <v>0</v>
      </c>
      <c r="HB275" s="2">
        <v>0</v>
      </c>
      <c r="HC275" s="2">
        <f t="shared" si="237"/>
        <v>0</v>
      </c>
      <c r="HD275" s="2"/>
      <c r="HE275" s="2" t="s">
        <v>162</v>
      </c>
      <c r="HF275" s="2" t="s">
        <v>35</v>
      </c>
      <c r="HG275" s="2"/>
      <c r="HH275" s="2"/>
      <c r="HI275" s="2"/>
      <c r="HJ275" s="2"/>
      <c r="HK275" s="2"/>
      <c r="HL275" s="2"/>
      <c r="HM275" s="2" t="s">
        <v>3</v>
      </c>
      <c r="HN275" s="2" t="s">
        <v>3</v>
      </c>
      <c r="HO275" s="2" t="s">
        <v>3</v>
      </c>
      <c r="HP275" s="2" t="s">
        <v>3</v>
      </c>
      <c r="HQ275" s="2" t="s">
        <v>3</v>
      </c>
      <c r="HR275" s="2"/>
      <c r="HS275" s="2">
        <v>0</v>
      </c>
      <c r="HT275" s="2"/>
      <c r="HU275" s="2"/>
      <c r="HV275" s="2"/>
      <c r="HW275" s="2"/>
      <c r="HX275" s="2"/>
      <c r="HY275" s="2"/>
      <c r="HZ275" s="2"/>
      <c r="IA275" s="2"/>
      <c r="IB275" s="2"/>
      <c r="IC275" s="2"/>
      <c r="ID275" s="2"/>
      <c r="IE275" s="2"/>
      <c r="IF275" s="2"/>
      <c r="IG275" s="2"/>
      <c r="IH275" s="2"/>
      <c r="II275" s="2"/>
      <c r="IJ275" s="2"/>
      <c r="IK275" s="2">
        <v>0</v>
      </c>
      <c r="IL275" s="2"/>
      <c r="IM275" s="2"/>
      <c r="IN275" s="2"/>
      <c r="IO275" s="2"/>
      <c r="IP275" s="2"/>
      <c r="IQ275" s="2"/>
      <c r="IR275" s="2"/>
      <c r="IS275" s="2"/>
      <c r="IT275" s="2"/>
      <c r="IU275" s="2"/>
    </row>
    <row r="276" spans="1:255" x14ac:dyDescent="0.25">
      <c r="A276" s="3">
        <v>17</v>
      </c>
      <c r="B276" s="3">
        <v>1</v>
      </c>
      <c r="E276" s="3" t="s">
        <v>330</v>
      </c>
      <c r="F276" s="3" t="s">
        <v>331</v>
      </c>
      <c r="G276" s="3" t="s">
        <v>332</v>
      </c>
      <c r="H276" s="3" t="s">
        <v>320</v>
      </c>
      <c r="I276" s="3">
        <v>50</v>
      </c>
      <c r="J276" s="3">
        <v>0</v>
      </c>
      <c r="K276" s="3">
        <v>50</v>
      </c>
      <c r="O276" s="3">
        <f t="shared" si="213"/>
        <v>6366.48</v>
      </c>
      <c r="P276" s="3">
        <f t="shared" si="214"/>
        <v>6366.48</v>
      </c>
      <c r="Q276" s="3">
        <f t="shared" si="238"/>
        <v>0</v>
      </c>
      <c r="R276" s="3">
        <f t="shared" si="239"/>
        <v>0</v>
      </c>
      <c r="S276" s="3">
        <f t="shared" si="215"/>
        <v>0</v>
      </c>
      <c r="T276" s="3">
        <f t="shared" si="216"/>
        <v>0</v>
      </c>
      <c r="U276" s="3">
        <f t="shared" si="217"/>
        <v>0</v>
      </c>
      <c r="V276" s="3">
        <f t="shared" si="218"/>
        <v>0</v>
      </c>
      <c r="W276" s="3">
        <f t="shared" si="219"/>
        <v>0</v>
      </c>
      <c r="X276" s="3">
        <f t="shared" si="240"/>
        <v>0</v>
      </c>
      <c r="Y276" s="3">
        <f t="shared" si="241"/>
        <v>0</v>
      </c>
      <c r="AA276" s="3">
        <v>57014140</v>
      </c>
      <c r="AB276" s="3">
        <f t="shared" si="220"/>
        <v>12.94</v>
      </c>
      <c r="AC276" s="3">
        <f t="shared" si="242"/>
        <v>12.94</v>
      </c>
      <c r="AD276" s="3">
        <f t="shared" si="243"/>
        <v>0</v>
      </c>
      <c r="AE276" s="3">
        <f t="shared" si="244"/>
        <v>0</v>
      </c>
      <c r="AF276" s="3">
        <f t="shared" si="245"/>
        <v>0</v>
      </c>
      <c r="AG276" s="3">
        <f t="shared" si="221"/>
        <v>0</v>
      </c>
      <c r="AH276" s="3">
        <f t="shared" si="246"/>
        <v>0</v>
      </c>
      <c r="AI276" s="3">
        <f t="shared" si="247"/>
        <v>0</v>
      </c>
      <c r="AJ276" s="3">
        <f t="shared" si="222"/>
        <v>0</v>
      </c>
      <c r="AK276" s="3">
        <v>12.94</v>
      </c>
      <c r="AL276" s="3">
        <v>12.94</v>
      </c>
      <c r="AM276" s="3">
        <v>0</v>
      </c>
      <c r="AN276" s="3">
        <v>0</v>
      </c>
      <c r="AO276" s="3">
        <v>0</v>
      </c>
      <c r="AP276" s="3">
        <v>0</v>
      </c>
      <c r="AQ276" s="3">
        <v>0</v>
      </c>
      <c r="AR276" s="3">
        <v>0</v>
      </c>
      <c r="AS276" s="3">
        <v>0</v>
      </c>
      <c r="AT276" s="3">
        <v>0</v>
      </c>
      <c r="AU276" s="3">
        <v>0</v>
      </c>
      <c r="AV276" s="3">
        <v>1</v>
      </c>
      <c r="AW276" s="3">
        <v>1</v>
      </c>
      <c r="AZ276" s="3">
        <v>1</v>
      </c>
      <c r="BA276" s="3">
        <v>1</v>
      </c>
      <c r="BB276" s="3">
        <v>1</v>
      </c>
      <c r="BC276" s="3">
        <v>9.84</v>
      </c>
      <c r="BD276" s="3" t="s">
        <v>3</v>
      </c>
      <c r="BE276" s="3" t="s">
        <v>3</v>
      </c>
      <c r="BF276" s="3" t="s">
        <v>3</v>
      </c>
      <c r="BG276" s="3" t="s">
        <v>3</v>
      </c>
      <c r="BH276" s="3">
        <v>3</v>
      </c>
      <c r="BI276" s="3">
        <v>2</v>
      </c>
      <c r="BJ276" s="3" t="s">
        <v>331</v>
      </c>
      <c r="BM276" s="3">
        <v>400005</v>
      </c>
      <c r="BN276" s="3">
        <v>0</v>
      </c>
      <c r="BO276" s="3" t="s">
        <v>3</v>
      </c>
      <c r="BP276" s="3">
        <v>0</v>
      </c>
      <c r="BQ276" s="3">
        <v>213</v>
      </c>
      <c r="BR276" s="3">
        <v>0</v>
      </c>
      <c r="BS276" s="3">
        <v>1</v>
      </c>
      <c r="BT276" s="3">
        <v>1</v>
      </c>
      <c r="BU276" s="3">
        <v>1</v>
      </c>
      <c r="BV276" s="3">
        <v>1</v>
      </c>
      <c r="BW276" s="3">
        <v>1</v>
      </c>
      <c r="BX276" s="3">
        <v>1</v>
      </c>
      <c r="BY276" s="3" t="s">
        <v>3</v>
      </c>
      <c r="BZ276" s="3">
        <v>0</v>
      </c>
      <c r="CA276" s="3">
        <v>0</v>
      </c>
      <c r="CB276" s="3" t="s">
        <v>3</v>
      </c>
      <c r="CE276" s="3">
        <v>1566</v>
      </c>
      <c r="CF276" s="3">
        <v>0</v>
      </c>
      <c r="CG276" s="3">
        <v>0</v>
      </c>
      <c r="CM276" s="3">
        <v>0</v>
      </c>
      <c r="CN276" s="3" t="s">
        <v>3</v>
      </c>
      <c r="CO276" s="3">
        <v>0</v>
      </c>
      <c r="CP276" s="3">
        <f t="shared" si="223"/>
        <v>6366.48</v>
      </c>
      <c r="CQ276" s="3">
        <f t="shared" si="224"/>
        <v>127.33</v>
      </c>
      <c r="CR276" s="3">
        <f t="shared" si="248"/>
        <v>0</v>
      </c>
      <c r="CS276" s="3">
        <f t="shared" si="249"/>
        <v>0</v>
      </c>
      <c r="CT276" s="3">
        <f t="shared" si="225"/>
        <v>0</v>
      </c>
      <c r="CU276" s="3">
        <f t="shared" si="226"/>
        <v>0</v>
      </c>
      <c r="CV276" s="3">
        <f t="shared" si="227"/>
        <v>0</v>
      </c>
      <c r="CW276" s="3">
        <f t="shared" si="228"/>
        <v>0</v>
      </c>
      <c r="CX276" s="3">
        <f t="shared" si="229"/>
        <v>0</v>
      </c>
      <c r="CY276" s="3">
        <f t="shared" si="250"/>
        <v>0</v>
      </c>
      <c r="CZ276" s="3">
        <f t="shared" si="251"/>
        <v>0</v>
      </c>
      <c r="DC276" s="3" t="s">
        <v>3</v>
      </c>
      <c r="DD276" s="3" t="s">
        <v>3</v>
      </c>
      <c r="DE276" s="3" t="s">
        <v>3</v>
      </c>
      <c r="DF276" s="3" t="s">
        <v>3</v>
      </c>
      <c r="DG276" s="3" t="s">
        <v>3</v>
      </c>
      <c r="DH276" s="3" t="s">
        <v>3</v>
      </c>
      <c r="DI276" s="3" t="s">
        <v>3</v>
      </c>
      <c r="DJ276" s="3" t="s">
        <v>3</v>
      </c>
      <c r="DK276" s="3" t="s">
        <v>3</v>
      </c>
      <c r="DL276" s="3" t="s">
        <v>3</v>
      </c>
      <c r="DM276" s="3" t="s">
        <v>3</v>
      </c>
      <c r="DN276" s="3">
        <v>0</v>
      </c>
      <c r="DO276" s="3">
        <v>0</v>
      </c>
      <c r="DP276" s="3">
        <v>1</v>
      </c>
      <c r="DQ276" s="3">
        <v>1</v>
      </c>
      <c r="DU276" s="3">
        <v>1003</v>
      </c>
      <c r="DV276" s="3" t="s">
        <v>320</v>
      </c>
      <c r="DW276" s="3" t="s">
        <v>320</v>
      </c>
      <c r="DX276" s="3">
        <v>1</v>
      </c>
      <c r="DZ276" s="3" t="s">
        <v>3</v>
      </c>
      <c r="EA276" s="3" t="s">
        <v>3</v>
      </c>
      <c r="EB276" s="3" t="s">
        <v>3</v>
      </c>
      <c r="EC276" s="3" t="s">
        <v>3</v>
      </c>
      <c r="EE276" s="3">
        <v>57042888</v>
      </c>
      <c r="EF276" s="3">
        <v>213</v>
      </c>
      <c r="EG276" s="3" t="s">
        <v>159</v>
      </c>
      <c r="EH276" s="3">
        <v>0</v>
      </c>
      <c r="EI276" s="3" t="s">
        <v>3</v>
      </c>
      <c r="EJ276" s="3">
        <v>1</v>
      </c>
      <c r="EK276" s="3">
        <v>400005</v>
      </c>
      <c r="EL276" s="3" t="s">
        <v>159</v>
      </c>
      <c r="EM276" s="3" t="s">
        <v>160</v>
      </c>
      <c r="EO276" s="3" t="s">
        <v>3</v>
      </c>
      <c r="EQ276" s="3">
        <v>16</v>
      </c>
      <c r="ER276" s="3">
        <v>0</v>
      </c>
      <c r="ES276" s="3">
        <v>12.94</v>
      </c>
      <c r="ET276" s="3">
        <v>0</v>
      </c>
      <c r="EU276" s="3">
        <v>0</v>
      </c>
      <c r="EV276" s="3">
        <v>0</v>
      </c>
      <c r="EW276" s="3">
        <v>0</v>
      </c>
      <c r="EX276" s="3">
        <v>0</v>
      </c>
      <c r="EY276" s="3">
        <v>0</v>
      </c>
      <c r="EZ276" s="3">
        <v>5</v>
      </c>
      <c r="FC276" s="3">
        <v>1</v>
      </c>
      <c r="FD276" s="3">
        <v>18</v>
      </c>
      <c r="FF276" s="3">
        <v>152.38</v>
      </c>
      <c r="FQ276" s="3">
        <v>0</v>
      </c>
      <c r="FR276" s="3">
        <v>0</v>
      </c>
      <c r="FS276" s="3">
        <v>0</v>
      </c>
      <c r="FX276" s="3">
        <v>0</v>
      </c>
      <c r="FY276" s="3">
        <v>0</v>
      </c>
      <c r="GA276" s="3" t="s">
        <v>333</v>
      </c>
      <c r="GD276" s="3">
        <v>1</v>
      </c>
      <c r="GF276" s="3">
        <v>753175664</v>
      </c>
      <c r="GG276" s="3">
        <v>2</v>
      </c>
      <c r="GH276" s="3">
        <v>3</v>
      </c>
      <c r="GI276" s="3">
        <v>5</v>
      </c>
      <c r="GJ276" s="3">
        <v>0</v>
      </c>
      <c r="GK276" s="3">
        <v>0</v>
      </c>
      <c r="GL276" s="3">
        <f t="shared" si="230"/>
        <v>0</v>
      </c>
      <c r="GM276" s="3">
        <f t="shared" si="231"/>
        <v>6366.48</v>
      </c>
      <c r="GN276" s="3">
        <f t="shared" si="232"/>
        <v>0</v>
      </c>
      <c r="GO276" s="3">
        <f t="shared" si="233"/>
        <v>6366.48</v>
      </c>
      <c r="GP276" s="3">
        <f t="shared" si="234"/>
        <v>0</v>
      </c>
      <c r="GR276" s="3">
        <v>1</v>
      </c>
      <c r="GS276" s="3">
        <v>1</v>
      </c>
      <c r="GT276" s="3">
        <v>0</v>
      </c>
      <c r="GU276" s="3" t="s">
        <v>3</v>
      </c>
      <c r="GV276" s="3">
        <f t="shared" si="235"/>
        <v>0</v>
      </c>
      <c r="GW276" s="3">
        <v>1</v>
      </c>
      <c r="GX276" s="3">
        <f t="shared" si="236"/>
        <v>0</v>
      </c>
      <c r="HA276" s="3">
        <v>0</v>
      </c>
      <c r="HB276" s="3">
        <v>0</v>
      </c>
      <c r="HC276" s="3">
        <f t="shared" si="237"/>
        <v>0</v>
      </c>
      <c r="HE276" s="3" t="s">
        <v>162</v>
      </c>
      <c r="HF276" s="3" t="s">
        <v>35</v>
      </c>
      <c r="HM276" s="3" t="s">
        <v>3</v>
      </c>
      <c r="HN276" s="3" t="s">
        <v>3</v>
      </c>
      <c r="HO276" s="3" t="s">
        <v>3</v>
      </c>
      <c r="HP276" s="3" t="s">
        <v>3</v>
      </c>
      <c r="HQ276" s="3" t="s">
        <v>3</v>
      </c>
      <c r="HS276" s="3">
        <v>0</v>
      </c>
      <c r="IK276" s="3">
        <v>0</v>
      </c>
    </row>
    <row r="277" spans="1:255" x14ac:dyDescent="0.25">
      <c r="A277" s="2">
        <v>17</v>
      </c>
      <c r="B277" s="2">
        <v>1</v>
      </c>
      <c r="C277" s="2"/>
      <c r="D277" s="2"/>
      <c r="E277" s="2" t="s">
        <v>334</v>
      </c>
      <c r="F277" s="2" t="s">
        <v>335</v>
      </c>
      <c r="G277" s="2" t="s">
        <v>336</v>
      </c>
      <c r="H277" s="2" t="s">
        <v>152</v>
      </c>
      <c r="I277" s="2">
        <v>1</v>
      </c>
      <c r="J277" s="2">
        <v>0</v>
      </c>
      <c r="K277" s="2">
        <v>1</v>
      </c>
      <c r="L277" s="2"/>
      <c r="M277" s="2"/>
      <c r="N277" s="2"/>
      <c r="O277" s="2">
        <f t="shared" si="213"/>
        <v>127.7</v>
      </c>
      <c r="P277" s="2">
        <f t="shared" si="214"/>
        <v>127.7</v>
      </c>
      <c r="Q277" s="2">
        <f t="shared" si="238"/>
        <v>0</v>
      </c>
      <c r="R277" s="2">
        <f t="shared" si="239"/>
        <v>0</v>
      </c>
      <c r="S277" s="2">
        <f t="shared" si="215"/>
        <v>0</v>
      </c>
      <c r="T277" s="2">
        <f t="shared" si="216"/>
        <v>0</v>
      </c>
      <c r="U277" s="2">
        <f t="shared" si="217"/>
        <v>0</v>
      </c>
      <c r="V277" s="2">
        <f t="shared" si="218"/>
        <v>0</v>
      </c>
      <c r="W277" s="2">
        <f t="shared" si="219"/>
        <v>0</v>
      </c>
      <c r="X277" s="2">
        <f t="shared" si="240"/>
        <v>0</v>
      </c>
      <c r="Y277" s="2">
        <f t="shared" si="241"/>
        <v>0</v>
      </c>
      <c r="Z277" s="2"/>
      <c r="AA277" s="2">
        <v>57014138</v>
      </c>
      <c r="AB277" s="2">
        <f t="shared" si="220"/>
        <v>127.7</v>
      </c>
      <c r="AC277" s="2">
        <f t="shared" si="242"/>
        <v>127.7</v>
      </c>
      <c r="AD277" s="2">
        <f t="shared" si="243"/>
        <v>0</v>
      </c>
      <c r="AE277" s="2">
        <f t="shared" si="244"/>
        <v>0</v>
      </c>
      <c r="AF277" s="2">
        <f t="shared" si="245"/>
        <v>0</v>
      </c>
      <c r="AG277" s="2">
        <f t="shared" si="221"/>
        <v>0</v>
      </c>
      <c r="AH277" s="2">
        <f t="shared" si="246"/>
        <v>0</v>
      </c>
      <c r="AI277" s="2">
        <f t="shared" si="247"/>
        <v>0</v>
      </c>
      <c r="AJ277" s="2">
        <f t="shared" si="222"/>
        <v>0</v>
      </c>
      <c r="AK277" s="2">
        <v>127.7</v>
      </c>
      <c r="AL277" s="2">
        <v>127.7</v>
      </c>
      <c r="AM277" s="2">
        <v>0</v>
      </c>
      <c r="AN277" s="2">
        <v>0</v>
      </c>
      <c r="AO277" s="2">
        <v>0</v>
      </c>
      <c r="AP277" s="2">
        <v>0</v>
      </c>
      <c r="AQ277" s="2">
        <v>0</v>
      </c>
      <c r="AR277" s="2">
        <v>0</v>
      </c>
      <c r="AS277" s="2">
        <v>0</v>
      </c>
      <c r="AT277" s="2">
        <v>0</v>
      </c>
      <c r="AU277" s="2">
        <v>0</v>
      </c>
      <c r="AV277" s="2">
        <v>1</v>
      </c>
      <c r="AW277" s="2">
        <v>1</v>
      </c>
      <c r="AX277" s="2"/>
      <c r="AY277" s="2"/>
      <c r="AZ277" s="2">
        <v>1</v>
      </c>
      <c r="BA277" s="2">
        <v>1</v>
      </c>
      <c r="BB277" s="2">
        <v>1</v>
      </c>
      <c r="BC277" s="2">
        <v>1</v>
      </c>
      <c r="BD277" s="2" t="s">
        <v>3</v>
      </c>
      <c r="BE277" s="2" t="s">
        <v>3</v>
      </c>
      <c r="BF277" s="2" t="s">
        <v>3</v>
      </c>
      <c r="BG277" s="2" t="s">
        <v>3</v>
      </c>
      <c r="BH277" s="2">
        <v>3</v>
      </c>
      <c r="BI277" s="2">
        <v>2</v>
      </c>
      <c r="BJ277" s="2" t="s">
        <v>335</v>
      </c>
      <c r="BK277" s="2"/>
      <c r="BL277" s="2"/>
      <c r="BM277" s="2">
        <v>400005</v>
      </c>
      <c r="BN277" s="2">
        <v>0</v>
      </c>
      <c r="BO277" s="2" t="s">
        <v>3</v>
      </c>
      <c r="BP277" s="2">
        <v>0</v>
      </c>
      <c r="BQ277" s="2">
        <v>213</v>
      </c>
      <c r="BR277" s="2">
        <v>0</v>
      </c>
      <c r="BS277" s="2">
        <v>1</v>
      </c>
      <c r="BT277" s="2">
        <v>1</v>
      </c>
      <c r="BU277" s="2">
        <v>1</v>
      </c>
      <c r="BV277" s="2">
        <v>1</v>
      </c>
      <c r="BW277" s="2">
        <v>1</v>
      </c>
      <c r="BX277" s="2">
        <v>1</v>
      </c>
      <c r="BY277" s="2" t="s">
        <v>3</v>
      </c>
      <c r="BZ277" s="2">
        <v>0</v>
      </c>
      <c r="CA277" s="2">
        <v>0</v>
      </c>
      <c r="CB277" s="2" t="s">
        <v>3</v>
      </c>
      <c r="CC277" s="2"/>
      <c r="CD277" s="2"/>
      <c r="CE277" s="2">
        <v>1566</v>
      </c>
      <c r="CF277" s="2">
        <v>0</v>
      </c>
      <c r="CG277" s="2">
        <v>0</v>
      </c>
      <c r="CH277" s="2"/>
      <c r="CI277" s="2"/>
      <c r="CJ277" s="2"/>
      <c r="CK277" s="2"/>
      <c r="CL277" s="2"/>
      <c r="CM277" s="2">
        <v>0</v>
      </c>
      <c r="CN277" s="2" t="s">
        <v>3</v>
      </c>
      <c r="CO277" s="2">
        <v>0</v>
      </c>
      <c r="CP277" s="2">
        <f t="shared" si="223"/>
        <v>127.7</v>
      </c>
      <c r="CQ277" s="2">
        <f t="shared" si="224"/>
        <v>127.7</v>
      </c>
      <c r="CR277" s="2">
        <f t="shared" si="248"/>
        <v>0</v>
      </c>
      <c r="CS277" s="2">
        <f t="shared" si="249"/>
        <v>0</v>
      </c>
      <c r="CT277" s="2">
        <f t="shared" si="225"/>
        <v>0</v>
      </c>
      <c r="CU277" s="2">
        <f t="shared" si="226"/>
        <v>0</v>
      </c>
      <c r="CV277" s="2">
        <f t="shared" si="227"/>
        <v>0</v>
      </c>
      <c r="CW277" s="2">
        <f t="shared" si="228"/>
        <v>0</v>
      </c>
      <c r="CX277" s="2">
        <f t="shared" si="229"/>
        <v>0</v>
      </c>
      <c r="CY277" s="2">
        <f t="shared" si="250"/>
        <v>0</v>
      </c>
      <c r="CZ277" s="2">
        <f t="shared" si="251"/>
        <v>0</v>
      </c>
      <c r="DA277" s="2"/>
      <c r="DB277" s="2"/>
      <c r="DC277" s="2" t="s">
        <v>3</v>
      </c>
      <c r="DD277" s="2" t="s">
        <v>3</v>
      </c>
      <c r="DE277" s="2" t="s">
        <v>3</v>
      </c>
      <c r="DF277" s="2" t="s">
        <v>3</v>
      </c>
      <c r="DG277" s="2" t="s">
        <v>3</v>
      </c>
      <c r="DH277" s="2" t="s">
        <v>3</v>
      </c>
      <c r="DI277" s="2" t="s">
        <v>3</v>
      </c>
      <c r="DJ277" s="2" t="s">
        <v>3</v>
      </c>
      <c r="DK277" s="2" t="s">
        <v>3</v>
      </c>
      <c r="DL277" s="2" t="s">
        <v>3</v>
      </c>
      <c r="DM277" s="2" t="s">
        <v>3</v>
      </c>
      <c r="DN277" s="2">
        <v>0</v>
      </c>
      <c r="DO277" s="2">
        <v>0</v>
      </c>
      <c r="DP277" s="2">
        <v>1</v>
      </c>
      <c r="DQ277" s="2">
        <v>1</v>
      </c>
      <c r="DR277" s="2"/>
      <c r="DS277" s="2"/>
      <c r="DT277" s="2"/>
      <c r="DU277" s="2">
        <v>1013</v>
      </c>
      <c r="DV277" s="2" t="s">
        <v>152</v>
      </c>
      <c r="DW277" s="2" t="s">
        <v>152</v>
      </c>
      <c r="DX277" s="2">
        <v>1</v>
      </c>
      <c r="DY277" s="2"/>
      <c r="DZ277" s="2" t="s">
        <v>3</v>
      </c>
      <c r="EA277" s="2" t="s">
        <v>3</v>
      </c>
      <c r="EB277" s="2" t="s">
        <v>3</v>
      </c>
      <c r="EC277" s="2" t="s">
        <v>3</v>
      </c>
      <c r="ED277" s="2"/>
      <c r="EE277" s="2">
        <v>57042888</v>
      </c>
      <c r="EF277" s="2">
        <v>213</v>
      </c>
      <c r="EG277" s="2" t="s">
        <v>159</v>
      </c>
      <c r="EH277" s="2">
        <v>0</v>
      </c>
      <c r="EI277" s="2" t="s">
        <v>3</v>
      </c>
      <c r="EJ277" s="2">
        <v>1</v>
      </c>
      <c r="EK277" s="2">
        <v>400005</v>
      </c>
      <c r="EL277" s="2" t="s">
        <v>159</v>
      </c>
      <c r="EM277" s="2" t="s">
        <v>160</v>
      </c>
      <c r="EN277" s="2"/>
      <c r="EO277" s="2" t="s">
        <v>3</v>
      </c>
      <c r="EP277" s="2"/>
      <c r="EQ277" s="2">
        <v>16</v>
      </c>
      <c r="ER277" s="2">
        <v>0</v>
      </c>
      <c r="ES277" s="2">
        <v>127.7</v>
      </c>
      <c r="ET277" s="2">
        <v>0</v>
      </c>
      <c r="EU277" s="2">
        <v>0</v>
      </c>
      <c r="EV277" s="2">
        <v>0</v>
      </c>
      <c r="EW277" s="2">
        <v>0</v>
      </c>
      <c r="EX277" s="2">
        <v>0</v>
      </c>
      <c r="EY277" s="2">
        <v>0</v>
      </c>
      <c r="EZ277" s="2"/>
      <c r="FA277" s="2"/>
      <c r="FB277" s="2"/>
      <c r="FC277" s="2"/>
      <c r="FD277" s="2"/>
      <c r="FE277" s="2"/>
      <c r="FF277" s="2"/>
      <c r="FG277" s="2"/>
      <c r="FH277" s="2"/>
      <c r="FI277" s="2"/>
      <c r="FJ277" s="2"/>
      <c r="FK277" s="2"/>
      <c r="FL277" s="2"/>
      <c r="FM277" s="2"/>
      <c r="FN277" s="2"/>
      <c r="FO277" s="2"/>
      <c r="FP277" s="2"/>
      <c r="FQ277" s="2">
        <v>0</v>
      </c>
      <c r="FR277" s="2">
        <v>0</v>
      </c>
      <c r="FS277" s="2">
        <v>0</v>
      </c>
      <c r="FT277" s="2"/>
      <c r="FU277" s="2"/>
      <c r="FV277" s="2"/>
      <c r="FW277" s="2"/>
      <c r="FX277" s="2">
        <v>0</v>
      </c>
      <c r="FY277" s="2">
        <v>0</v>
      </c>
      <c r="FZ277" s="2"/>
      <c r="GA277" s="2" t="s">
        <v>337</v>
      </c>
      <c r="GB277" s="2"/>
      <c r="GC277" s="2"/>
      <c r="GD277" s="2">
        <v>1</v>
      </c>
      <c r="GE277" s="2"/>
      <c r="GF277" s="2">
        <v>1853631485</v>
      </c>
      <c r="GG277" s="2">
        <v>2</v>
      </c>
      <c r="GH277" s="2">
        <v>4</v>
      </c>
      <c r="GI277" s="2">
        <v>-2</v>
      </c>
      <c r="GJ277" s="2">
        <v>0</v>
      </c>
      <c r="GK277" s="2">
        <v>0</v>
      </c>
      <c r="GL277" s="2">
        <f t="shared" si="230"/>
        <v>0</v>
      </c>
      <c r="GM277" s="2">
        <f t="shared" si="231"/>
        <v>127.7</v>
      </c>
      <c r="GN277" s="2">
        <f t="shared" si="232"/>
        <v>0</v>
      </c>
      <c r="GO277" s="2">
        <f t="shared" si="233"/>
        <v>127.7</v>
      </c>
      <c r="GP277" s="2">
        <f t="shared" si="234"/>
        <v>0</v>
      </c>
      <c r="GQ277" s="2"/>
      <c r="GR277" s="2">
        <v>1</v>
      </c>
      <c r="GS277" s="2">
        <v>2</v>
      </c>
      <c r="GT277" s="2">
        <v>0</v>
      </c>
      <c r="GU277" s="2" t="s">
        <v>3</v>
      </c>
      <c r="GV277" s="2">
        <f t="shared" si="235"/>
        <v>0</v>
      </c>
      <c r="GW277" s="2">
        <v>1</v>
      </c>
      <c r="GX277" s="2">
        <f t="shared" si="236"/>
        <v>0</v>
      </c>
      <c r="GY277" s="2"/>
      <c r="GZ277" s="2"/>
      <c r="HA277" s="2">
        <v>0</v>
      </c>
      <c r="HB277" s="2">
        <v>0</v>
      </c>
      <c r="HC277" s="2">
        <f t="shared" si="237"/>
        <v>0</v>
      </c>
      <c r="HD277" s="2"/>
      <c r="HE277" s="2" t="s">
        <v>162</v>
      </c>
      <c r="HF277" s="2" t="s">
        <v>35</v>
      </c>
      <c r="HG277" s="2"/>
      <c r="HH277" s="2"/>
      <c r="HI277" s="2"/>
      <c r="HJ277" s="2"/>
      <c r="HK277" s="2"/>
      <c r="HL277" s="2"/>
      <c r="HM277" s="2" t="s">
        <v>3</v>
      </c>
      <c r="HN277" s="2" t="s">
        <v>3</v>
      </c>
      <c r="HO277" s="2" t="s">
        <v>3</v>
      </c>
      <c r="HP277" s="2" t="s">
        <v>3</v>
      </c>
      <c r="HQ277" s="2" t="s">
        <v>3</v>
      </c>
      <c r="HR277" s="2"/>
      <c r="HS277" s="2">
        <v>0</v>
      </c>
      <c r="HT277" s="2"/>
      <c r="HU277" s="2"/>
      <c r="HV277" s="2"/>
      <c r="HW277" s="2"/>
      <c r="HX277" s="2"/>
      <c r="HY277" s="2"/>
      <c r="HZ277" s="2"/>
      <c r="IA277" s="2"/>
      <c r="IB277" s="2"/>
      <c r="IC277" s="2"/>
      <c r="ID277" s="2"/>
      <c r="IE277" s="2"/>
      <c r="IF277" s="2"/>
      <c r="IG277" s="2"/>
      <c r="IH277" s="2"/>
      <c r="II277" s="2"/>
      <c r="IJ277" s="2"/>
      <c r="IK277" s="2">
        <v>0</v>
      </c>
      <c r="IL277" s="2"/>
      <c r="IM277" s="2"/>
      <c r="IN277" s="2"/>
      <c r="IO277" s="2"/>
      <c r="IP277" s="2"/>
      <c r="IQ277" s="2"/>
      <c r="IR277" s="2"/>
      <c r="IS277" s="2"/>
      <c r="IT277" s="2"/>
      <c r="IU277" s="2"/>
    </row>
    <row r="278" spans="1:255" x14ac:dyDescent="0.25">
      <c r="A278" s="3">
        <v>17</v>
      </c>
      <c r="B278" s="3">
        <v>1</v>
      </c>
      <c r="E278" s="3" t="s">
        <v>334</v>
      </c>
      <c r="F278" s="3" t="s">
        <v>335</v>
      </c>
      <c r="G278" s="3" t="s">
        <v>336</v>
      </c>
      <c r="H278" s="3" t="s">
        <v>152</v>
      </c>
      <c r="I278" s="3">
        <v>1</v>
      </c>
      <c r="J278" s="3">
        <v>0</v>
      </c>
      <c r="K278" s="3">
        <v>1</v>
      </c>
      <c r="O278" s="3">
        <f t="shared" si="213"/>
        <v>1256.57</v>
      </c>
      <c r="P278" s="3">
        <f t="shared" si="214"/>
        <v>1256.57</v>
      </c>
      <c r="Q278" s="3">
        <f t="shared" si="238"/>
        <v>0</v>
      </c>
      <c r="R278" s="3">
        <f t="shared" si="239"/>
        <v>0</v>
      </c>
      <c r="S278" s="3">
        <f t="shared" si="215"/>
        <v>0</v>
      </c>
      <c r="T278" s="3">
        <f t="shared" si="216"/>
        <v>0</v>
      </c>
      <c r="U278" s="3">
        <f t="shared" si="217"/>
        <v>0</v>
      </c>
      <c r="V278" s="3">
        <f t="shared" si="218"/>
        <v>0</v>
      </c>
      <c r="W278" s="3">
        <f t="shared" si="219"/>
        <v>0</v>
      </c>
      <c r="X278" s="3">
        <f t="shared" si="240"/>
        <v>0</v>
      </c>
      <c r="Y278" s="3">
        <f t="shared" si="241"/>
        <v>0</v>
      </c>
      <c r="AA278" s="3">
        <v>57014140</v>
      </c>
      <c r="AB278" s="3">
        <f t="shared" si="220"/>
        <v>127.7</v>
      </c>
      <c r="AC278" s="3">
        <f t="shared" si="242"/>
        <v>127.7</v>
      </c>
      <c r="AD278" s="3">
        <f t="shared" si="243"/>
        <v>0</v>
      </c>
      <c r="AE278" s="3">
        <f t="shared" si="244"/>
        <v>0</v>
      </c>
      <c r="AF278" s="3">
        <f t="shared" si="245"/>
        <v>0</v>
      </c>
      <c r="AG278" s="3">
        <f t="shared" si="221"/>
        <v>0</v>
      </c>
      <c r="AH278" s="3">
        <f t="shared" si="246"/>
        <v>0</v>
      </c>
      <c r="AI278" s="3">
        <f t="shared" si="247"/>
        <v>0</v>
      </c>
      <c r="AJ278" s="3">
        <f t="shared" si="222"/>
        <v>0</v>
      </c>
      <c r="AK278" s="3">
        <v>127.7</v>
      </c>
      <c r="AL278" s="3">
        <v>127.7</v>
      </c>
      <c r="AM278" s="3">
        <v>0</v>
      </c>
      <c r="AN278" s="3">
        <v>0</v>
      </c>
      <c r="AO278" s="3">
        <v>0</v>
      </c>
      <c r="AP278" s="3">
        <v>0</v>
      </c>
      <c r="AQ278" s="3">
        <v>0</v>
      </c>
      <c r="AR278" s="3">
        <v>0</v>
      </c>
      <c r="AS278" s="3">
        <v>0</v>
      </c>
      <c r="AT278" s="3">
        <v>0</v>
      </c>
      <c r="AU278" s="3">
        <v>0</v>
      </c>
      <c r="AV278" s="3">
        <v>1</v>
      </c>
      <c r="AW278" s="3">
        <v>1</v>
      </c>
      <c r="AZ278" s="3">
        <v>1</v>
      </c>
      <c r="BA278" s="3">
        <v>1</v>
      </c>
      <c r="BB278" s="3">
        <v>1</v>
      </c>
      <c r="BC278" s="3">
        <v>9.84</v>
      </c>
      <c r="BD278" s="3" t="s">
        <v>3</v>
      </c>
      <c r="BE278" s="3" t="s">
        <v>3</v>
      </c>
      <c r="BF278" s="3" t="s">
        <v>3</v>
      </c>
      <c r="BG278" s="3" t="s">
        <v>3</v>
      </c>
      <c r="BH278" s="3">
        <v>3</v>
      </c>
      <c r="BI278" s="3">
        <v>2</v>
      </c>
      <c r="BJ278" s="3" t="s">
        <v>335</v>
      </c>
      <c r="BM278" s="3">
        <v>400005</v>
      </c>
      <c r="BN278" s="3">
        <v>0</v>
      </c>
      <c r="BO278" s="3" t="s">
        <v>3</v>
      </c>
      <c r="BP278" s="3">
        <v>0</v>
      </c>
      <c r="BQ278" s="3">
        <v>213</v>
      </c>
      <c r="BR278" s="3">
        <v>0</v>
      </c>
      <c r="BS278" s="3">
        <v>1</v>
      </c>
      <c r="BT278" s="3">
        <v>1</v>
      </c>
      <c r="BU278" s="3">
        <v>1</v>
      </c>
      <c r="BV278" s="3">
        <v>1</v>
      </c>
      <c r="BW278" s="3">
        <v>1</v>
      </c>
      <c r="BX278" s="3">
        <v>1</v>
      </c>
      <c r="BY278" s="3" t="s">
        <v>3</v>
      </c>
      <c r="BZ278" s="3">
        <v>0</v>
      </c>
      <c r="CA278" s="3">
        <v>0</v>
      </c>
      <c r="CB278" s="3" t="s">
        <v>3</v>
      </c>
      <c r="CE278" s="3">
        <v>1566</v>
      </c>
      <c r="CF278" s="3">
        <v>0</v>
      </c>
      <c r="CG278" s="3">
        <v>0</v>
      </c>
      <c r="CM278" s="3">
        <v>0</v>
      </c>
      <c r="CN278" s="3" t="s">
        <v>3</v>
      </c>
      <c r="CO278" s="3">
        <v>0</v>
      </c>
      <c r="CP278" s="3">
        <f t="shared" si="223"/>
        <v>1256.57</v>
      </c>
      <c r="CQ278" s="3">
        <f t="shared" si="224"/>
        <v>1256.57</v>
      </c>
      <c r="CR278" s="3">
        <f t="shared" si="248"/>
        <v>0</v>
      </c>
      <c r="CS278" s="3">
        <f t="shared" si="249"/>
        <v>0</v>
      </c>
      <c r="CT278" s="3">
        <f t="shared" si="225"/>
        <v>0</v>
      </c>
      <c r="CU278" s="3">
        <f t="shared" si="226"/>
        <v>0</v>
      </c>
      <c r="CV278" s="3">
        <f t="shared" si="227"/>
        <v>0</v>
      </c>
      <c r="CW278" s="3">
        <f t="shared" si="228"/>
        <v>0</v>
      </c>
      <c r="CX278" s="3">
        <f t="shared" si="229"/>
        <v>0</v>
      </c>
      <c r="CY278" s="3">
        <f t="shared" si="250"/>
        <v>0</v>
      </c>
      <c r="CZ278" s="3">
        <f t="shared" si="251"/>
        <v>0</v>
      </c>
      <c r="DC278" s="3" t="s">
        <v>3</v>
      </c>
      <c r="DD278" s="3" t="s">
        <v>3</v>
      </c>
      <c r="DE278" s="3" t="s">
        <v>3</v>
      </c>
      <c r="DF278" s="3" t="s">
        <v>3</v>
      </c>
      <c r="DG278" s="3" t="s">
        <v>3</v>
      </c>
      <c r="DH278" s="3" t="s">
        <v>3</v>
      </c>
      <c r="DI278" s="3" t="s">
        <v>3</v>
      </c>
      <c r="DJ278" s="3" t="s">
        <v>3</v>
      </c>
      <c r="DK278" s="3" t="s">
        <v>3</v>
      </c>
      <c r="DL278" s="3" t="s">
        <v>3</v>
      </c>
      <c r="DM278" s="3" t="s">
        <v>3</v>
      </c>
      <c r="DN278" s="3">
        <v>0</v>
      </c>
      <c r="DO278" s="3">
        <v>0</v>
      </c>
      <c r="DP278" s="3">
        <v>1</v>
      </c>
      <c r="DQ278" s="3">
        <v>1</v>
      </c>
      <c r="DU278" s="3">
        <v>1013</v>
      </c>
      <c r="DV278" s="3" t="s">
        <v>152</v>
      </c>
      <c r="DW278" s="3" t="s">
        <v>152</v>
      </c>
      <c r="DX278" s="3">
        <v>1</v>
      </c>
      <c r="DZ278" s="3" t="s">
        <v>3</v>
      </c>
      <c r="EA278" s="3" t="s">
        <v>3</v>
      </c>
      <c r="EB278" s="3" t="s">
        <v>3</v>
      </c>
      <c r="EC278" s="3" t="s">
        <v>3</v>
      </c>
      <c r="EE278" s="3">
        <v>57042888</v>
      </c>
      <c r="EF278" s="3">
        <v>213</v>
      </c>
      <c r="EG278" s="3" t="s">
        <v>159</v>
      </c>
      <c r="EH278" s="3">
        <v>0</v>
      </c>
      <c r="EI278" s="3" t="s">
        <v>3</v>
      </c>
      <c r="EJ278" s="3">
        <v>1</v>
      </c>
      <c r="EK278" s="3">
        <v>400005</v>
      </c>
      <c r="EL278" s="3" t="s">
        <v>159</v>
      </c>
      <c r="EM278" s="3" t="s">
        <v>160</v>
      </c>
      <c r="EO278" s="3" t="s">
        <v>3</v>
      </c>
      <c r="EQ278" s="3">
        <v>16</v>
      </c>
      <c r="ER278" s="3">
        <v>0</v>
      </c>
      <c r="ES278" s="3">
        <v>127.7</v>
      </c>
      <c r="ET278" s="3">
        <v>0</v>
      </c>
      <c r="EU278" s="3">
        <v>0</v>
      </c>
      <c r="EV278" s="3">
        <v>0</v>
      </c>
      <c r="EW278" s="3">
        <v>0</v>
      </c>
      <c r="EX278" s="3">
        <v>0</v>
      </c>
      <c r="EY278" s="3">
        <v>0</v>
      </c>
      <c r="EZ278" s="3">
        <v>5</v>
      </c>
      <c r="FC278" s="3">
        <v>1</v>
      </c>
      <c r="FD278" s="3">
        <v>18</v>
      </c>
      <c r="FF278" s="3">
        <v>1503</v>
      </c>
      <c r="FQ278" s="3">
        <v>0</v>
      </c>
      <c r="FR278" s="3">
        <v>0</v>
      </c>
      <c r="FS278" s="3">
        <v>0</v>
      </c>
      <c r="FX278" s="3">
        <v>0</v>
      </c>
      <c r="FY278" s="3">
        <v>0</v>
      </c>
      <c r="GA278" s="3" t="s">
        <v>337</v>
      </c>
      <c r="GD278" s="3">
        <v>1</v>
      </c>
      <c r="GF278" s="3">
        <v>1853631485</v>
      </c>
      <c r="GG278" s="3">
        <v>2</v>
      </c>
      <c r="GH278" s="3">
        <v>3</v>
      </c>
      <c r="GI278" s="3">
        <v>5</v>
      </c>
      <c r="GJ278" s="3">
        <v>0</v>
      </c>
      <c r="GK278" s="3">
        <v>0</v>
      </c>
      <c r="GL278" s="3">
        <f t="shared" si="230"/>
        <v>0</v>
      </c>
      <c r="GM278" s="3">
        <f t="shared" si="231"/>
        <v>1256.57</v>
      </c>
      <c r="GN278" s="3">
        <f t="shared" si="232"/>
        <v>0</v>
      </c>
      <c r="GO278" s="3">
        <f t="shared" si="233"/>
        <v>1256.57</v>
      </c>
      <c r="GP278" s="3">
        <f t="shared" si="234"/>
        <v>0</v>
      </c>
      <c r="GR278" s="3">
        <v>1</v>
      </c>
      <c r="GS278" s="3">
        <v>1</v>
      </c>
      <c r="GT278" s="3">
        <v>0</v>
      </c>
      <c r="GU278" s="3" t="s">
        <v>3</v>
      </c>
      <c r="GV278" s="3">
        <f t="shared" si="235"/>
        <v>0</v>
      </c>
      <c r="GW278" s="3">
        <v>1</v>
      </c>
      <c r="GX278" s="3">
        <f t="shared" si="236"/>
        <v>0</v>
      </c>
      <c r="HA278" s="3">
        <v>0</v>
      </c>
      <c r="HB278" s="3">
        <v>0</v>
      </c>
      <c r="HC278" s="3">
        <f t="shared" si="237"/>
        <v>0</v>
      </c>
      <c r="HE278" s="3" t="s">
        <v>162</v>
      </c>
      <c r="HF278" s="3" t="s">
        <v>35</v>
      </c>
      <c r="HM278" s="3" t="s">
        <v>3</v>
      </c>
      <c r="HN278" s="3" t="s">
        <v>3</v>
      </c>
      <c r="HO278" s="3" t="s">
        <v>3</v>
      </c>
      <c r="HP278" s="3" t="s">
        <v>3</v>
      </c>
      <c r="HQ278" s="3" t="s">
        <v>3</v>
      </c>
      <c r="HS278" s="3">
        <v>0</v>
      </c>
      <c r="IK278" s="3">
        <v>0</v>
      </c>
    </row>
    <row r="280" spans="1:255" ht="13" x14ac:dyDescent="0.3">
      <c r="A280" s="11">
        <v>51</v>
      </c>
      <c r="B280" s="11">
        <f>B263</f>
        <v>1</v>
      </c>
      <c r="C280" s="11">
        <f>A263</f>
        <v>4</v>
      </c>
      <c r="D280" s="11">
        <f>ROW(A263)</f>
        <v>263</v>
      </c>
      <c r="E280" s="11"/>
      <c r="F280" s="11" t="str">
        <f>IF(F263&lt;&gt;"",F263,"")</f>
        <v>3</v>
      </c>
      <c r="G280" s="11" t="str">
        <f>IF(G263&lt;&gt;"",G263,"")</f>
        <v>Огнестойкая кабельная линия</v>
      </c>
      <c r="H280" s="11">
        <v>0</v>
      </c>
      <c r="I280" s="11"/>
      <c r="J280" s="11"/>
      <c r="K280" s="11"/>
      <c r="L280" s="11"/>
      <c r="M280" s="11"/>
      <c r="N280" s="11"/>
      <c r="O280" s="11">
        <f t="shared" ref="O280:T280" si="252">ROUND(AB280,2)</f>
        <v>138934.89000000001</v>
      </c>
      <c r="P280" s="11">
        <f t="shared" si="252"/>
        <v>115017.13</v>
      </c>
      <c r="Q280" s="11">
        <f t="shared" si="252"/>
        <v>399.59</v>
      </c>
      <c r="R280" s="11">
        <f t="shared" si="252"/>
        <v>0</v>
      </c>
      <c r="S280" s="11">
        <f t="shared" si="252"/>
        <v>23518.17</v>
      </c>
      <c r="T280" s="11">
        <f t="shared" si="252"/>
        <v>0</v>
      </c>
      <c r="U280" s="11">
        <f>AH280</f>
        <v>1978.5221819999997</v>
      </c>
      <c r="V280" s="11">
        <f>AI280</f>
        <v>0</v>
      </c>
      <c r="W280" s="11">
        <f>ROUND(AJ280,2)</f>
        <v>0</v>
      </c>
      <c r="X280" s="11">
        <f>ROUND(AK280,2)</f>
        <v>21166.35</v>
      </c>
      <c r="Y280" s="11">
        <f>ROUND(AL280,2)</f>
        <v>10818.36</v>
      </c>
      <c r="Z280" s="11"/>
      <c r="AA280" s="11"/>
      <c r="AB280" s="11">
        <f>ROUND(SUMIF(AA267:AA278,"=57014138",O267:O278),2)</f>
        <v>138934.89000000001</v>
      </c>
      <c r="AC280" s="11">
        <f>ROUND(SUMIF(AA267:AA278,"=57014138",P267:P278),2)</f>
        <v>115017.13</v>
      </c>
      <c r="AD280" s="11">
        <f>ROUND(SUMIF(AA267:AA278,"=57014138",Q267:Q278),2)</f>
        <v>399.59</v>
      </c>
      <c r="AE280" s="11">
        <f>ROUND(SUMIF(AA267:AA278,"=57014138",R267:R278),2)</f>
        <v>0</v>
      </c>
      <c r="AF280" s="11">
        <f>ROUND(SUMIF(AA267:AA278,"=57014138",S267:S278),2)</f>
        <v>23518.17</v>
      </c>
      <c r="AG280" s="11">
        <f>ROUND(SUMIF(AA267:AA278,"=57014138",T267:T278),2)</f>
        <v>0</v>
      </c>
      <c r="AH280" s="11">
        <f>SUMIF(AA267:AA278,"=57014138",U267:U278)</f>
        <v>1978.5221819999997</v>
      </c>
      <c r="AI280" s="11">
        <f>SUMIF(AA267:AA278,"=57014138",V267:V278)</f>
        <v>0</v>
      </c>
      <c r="AJ280" s="11">
        <f>ROUND(SUMIF(AA267:AA278,"=57014138",W267:W278),2)</f>
        <v>0</v>
      </c>
      <c r="AK280" s="11">
        <f>ROUND(SUMIF(AA267:AA278,"=57014138",X267:X278),2)</f>
        <v>21166.35</v>
      </c>
      <c r="AL280" s="11">
        <f>ROUND(SUMIF(AA267:AA278,"=57014138",Y267:Y278),2)</f>
        <v>10818.36</v>
      </c>
      <c r="AM280" s="11"/>
      <c r="AN280" s="11"/>
      <c r="AO280" s="11">
        <f t="shared" ref="AO280:BD280" si="253">ROUND(BX280,2)</f>
        <v>0</v>
      </c>
      <c r="AP280" s="11">
        <f t="shared" si="253"/>
        <v>0</v>
      </c>
      <c r="AQ280" s="11">
        <f t="shared" si="253"/>
        <v>0</v>
      </c>
      <c r="AR280" s="11">
        <f t="shared" si="253"/>
        <v>170919.6</v>
      </c>
      <c r="AS280" s="11">
        <f t="shared" si="253"/>
        <v>0</v>
      </c>
      <c r="AT280" s="11">
        <f t="shared" si="253"/>
        <v>170919.6</v>
      </c>
      <c r="AU280" s="11">
        <f t="shared" si="253"/>
        <v>0</v>
      </c>
      <c r="AV280" s="11">
        <f t="shared" si="253"/>
        <v>115017.13</v>
      </c>
      <c r="AW280" s="11">
        <f t="shared" si="253"/>
        <v>115017.13</v>
      </c>
      <c r="AX280" s="11">
        <f t="shared" si="253"/>
        <v>0</v>
      </c>
      <c r="AY280" s="11">
        <f t="shared" si="253"/>
        <v>115017.13</v>
      </c>
      <c r="AZ280" s="11">
        <f t="shared" si="253"/>
        <v>0</v>
      </c>
      <c r="BA280" s="11">
        <f t="shared" si="253"/>
        <v>0</v>
      </c>
      <c r="BB280" s="11">
        <f t="shared" si="253"/>
        <v>0</v>
      </c>
      <c r="BC280" s="11">
        <f t="shared" si="253"/>
        <v>0</v>
      </c>
      <c r="BD280" s="11">
        <f t="shared" si="253"/>
        <v>0</v>
      </c>
      <c r="BE280" s="11"/>
      <c r="BF280" s="11"/>
      <c r="BG280" s="11"/>
      <c r="BH280" s="11"/>
      <c r="BI280" s="11"/>
      <c r="BJ280" s="11"/>
      <c r="BK280" s="11"/>
      <c r="BL280" s="11"/>
      <c r="BM280" s="11"/>
      <c r="BN280" s="11"/>
      <c r="BO280" s="11"/>
      <c r="BP280" s="11"/>
      <c r="BQ280" s="11"/>
      <c r="BR280" s="11"/>
      <c r="BS280" s="11"/>
      <c r="BT280" s="11"/>
      <c r="BU280" s="11"/>
      <c r="BV280" s="11"/>
      <c r="BW280" s="11"/>
      <c r="BX280" s="11">
        <f>ROUND(SUMIF(AA267:AA278,"=57014138",FQ267:FQ278),2)</f>
        <v>0</v>
      </c>
      <c r="BY280" s="11">
        <f>ROUND(SUMIF(AA267:AA278,"=57014138",FR267:FR278),2)</f>
        <v>0</v>
      </c>
      <c r="BZ280" s="11">
        <f>ROUND(SUMIF(AA267:AA278,"=57014138",GL267:GL278),2)</f>
        <v>0</v>
      </c>
      <c r="CA280" s="11">
        <f>ROUND(SUMIF(AA267:AA278,"=57014138",GM267:GM278),2)</f>
        <v>170919.6</v>
      </c>
      <c r="CB280" s="11">
        <f>ROUND(SUMIF(AA267:AA278,"=57014138",GN267:GN278),2)</f>
        <v>0</v>
      </c>
      <c r="CC280" s="11">
        <f>ROUND(SUMIF(AA267:AA278,"=57014138",GO267:GO278),2)</f>
        <v>170919.6</v>
      </c>
      <c r="CD280" s="11">
        <f>ROUND(SUMIF(AA267:AA278,"=57014138",GP267:GP278),2)</f>
        <v>0</v>
      </c>
      <c r="CE280" s="11">
        <f>AC280-BX280</f>
        <v>115017.13</v>
      </c>
      <c r="CF280" s="11">
        <f>AC280-BY280</f>
        <v>115017.13</v>
      </c>
      <c r="CG280" s="11">
        <f>BX280-BZ280</f>
        <v>0</v>
      </c>
      <c r="CH280" s="11">
        <f>AC280-BX280-BY280+BZ280</f>
        <v>115017.13</v>
      </c>
      <c r="CI280" s="11">
        <f>BY280-BZ280</f>
        <v>0</v>
      </c>
      <c r="CJ280" s="11">
        <f>ROUND(SUMIF(AA267:AA278,"=57014138",GX267:GX278),2)</f>
        <v>0</v>
      </c>
      <c r="CK280" s="11">
        <f>ROUND(SUMIF(AA267:AA278,"=57014138",GY267:GY278),2)</f>
        <v>0</v>
      </c>
      <c r="CL280" s="11">
        <f>ROUND(SUMIF(AA267:AA278,"=57014138",GZ267:GZ278),2)</f>
        <v>0</v>
      </c>
      <c r="CM280" s="11">
        <f>ROUND(SUMIF(AA267:AA278,"=57014138",HD267:HD278),2)</f>
        <v>0</v>
      </c>
      <c r="CN280" s="11"/>
      <c r="CO280" s="11"/>
      <c r="CP280" s="11"/>
      <c r="CQ280" s="11"/>
      <c r="CR280" s="11"/>
      <c r="CS280" s="11"/>
      <c r="CT280" s="11"/>
      <c r="CU280" s="11"/>
      <c r="CV280" s="11"/>
      <c r="CW280" s="11"/>
      <c r="CX280" s="11"/>
      <c r="CY280" s="11"/>
      <c r="CZ280" s="11"/>
      <c r="DA280" s="11"/>
      <c r="DB280" s="11"/>
      <c r="DC280" s="11"/>
      <c r="DD280" s="11"/>
      <c r="DE280" s="11"/>
      <c r="DF280" s="11"/>
      <c r="DG280" s="12">
        <f t="shared" ref="DG280:DL280" si="254">ROUND(DT280,2)</f>
        <v>2458267.38</v>
      </c>
      <c r="DH280" s="12">
        <f t="shared" si="254"/>
        <v>1129182.44</v>
      </c>
      <c r="DI280" s="12">
        <f t="shared" si="254"/>
        <v>3836.06</v>
      </c>
      <c r="DJ280" s="12">
        <f t="shared" si="254"/>
        <v>0</v>
      </c>
      <c r="DK280" s="12">
        <f t="shared" si="254"/>
        <v>1325248.8799999999</v>
      </c>
      <c r="DL280" s="12">
        <f t="shared" si="254"/>
        <v>0</v>
      </c>
      <c r="DM280" s="12">
        <f>DZ280</f>
        <v>1978.5221819999997</v>
      </c>
      <c r="DN280" s="12">
        <f>EA280</f>
        <v>0</v>
      </c>
      <c r="DO280" s="12">
        <f>ROUND(EB280,2)</f>
        <v>0</v>
      </c>
      <c r="DP280" s="12">
        <f>ROUND(EC280,2)</f>
        <v>1192723.99</v>
      </c>
      <c r="DQ280" s="12">
        <f>ROUND(ED280,2)</f>
        <v>609614.48</v>
      </c>
      <c r="DR280" s="12"/>
      <c r="DS280" s="12"/>
      <c r="DT280" s="12">
        <f>ROUND(SUMIF(AA267:AA278,"=57014140",O267:O278),2)</f>
        <v>2458267.38</v>
      </c>
      <c r="DU280" s="12">
        <f>ROUND(SUMIF(AA267:AA278,"=57014140",P267:P278),2)</f>
        <v>1129182.44</v>
      </c>
      <c r="DV280" s="12">
        <f>ROUND(SUMIF(AA267:AA278,"=57014140",Q267:Q278),2)</f>
        <v>3836.06</v>
      </c>
      <c r="DW280" s="12">
        <f>ROUND(SUMIF(AA267:AA278,"=57014140",R267:R278),2)</f>
        <v>0</v>
      </c>
      <c r="DX280" s="12">
        <f>ROUND(SUMIF(AA267:AA278,"=57014140",S267:S278),2)</f>
        <v>1325248.8799999999</v>
      </c>
      <c r="DY280" s="12">
        <f>ROUND(SUMIF(AA267:AA278,"=57014140",T267:T278),2)</f>
        <v>0</v>
      </c>
      <c r="DZ280" s="12">
        <f>SUMIF(AA267:AA278,"=57014140",U267:U278)</f>
        <v>1978.5221819999997</v>
      </c>
      <c r="EA280" s="12">
        <f>SUMIF(AA267:AA278,"=57014140",V267:V278)</f>
        <v>0</v>
      </c>
      <c r="EB280" s="12">
        <f>ROUND(SUMIF(AA267:AA278,"=57014140",W267:W278),2)</f>
        <v>0</v>
      </c>
      <c r="EC280" s="12">
        <f>ROUND(SUMIF(AA267:AA278,"=57014140",X267:X278),2)</f>
        <v>1192723.99</v>
      </c>
      <c r="ED280" s="12">
        <f>ROUND(SUMIF(AA267:AA278,"=57014140",Y267:Y278),2)</f>
        <v>609614.48</v>
      </c>
      <c r="EE280" s="12"/>
      <c r="EF280" s="12"/>
      <c r="EG280" s="12">
        <f t="shared" ref="EG280:EV280" si="255">ROUND(FP280,2)</f>
        <v>0</v>
      </c>
      <c r="EH280" s="12">
        <f t="shared" si="255"/>
        <v>0</v>
      </c>
      <c r="EI280" s="12">
        <f t="shared" si="255"/>
        <v>0</v>
      </c>
      <c r="EJ280" s="12">
        <f t="shared" si="255"/>
        <v>4260605.8499999996</v>
      </c>
      <c r="EK280" s="12">
        <f t="shared" si="255"/>
        <v>0</v>
      </c>
      <c r="EL280" s="12">
        <f t="shared" si="255"/>
        <v>4260605.8499999996</v>
      </c>
      <c r="EM280" s="12">
        <f t="shared" si="255"/>
        <v>0</v>
      </c>
      <c r="EN280" s="12">
        <f t="shared" si="255"/>
        <v>1129182.44</v>
      </c>
      <c r="EO280" s="12">
        <f t="shared" si="255"/>
        <v>1129182.44</v>
      </c>
      <c r="EP280" s="12">
        <f t="shared" si="255"/>
        <v>0</v>
      </c>
      <c r="EQ280" s="12">
        <f t="shared" si="255"/>
        <v>1129182.44</v>
      </c>
      <c r="ER280" s="12">
        <f t="shared" si="255"/>
        <v>0</v>
      </c>
      <c r="ES280" s="12">
        <f t="shared" si="255"/>
        <v>0</v>
      </c>
      <c r="ET280" s="12">
        <f t="shared" si="255"/>
        <v>0</v>
      </c>
      <c r="EU280" s="12">
        <f t="shared" si="255"/>
        <v>0</v>
      </c>
      <c r="EV280" s="12">
        <f t="shared" si="255"/>
        <v>0</v>
      </c>
      <c r="EW280" s="12"/>
      <c r="EX280" s="12"/>
      <c r="EY280" s="12"/>
      <c r="EZ280" s="12"/>
      <c r="FA280" s="12"/>
      <c r="FB280" s="12"/>
      <c r="FC280" s="12"/>
      <c r="FD280" s="12"/>
      <c r="FE280" s="12"/>
      <c r="FF280" s="12"/>
      <c r="FG280" s="12"/>
      <c r="FH280" s="12"/>
      <c r="FI280" s="12"/>
      <c r="FJ280" s="12"/>
      <c r="FK280" s="12"/>
      <c r="FL280" s="12"/>
      <c r="FM280" s="12"/>
      <c r="FN280" s="12"/>
      <c r="FO280" s="12"/>
      <c r="FP280" s="12">
        <f>ROUND(SUMIF(AA267:AA278,"=57014140",FQ267:FQ278),2)</f>
        <v>0</v>
      </c>
      <c r="FQ280" s="12">
        <f>ROUND(SUMIF(AA267:AA278,"=57014140",FR267:FR278),2)</f>
        <v>0</v>
      </c>
      <c r="FR280" s="12">
        <f>ROUND(SUMIF(AA267:AA278,"=57014140",GL267:GL278),2)</f>
        <v>0</v>
      </c>
      <c r="FS280" s="12">
        <f>ROUND(SUMIF(AA267:AA278,"=57014140",GM267:GM278),2)</f>
        <v>4260605.8499999996</v>
      </c>
      <c r="FT280" s="12">
        <f>ROUND(SUMIF(AA267:AA278,"=57014140",GN267:GN278),2)</f>
        <v>0</v>
      </c>
      <c r="FU280" s="12">
        <f>ROUND(SUMIF(AA267:AA278,"=57014140",GO267:GO278),2)</f>
        <v>4260605.8499999996</v>
      </c>
      <c r="FV280" s="12">
        <f>ROUND(SUMIF(AA267:AA278,"=57014140",GP267:GP278),2)</f>
        <v>0</v>
      </c>
      <c r="FW280" s="12">
        <f>DU280-FP280</f>
        <v>1129182.44</v>
      </c>
      <c r="FX280" s="12">
        <f>DU280-FQ280</f>
        <v>1129182.44</v>
      </c>
      <c r="FY280" s="12">
        <f>FP280-FR280</f>
        <v>0</v>
      </c>
      <c r="FZ280" s="12">
        <f>DU280-FP280-FQ280+FR280</f>
        <v>1129182.44</v>
      </c>
      <c r="GA280" s="12">
        <f>FQ280-FR280</f>
        <v>0</v>
      </c>
      <c r="GB280" s="12">
        <f>ROUND(SUMIF(AA267:AA278,"=57014140",GX267:GX278),2)</f>
        <v>0</v>
      </c>
      <c r="GC280" s="12">
        <f>ROUND(SUMIF(AA267:AA278,"=57014140",GY267:GY278),2)</f>
        <v>0</v>
      </c>
      <c r="GD280" s="12">
        <f>ROUND(SUMIF(AA267:AA278,"=57014140",GZ267:GZ278),2)</f>
        <v>0</v>
      </c>
      <c r="GE280" s="12">
        <f>ROUND(SUMIF(AA267:AA278,"=57014140",HD267:HD278),2)</f>
        <v>0</v>
      </c>
      <c r="GF280" s="12"/>
      <c r="GG280" s="12"/>
      <c r="GH280" s="12"/>
      <c r="GI280" s="12"/>
      <c r="GJ280" s="12"/>
      <c r="GK280" s="12"/>
      <c r="GL280" s="12"/>
      <c r="GM280" s="12"/>
      <c r="GN280" s="12"/>
      <c r="GO280" s="12"/>
      <c r="GP280" s="12"/>
      <c r="GQ280" s="12"/>
      <c r="GR280" s="12"/>
      <c r="GS280" s="12"/>
      <c r="GT280" s="12"/>
      <c r="GU280" s="12"/>
      <c r="GV280" s="12"/>
      <c r="GW280" s="12"/>
      <c r="GX280" s="12">
        <v>0</v>
      </c>
    </row>
    <row r="282" spans="1:255" ht="13" x14ac:dyDescent="0.3">
      <c r="A282" s="13">
        <v>50</v>
      </c>
      <c r="B282" s="13">
        <v>0</v>
      </c>
      <c r="C282" s="13">
        <v>0</v>
      </c>
      <c r="D282" s="13">
        <v>1</v>
      </c>
      <c r="E282" s="13">
        <v>201</v>
      </c>
      <c r="F282" s="13">
        <f>ROUND(Source!O280,O282)</f>
        <v>138934.89000000001</v>
      </c>
      <c r="G282" s="13" t="s">
        <v>92</v>
      </c>
      <c r="H282" s="13" t="s">
        <v>93</v>
      </c>
      <c r="I282" s="13"/>
      <c r="J282" s="13"/>
      <c r="K282" s="13">
        <v>201</v>
      </c>
      <c r="L282" s="13">
        <v>1</v>
      </c>
      <c r="M282" s="13">
        <v>3</v>
      </c>
      <c r="N282" s="13" t="s">
        <v>3</v>
      </c>
      <c r="O282" s="13">
        <v>2</v>
      </c>
      <c r="P282" s="13">
        <f>ROUND(Source!DG280,O282)</f>
        <v>2458267.38</v>
      </c>
      <c r="Q282" s="13"/>
      <c r="R282" s="13"/>
      <c r="S282" s="13"/>
      <c r="T282" s="13"/>
      <c r="U282" s="13"/>
      <c r="V282" s="13"/>
      <c r="W282" s="13">
        <v>138934.89000000001</v>
      </c>
      <c r="X282" s="13">
        <v>1</v>
      </c>
      <c r="Y282" s="13">
        <v>138934.89000000001</v>
      </c>
      <c r="Z282" s="13">
        <v>2458267.38</v>
      </c>
      <c r="AA282" s="13">
        <v>1</v>
      </c>
      <c r="AB282" s="13">
        <v>2458267.38</v>
      </c>
    </row>
    <row r="283" spans="1:255" ht="13" x14ac:dyDescent="0.3">
      <c r="A283" s="13">
        <v>50</v>
      </c>
      <c r="B283" s="13">
        <v>0</v>
      </c>
      <c r="C283" s="13">
        <v>0</v>
      </c>
      <c r="D283" s="13">
        <v>1</v>
      </c>
      <c r="E283" s="13">
        <v>202</v>
      </c>
      <c r="F283" s="13">
        <f>ROUND(Source!P280,O283)</f>
        <v>115017.13</v>
      </c>
      <c r="G283" s="13" t="s">
        <v>94</v>
      </c>
      <c r="H283" s="13" t="s">
        <v>95</v>
      </c>
      <c r="I283" s="13"/>
      <c r="J283" s="13"/>
      <c r="K283" s="13">
        <v>202</v>
      </c>
      <c r="L283" s="13">
        <v>2</v>
      </c>
      <c r="M283" s="13">
        <v>3</v>
      </c>
      <c r="N283" s="13" t="s">
        <v>3</v>
      </c>
      <c r="O283" s="13">
        <v>2</v>
      </c>
      <c r="P283" s="13">
        <f>ROUND(Source!DH280,O283)</f>
        <v>1129182.44</v>
      </c>
      <c r="Q283" s="13"/>
      <c r="R283" s="13"/>
      <c r="S283" s="13"/>
      <c r="T283" s="13"/>
      <c r="U283" s="13"/>
      <c r="V283" s="13"/>
      <c r="W283" s="13">
        <v>115017.13</v>
      </c>
      <c r="X283" s="13">
        <v>1</v>
      </c>
      <c r="Y283" s="13">
        <v>115017.13</v>
      </c>
      <c r="Z283" s="13">
        <v>1129182.44</v>
      </c>
      <c r="AA283" s="13">
        <v>1</v>
      </c>
      <c r="AB283" s="13">
        <v>1129182.44</v>
      </c>
    </row>
    <row r="284" spans="1:255" ht="13" x14ac:dyDescent="0.3">
      <c r="A284" s="13">
        <v>50</v>
      </c>
      <c r="B284" s="13">
        <v>0</v>
      </c>
      <c r="C284" s="13">
        <v>0</v>
      </c>
      <c r="D284" s="13">
        <v>1</v>
      </c>
      <c r="E284" s="13">
        <v>222</v>
      </c>
      <c r="F284" s="13">
        <f>ROUND(Source!AO280,O284)</f>
        <v>0</v>
      </c>
      <c r="G284" s="13" t="s">
        <v>96</v>
      </c>
      <c r="H284" s="13" t="s">
        <v>97</v>
      </c>
      <c r="I284" s="13"/>
      <c r="J284" s="13"/>
      <c r="K284" s="13">
        <v>222</v>
      </c>
      <c r="L284" s="13">
        <v>3</v>
      </c>
      <c r="M284" s="13">
        <v>3</v>
      </c>
      <c r="N284" s="13" t="s">
        <v>3</v>
      </c>
      <c r="O284" s="13">
        <v>2</v>
      </c>
      <c r="P284" s="13">
        <f>ROUND(Source!EG280,O284)</f>
        <v>0</v>
      </c>
      <c r="Q284" s="13"/>
      <c r="R284" s="13"/>
      <c r="S284" s="13"/>
      <c r="T284" s="13"/>
      <c r="U284" s="13"/>
      <c r="V284" s="13"/>
      <c r="W284" s="13">
        <v>0</v>
      </c>
      <c r="X284" s="13">
        <v>1</v>
      </c>
      <c r="Y284" s="13">
        <v>0</v>
      </c>
      <c r="Z284" s="13">
        <v>0</v>
      </c>
      <c r="AA284" s="13">
        <v>1</v>
      </c>
      <c r="AB284" s="13">
        <v>0</v>
      </c>
    </row>
    <row r="285" spans="1:255" ht="13" x14ac:dyDescent="0.3">
      <c r="A285" s="13">
        <v>50</v>
      </c>
      <c r="B285" s="13">
        <v>0</v>
      </c>
      <c r="C285" s="13">
        <v>0</v>
      </c>
      <c r="D285" s="13">
        <v>1</v>
      </c>
      <c r="E285" s="13">
        <v>225</v>
      </c>
      <c r="F285" s="13">
        <f>ROUND(Source!AV280,O285)</f>
        <v>115017.13</v>
      </c>
      <c r="G285" s="13" t="s">
        <v>98</v>
      </c>
      <c r="H285" s="13" t="s">
        <v>99</v>
      </c>
      <c r="I285" s="13"/>
      <c r="J285" s="13"/>
      <c r="K285" s="13">
        <v>225</v>
      </c>
      <c r="L285" s="13">
        <v>4</v>
      </c>
      <c r="M285" s="13">
        <v>3</v>
      </c>
      <c r="N285" s="13" t="s">
        <v>3</v>
      </c>
      <c r="O285" s="13">
        <v>2</v>
      </c>
      <c r="P285" s="13">
        <f>ROUND(Source!EN280,O285)</f>
        <v>1129182.44</v>
      </c>
      <c r="Q285" s="13"/>
      <c r="R285" s="13"/>
      <c r="S285" s="13"/>
      <c r="T285" s="13"/>
      <c r="U285" s="13"/>
      <c r="V285" s="13"/>
      <c r="W285" s="13">
        <v>115017.13</v>
      </c>
      <c r="X285" s="13">
        <v>1</v>
      </c>
      <c r="Y285" s="13">
        <v>115017.13</v>
      </c>
      <c r="Z285" s="13">
        <v>1129182.44</v>
      </c>
      <c r="AA285" s="13">
        <v>1</v>
      </c>
      <c r="AB285" s="13">
        <v>1129182.44</v>
      </c>
    </row>
    <row r="286" spans="1:255" ht="13" x14ac:dyDescent="0.3">
      <c r="A286" s="13">
        <v>50</v>
      </c>
      <c r="B286" s="13">
        <v>0</v>
      </c>
      <c r="C286" s="13">
        <v>0</v>
      </c>
      <c r="D286" s="13">
        <v>1</v>
      </c>
      <c r="E286" s="13">
        <v>226</v>
      </c>
      <c r="F286" s="13">
        <f>ROUND(Source!AW280,O286)</f>
        <v>115017.13</v>
      </c>
      <c r="G286" s="13" t="s">
        <v>100</v>
      </c>
      <c r="H286" s="13" t="s">
        <v>101</v>
      </c>
      <c r="I286" s="13"/>
      <c r="J286" s="13"/>
      <c r="K286" s="13">
        <v>226</v>
      </c>
      <c r="L286" s="13">
        <v>5</v>
      </c>
      <c r="M286" s="13">
        <v>3</v>
      </c>
      <c r="N286" s="13" t="s">
        <v>3</v>
      </c>
      <c r="O286" s="13">
        <v>2</v>
      </c>
      <c r="P286" s="13">
        <f>ROUND(Source!EO280,O286)</f>
        <v>1129182.44</v>
      </c>
      <c r="Q286" s="13"/>
      <c r="R286" s="13"/>
      <c r="S286" s="13"/>
      <c r="T286" s="13"/>
      <c r="U286" s="13"/>
      <c r="V286" s="13"/>
      <c r="W286" s="13">
        <v>115017.13</v>
      </c>
      <c r="X286" s="13">
        <v>1</v>
      </c>
      <c r="Y286" s="13">
        <v>115017.13</v>
      </c>
      <c r="Z286" s="13">
        <v>1129182.44</v>
      </c>
      <c r="AA286" s="13">
        <v>1</v>
      </c>
      <c r="AB286" s="13">
        <v>1129182.44</v>
      </c>
    </row>
    <row r="287" spans="1:255" ht="13" x14ac:dyDescent="0.3">
      <c r="A287" s="13">
        <v>50</v>
      </c>
      <c r="B287" s="13">
        <v>0</v>
      </c>
      <c r="C287" s="13">
        <v>0</v>
      </c>
      <c r="D287" s="13">
        <v>1</v>
      </c>
      <c r="E287" s="13">
        <v>227</v>
      </c>
      <c r="F287" s="13">
        <f>ROUND(Source!AX280,O287)</f>
        <v>0</v>
      </c>
      <c r="G287" s="13" t="s">
        <v>102</v>
      </c>
      <c r="H287" s="13" t="s">
        <v>103</v>
      </c>
      <c r="I287" s="13"/>
      <c r="J287" s="13"/>
      <c r="K287" s="13">
        <v>227</v>
      </c>
      <c r="L287" s="13">
        <v>6</v>
      </c>
      <c r="M287" s="13">
        <v>3</v>
      </c>
      <c r="N287" s="13" t="s">
        <v>3</v>
      </c>
      <c r="O287" s="13">
        <v>2</v>
      </c>
      <c r="P287" s="13">
        <f>ROUND(Source!EP280,O287)</f>
        <v>0</v>
      </c>
      <c r="Q287" s="13"/>
      <c r="R287" s="13"/>
      <c r="S287" s="13"/>
      <c r="T287" s="13"/>
      <c r="U287" s="13"/>
      <c r="V287" s="13"/>
      <c r="W287" s="13">
        <v>0</v>
      </c>
      <c r="X287" s="13">
        <v>1</v>
      </c>
      <c r="Y287" s="13">
        <v>0</v>
      </c>
      <c r="Z287" s="13">
        <v>0</v>
      </c>
      <c r="AA287" s="13">
        <v>1</v>
      </c>
      <c r="AB287" s="13">
        <v>0</v>
      </c>
    </row>
    <row r="288" spans="1:255" ht="13" x14ac:dyDescent="0.3">
      <c r="A288" s="13">
        <v>50</v>
      </c>
      <c r="B288" s="13">
        <v>0</v>
      </c>
      <c r="C288" s="13">
        <v>0</v>
      </c>
      <c r="D288" s="13">
        <v>1</v>
      </c>
      <c r="E288" s="13">
        <v>228</v>
      </c>
      <c r="F288" s="13">
        <f>ROUND(Source!AY280,O288)</f>
        <v>115017.13</v>
      </c>
      <c r="G288" s="13" t="s">
        <v>104</v>
      </c>
      <c r="H288" s="13" t="s">
        <v>105</v>
      </c>
      <c r="I288" s="13"/>
      <c r="J288" s="13"/>
      <c r="K288" s="13">
        <v>228</v>
      </c>
      <c r="L288" s="13">
        <v>7</v>
      </c>
      <c r="M288" s="13">
        <v>3</v>
      </c>
      <c r="N288" s="13" t="s">
        <v>3</v>
      </c>
      <c r="O288" s="13">
        <v>2</v>
      </c>
      <c r="P288" s="13">
        <f>ROUND(Source!EQ280,O288)</f>
        <v>1129182.44</v>
      </c>
      <c r="Q288" s="13"/>
      <c r="R288" s="13"/>
      <c r="S288" s="13"/>
      <c r="T288" s="13"/>
      <c r="U288" s="13"/>
      <c r="V288" s="13"/>
      <c r="W288" s="13">
        <v>115017.13</v>
      </c>
      <c r="X288" s="13">
        <v>1</v>
      </c>
      <c r="Y288" s="13">
        <v>115017.13</v>
      </c>
      <c r="Z288" s="13">
        <v>1129182.44</v>
      </c>
      <c r="AA288" s="13">
        <v>1</v>
      </c>
      <c r="AB288" s="13">
        <v>1129182.44</v>
      </c>
    </row>
    <row r="289" spans="1:28" ht="13" x14ac:dyDescent="0.3">
      <c r="A289" s="13">
        <v>50</v>
      </c>
      <c r="B289" s="13">
        <v>0</v>
      </c>
      <c r="C289" s="13">
        <v>0</v>
      </c>
      <c r="D289" s="13">
        <v>1</v>
      </c>
      <c r="E289" s="13">
        <v>216</v>
      </c>
      <c r="F289" s="13">
        <f>ROUND(Source!AP280,O289)</f>
        <v>0</v>
      </c>
      <c r="G289" s="13" t="s">
        <v>106</v>
      </c>
      <c r="H289" s="13" t="s">
        <v>107</v>
      </c>
      <c r="I289" s="13"/>
      <c r="J289" s="13"/>
      <c r="K289" s="13">
        <v>216</v>
      </c>
      <c r="L289" s="13">
        <v>8</v>
      </c>
      <c r="M289" s="13">
        <v>3</v>
      </c>
      <c r="N289" s="13" t="s">
        <v>3</v>
      </c>
      <c r="O289" s="13">
        <v>2</v>
      </c>
      <c r="P289" s="13">
        <f>ROUND(Source!EH280,O289)</f>
        <v>0</v>
      </c>
      <c r="Q289" s="13"/>
      <c r="R289" s="13"/>
      <c r="S289" s="13"/>
      <c r="T289" s="13"/>
      <c r="U289" s="13"/>
      <c r="V289" s="13"/>
      <c r="W289" s="13">
        <v>0</v>
      </c>
      <c r="X289" s="13">
        <v>1</v>
      </c>
      <c r="Y289" s="13">
        <v>0</v>
      </c>
      <c r="Z289" s="13">
        <v>0</v>
      </c>
      <c r="AA289" s="13">
        <v>1</v>
      </c>
      <c r="AB289" s="13">
        <v>0</v>
      </c>
    </row>
    <row r="290" spans="1:28" ht="13" x14ac:dyDescent="0.3">
      <c r="A290" s="13">
        <v>50</v>
      </c>
      <c r="B290" s="13">
        <v>0</v>
      </c>
      <c r="C290" s="13">
        <v>0</v>
      </c>
      <c r="D290" s="13">
        <v>1</v>
      </c>
      <c r="E290" s="13">
        <v>223</v>
      </c>
      <c r="F290" s="13">
        <f>ROUND(Source!AQ280,O290)</f>
        <v>0</v>
      </c>
      <c r="G290" s="13" t="s">
        <v>108</v>
      </c>
      <c r="H290" s="13" t="s">
        <v>109</v>
      </c>
      <c r="I290" s="13"/>
      <c r="J290" s="13"/>
      <c r="K290" s="13">
        <v>223</v>
      </c>
      <c r="L290" s="13">
        <v>9</v>
      </c>
      <c r="M290" s="13">
        <v>3</v>
      </c>
      <c r="N290" s="13" t="s">
        <v>3</v>
      </c>
      <c r="O290" s="13">
        <v>2</v>
      </c>
      <c r="P290" s="13">
        <f>ROUND(Source!EI280,O290)</f>
        <v>0</v>
      </c>
      <c r="Q290" s="13"/>
      <c r="R290" s="13"/>
      <c r="S290" s="13"/>
      <c r="T290" s="13"/>
      <c r="U290" s="13"/>
      <c r="V290" s="13"/>
      <c r="W290" s="13">
        <v>0</v>
      </c>
      <c r="X290" s="13">
        <v>1</v>
      </c>
      <c r="Y290" s="13">
        <v>0</v>
      </c>
      <c r="Z290" s="13">
        <v>0</v>
      </c>
      <c r="AA290" s="13">
        <v>1</v>
      </c>
      <c r="AB290" s="13">
        <v>0</v>
      </c>
    </row>
    <row r="291" spans="1:28" ht="13" x14ac:dyDescent="0.3">
      <c r="A291" s="13">
        <v>50</v>
      </c>
      <c r="B291" s="13">
        <v>0</v>
      </c>
      <c r="C291" s="13">
        <v>0</v>
      </c>
      <c r="D291" s="13">
        <v>1</v>
      </c>
      <c r="E291" s="13">
        <v>229</v>
      </c>
      <c r="F291" s="13">
        <f>ROUND(Source!AZ280,O291)</f>
        <v>0</v>
      </c>
      <c r="G291" s="13" t="s">
        <v>110</v>
      </c>
      <c r="H291" s="13" t="s">
        <v>111</v>
      </c>
      <c r="I291" s="13"/>
      <c r="J291" s="13"/>
      <c r="K291" s="13">
        <v>229</v>
      </c>
      <c r="L291" s="13">
        <v>10</v>
      </c>
      <c r="M291" s="13">
        <v>3</v>
      </c>
      <c r="N291" s="13" t="s">
        <v>3</v>
      </c>
      <c r="O291" s="13">
        <v>2</v>
      </c>
      <c r="P291" s="13">
        <f>ROUND(Source!ER280,O291)</f>
        <v>0</v>
      </c>
      <c r="Q291" s="13"/>
      <c r="R291" s="13"/>
      <c r="S291" s="13"/>
      <c r="T291" s="13"/>
      <c r="U291" s="13"/>
      <c r="V291" s="13"/>
      <c r="W291" s="13">
        <v>0</v>
      </c>
      <c r="X291" s="13">
        <v>1</v>
      </c>
      <c r="Y291" s="13">
        <v>0</v>
      </c>
      <c r="Z291" s="13">
        <v>0</v>
      </c>
      <c r="AA291" s="13">
        <v>1</v>
      </c>
      <c r="AB291" s="13">
        <v>0</v>
      </c>
    </row>
    <row r="292" spans="1:28" ht="13" x14ac:dyDescent="0.3">
      <c r="A292" s="13">
        <v>50</v>
      </c>
      <c r="B292" s="13">
        <v>0</v>
      </c>
      <c r="C292" s="13">
        <v>0</v>
      </c>
      <c r="D292" s="13">
        <v>1</v>
      </c>
      <c r="E292" s="13">
        <v>203</v>
      </c>
      <c r="F292" s="13">
        <f>ROUND(Source!Q280,O292)</f>
        <v>399.59</v>
      </c>
      <c r="G292" s="13" t="s">
        <v>112</v>
      </c>
      <c r="H292" s="13" t="s">
        <v>113</v>
      </c>
      <c r="I292" s="13"/>
      <c r="J292" s="13"/>
      <c r="K292" s="13">
        <v>203</v>
      </c>
      <c r="L292" s="13">
        <v>11</v>
      </c>
      <c r="M292" s="13">
        <v>3</v>
      </c>
      <c r="N292" s="13" t="s">
        <v>3</v>
      </c>
      <c r="O292" s="13">
        <v>2</v>
      </c>
      <c r="P292" s="13">
        <f>ROUND(Source!DI280,O292)</f>
        <v>3836.06</v>
      </c>
      <c r="Q292" s="13"/>
      <c r="R292" s="13"/>
      <c r="S292" s="13"/>
      <c r="T292" s="13"/>
      <c r="U292" s="13"/>
      <c r="V292" s="13"/>
      <c r="W292" s="13">
        <v>399.59</v>
      </c>
      <c r="X292" s="13">
        <v>1</v>
      </c>
      <c r="Y292" s="13">
        <v>399.59</v>
      </c>
      <c r="Z292" s="13">
        <v>3836.06</v>
      </c>
      <c r="AA292" s="13">
        <v>1</v>
      </c>
      <c r="AB292" s="13">
        <v>3836.06</v>
      </c>
    </row>
    <row r="293" spans="1:28" ht="13" x14ac:dyDescent="0.3">
      <c r="A293" s="13">
        <v>50</v>
      </c>
      <c r="B293" s="13">
        <v>0</v>
      </c>
      <c r="C293" s="13">
        <v>0</v>
      </c>
      <c r="D293" s="13">
        <v>1</v>
      </c>
      <c r="E293" s="13">
        <v>231</v>
      </c>
      <c r="F293" s="13">
        <f>ROUND(Source!BB280,O293)</f>
        <v>0</v>
      </c>
      <c r="G293" s="13" t="s">
        <v>114</v>
      </c>
      <c r="H293" s="13" t="s">
        <v>115</v>
      </c>
      <c r="I293" s="13"/>
      <c r="J293" s="13"/>
      <c r="K293" s="13">
        <v>231</v>
      </c>
      <c r="L293" s="13">
        <v>12</v>
      </c>
      <c r="M293" s="13">
        <v>3</v>
      </c>
      <c r="N293" s="13" t="s">
        <v>3</v>
      </c>
      <c r="O293" s="13">
        <v>2</v>
      </c>
      <c r="P293" s="13">
        <f>ROUND(Source!ET280,O293)</f>
        <v>0</v>
      </c>
      <c r="Q293" s="13"/>
      <c r="R293" s="13"/>
      <c r="S293" s="13"/>
      <c r="T293" s="13"/>
      <c r="U293" s="13"/>
      <c r="V293" s="13"/>
      <c r="W293" s="13">
        <v>0</v>
      </c>
      <c r="X293" s="13">
        <v>1</v>
      </c>
      <c r="Y293" s="13">
        <v>0</v>
      </c>
      <c r="Z293" s="13">
        <v>0</v>
      </c>
      <c r="AA293" s="13">
        <v>1</v>
      </c>
      <c r="AB293" s="13">
        <v>0</v>
      </c>
    </row>
    <row r="294" spans="1:28" ht="13" x14ac:dyDescent="0.3">
      <c r="A294" s="13">
        <v>50</v>
      </c>
      <c r="B294" s="13">
        <v>0</v>
      </c>
      <c r="C294" s="13">
        <v>0</v>
      </c>
      <c r="D294" s="13">
        <v>1</v>
      </c>
      <c r="E294" s="13">
        <v>204</v>
      </c>
      <c r="F294" s="13">
        <f>ROUND(Source!R280,O294)</f>
        <v>0</v>
      </c>
      <c r="G294" s="13" t="s">
        <v>116</v>
      </c>
      <c r="H294" s="13" t="s">
        <v>117</v>
      </c>
      <c r="I294" s="13"/>
      <c r="J294" s="13"/>
      <c r="K294" s="13">
        <v>204</v>
      </c>
      <c r="L294" s="13">
        <v>13</v>
      </c>
      <c r="M294" s="13">
        <v>3</v>
      </c>
      <c r="N294" s="13" t="s">
        <v>3</v>
      </c>
      <c r="O294" s="13">
        <v>2</v>
      </c>
      <c r="P294" s="13">
        <f>ROUND(Source!DJ280,O294)</f>
        <v>0</v>
      </c>
      <c r="Q294" s="13"/>
      <c r="R294" s="13"/>
      <c r="S294" s="13"/>
      <c r="T294" s="13"/>
      <c r="U294" s="13"/>
      <c r="V294" s="13"/>
      <c r="W294" s="13">
        <v>0</v>
      </c>
      <c r="X294" s="13">
        <v>1</v>
      </c>
      <c r="Y294" s="13">
        <v>0</v>
      </c>
      <c r="Z294" s="13">
        <v>0</v>
      </c>
      <c r="AA294" s="13">
        <v>1</v>
      </c>
      <c r="AB294" s="13">
        <v>0</v>
      </c>
    </row>
    <row r="295" spans="1:28" ht="13" x14ac:dyDescent="0.3">
      <c r="A295" s="13">
        <v>50</v>
      </c>
      <c r="B295" s="13">
        <v>0</v>
      </c>
      <c r="C295" s="13">
        <v>0</v>
      </c>
      <c r="D295" s="13">
        <v>1</v>
      </c>
      <c r="E295" s="13">
        <v>205</v>
      </c>
      <c r="F295" s="13">
        <f>ROUND(Source!S280,O295)</f>
        <v>23518.17</v>
      </c>
      <c r="G295" s="13" t="s">
        <v>118</v>
      </c>
      <c r="H295" s="13" t="s">
        <v>119</v>
      </c>
      <c r="I295" s="13"/>
      <c r="J295" s="13"/>
      <c r="K295" s="13">
        <v>205</v>
      </c>
      <c r="L295" s="13">
        <v>14</v>
      </c>
      <c r="M295" s="13">
        <v>3</v>
      </c>
      <c r="N295" s="13" t="s">
        <v>3</v>
      </c>
      <c r="O295" s="13">
        <v>2</v>
      </c>
      <c r="P295" s="13">
        <f>ROUND(Source!DK280,O295)</f>
        <v>1325248.8799999999</v>
      </c>
      <c r="Q295" s="13"/>
      <c r="R295" s="13"/>
      <c r="S295" s="13"/>
      <c r="T295" s="13"/>
      <c r="U295" s="13"/>
      <c r="V295" s="13"/>
      <c r="W295" s="13">
        <v>23518.17</v>
      </c>
      <c r="X295" s="13">
        <v>1</v>
      </c>
      <c r="Y295" s="13">
        <v>23518.17</v>
      </c>
      <c r="Z295" s="13">
        <v>1325248.8799999999</v>
      </c>
      <c r="AA295" s="13">
        <v>1</v>
      </c>
      <c r="AB295" s="13">
        <v>1325248.8799999999</v>
      </c>
    </row>
    <row r="296" spans="1:28" ht="13" x14ac:dyDescent="0.3">
      <c r="A296" s="13">
        <v>50</v>
      </c>
      <c r="B296" s="13">
        <v>0</v>
      </c>
      <c r="C296" s="13">
        <v>0</v>
      </c>
      <c r="D296" s="13">
        <v>1</v>
      </c>
      <c r="E296" s="13">
        <v>232</v>
      </c>
      <c r="F296" s="13">
        <f>ROUND(Source!BC280,O296)</f>
        <v>0</v>
      </c>
      <c r="G296" s="13" t="s">
        <v>120</v>
      </c>
      <c r="H296" s="13" t="s">
        <v>121</v>
      </c>
      <c r="I296" s="13"/>
      <c r="J296" s="13"/>
      <c r="K296" s="13">
        <v>232</v>
      </c>
      <c r="L296" s="13">
        <v>15</v>
      </c>
      <c r="M296" s="13">
        <v>3</v>
      </c>
      <c r="N296" s="13" t="s">
        <v>3</v>
      </c>
      <c r="O296" s="13">
        <v>2</v>
      </c>
      <c r="P296" s="13">
        <f>ROUND(Source!EU280,O296)</f>
        <v>0</v>
      </c>
      <c r="Q296" s="13"/>
      <c r="R296" s="13"/>
      <c r="S296" s="13"/>
      <c r="T296" s="13"/>
      <c r="U296" s="13"/>
      <c r="V296" s="13"/>
      <c r="W296" s="13">
        <v>0</v>
      </c>
      <c r="X296" s="13">
        <v>1</v>
      </c>
      <c r="Y296" s="13">
        <v>0</v>
      </c>
      <c r="Z296" s="13">
        <v>0</v>
      </c>
      <c r="AA296" s="13">
        <v>1</v>
      </c>
      <c r="AB296" s="13">
        <v>0</v>
      </c>
    </row>
    <row r="297" spans="1:28" ht="13" x14ac:dyDescent="0.3">
      <c r="A297" s="13">
        <v>50</v>
      </c>
      <c r="B297" s="13">
        <v>0</v>
      </c>
      <c r="C297" s="13">
        <v>0</v>
      </c>
      <c r="D297" s="13">
        <v>1</v>
      </c>
      <c r="E297" s="13">
        <v>214</v>
      </c>
      <c r="F297" s="13">
        <f>ROUND(Source!AS280,O297)</f>
        <v>0</v>
      </c>
      <c r="G297" s="13" t="s">
        <v>122</v>
      </c>
      <c r="H297" s="13" t="s">
        <v>123</v>
      </c>
      <c r="I297" s="13"/>
      <c r="J297" s="13"/>
      <c r="K297" s="13">
        <v>214</v>
      </c>
      <c r="L297" s="13">
        <v>16</v>
      </c>
      <c r="M297" s="13">
        <v>3</v>
      </c>
      <c r="N297" s="13" t="s">
        <v>3</v>
      </c>
      <c r="O297" s="13">
        <v>2</v>
      </c>
      <c r="P297" s="13">
        <f>ROUND(Source!EK280,O297)</f>
        <v>0</v>
      </c>
      <c r="Q297" s="13"/>
      <c r="R297" s="13"/>
      <c r="S297" s="13"/>
      <c r="T297" s="13"/>
      <c r="U297" s="13"/>
      <c r="V297" s="13"/>
      <c r="W297" s="13">
        <v>0</v>
      </c>
      <c r="X297" s="13">
        <v>1</v>
      </c>
      <c r="Y297" s="13">
        <v>0</v>
      </c>
      <c r="Z297" s="13">
        <v>0</v>
      </c>
      <c r="AA297" s="13">
        <v>1</v>
      </c>
      <c r="AB297" s="13">
        <v>0</v>
      </c>
    </row>
    <row r="298" spans="1:28" ht="13" x14ac:dyDescent="0.3">
      <c r="A298" s="13">
        <v>50</v>
      </c>
      <c r="B298" s="13">
        <v>0</v>
      </c>
      <c r="C298" s="13">
        <v>0</v>
      </c>
      <c r="D298" s="13">
        <v>1</v>
      </c>
      <c r="E298" s="13">
        <v>215</v>
      </c>
      <c r="F298" s="13">
        <f>ROUND(Source!AT280,O298)</f>
        <v>170919.6</v>
      </c>
      <c r="G298" s="13" t="s">
        <v>124</v>
      </c>
      <c r="H298" s="13" t="s">
        <v>125</v>
      </c>
      <c r="I298" s="13"/>
      <c r="J298" s="13"/>
      <c r="K298" s="13">
        <v>215</v>
      </c>
      <c r="L298" s="13">
        <v>17</v>
      </c>
      <c r="M298" s="13">
        <v>3</v>
      </c>
      <c r="N298" s="13" t="s">
        <v>3</v>
      </c>
      <c r="O298" s="13">
        <v>2</v>
      </c>
      <c r="P298" s="13">
        <f>ROUND(Source!EL280,O298)</f>
        <v>4260605.8499999996</v>
      </c>
      <c r="Q298" s="13"/>
      <c r="R298" s="13"/>
      <c r="S298" s="13"/>
      <c r="T298" s="13"/>
      <c r="U298" s="13"/>
      <c r="V298" s="13"/>
      <c r="W298" s="13">
        <v>170919.6</v>
      </c>
      <c r="X298" s="13">
        <v>1</v>
      </c>
      <c r="Y298" s="13">
        <v>170919.6</v>
      </c>
      <c r="Z298" s="13">
        <v>4260605.8499999996</v>
      </c>
      <c r="AA298" s="13">
        <v>1</v>
      </c>
      <c r="AB298" s="13">
        <v>4260605.8499999996</v>
      </c>
    </row>
    <row r="299" spans="1:28" ht="13" x14ac:dyDescent="0.3">
      <c r="A299" s="13">
        <v>50</v>
      </c>
      <c r="B299" s="13">
        <v>0</v>
      </c>
      <c r="C299" s="13">
        <v>0</v>
      </c>
      <c r="D299" s="13">
        <v>1</v>
      </c>
      <c r="E299" s="13">
        <v>217</v>
      </c>
      <c r="F299" s="13">
        <f>ROUND(Source!AU280,O299)</f>
        <v>0</v>
      </c>
      <c r="G299" s="13" t="s">
        <v>126</v>
      </c>
      <c r="H299" s="13" t="s">
        <v>127</v>
      </c>
      <c r="I299" s="13"/>
      <c r="J299" s="13"/>
      <c r="K299" s="13">
        <v>217</v>
      </c>
      <c r="L299" s="13">
        <v>18</v>
      </c>
      <c r="M299" s="13">
        <v>3</v>
      </c>
      <c r="N299" s="13" t="s">
        <v>3</v>
      </c>
      <c r="O299" s="13">
        <v>2</v>
      </c>
      <c r="P299" s="13">
        <f>ROUND(Source!EM280,O299)</f>
        <v>0</v>
      </c>
      <c r="Q299" s="13"/>
      <c r="R299" s="13"/>
      <c r="S299" s="13"/>
      <c r="T299" s="13"/>
      <c r="U299" s="13"/>
      <c r="V299" s="13"/>
      <c r="W299" s="13">
        <v>0</v>
      </c>
      <c r="X299" s="13">
        <v>1</v>
      </c>
      <c r="Y299" s="13">
        <v>0</v>
      </c>
      <c r="Z299" s="13">
        <v>0</v>
      </c>
      <c r="AA299" s="13">
        <v>1</v>
      </c>
      <c r="AB299" s="13">
        <v>0</v>
      </c>
    </row>
    <row r="300" spans="1:28" ht="13" x14ac:dyDescent="0.3">
      <c r="A300" s="13">
        <v>50</v>
      </c>
      <c r="B300" s="13">
        <v>0</v>
      </c>
      <c r="C300" s="13">
        <v>0</v>
      </c>
      <c r="D300" s="13">
        <v>1</v>
      </c>
      <c r="E300" s="13">
        <v>230</v>
      </c>
      <c r="F300" s="13">
        <f>ROUND(Source!BA280,O300)</f>
        <v>0</v>
      </c>
      <c r="G300" s="13" t="s">
        <v>128</v>
      </c>
      <c r="H300" s="13" t="s">
        <v>129</v>
      </c>
      <c r="I300" s="13"/>
      <c r="J300" s="13"/>
      <c r="K300" s="13">
        <v>230</v>
      </c>
      <c r="L300" s="13">
        <v>19</v>
      </c>
      <c r="M300" s="13">
        <v>3</v>
      </c>
      <c r="N300" s="13" t="s">
        <v>3</v>
      </c>
      <c r="O300" s="13">
        <v>2</v>
      </c>
      <c r="P300" s="13">
        <f>ROUND(Source!ES280,O300)</f>
        <v>0</v>
      </c>
      <c r="Q300" s="13"/>
      <c r="R300" s="13"/>
      <c r="S300" s="13"/>
      <c r="T300" s="13"/>
      <c r="U300" s="13"/>
      <c r="V300" s="13"/>
      <c r="W300" s="13">
        <v>0</v>
      </c>
      <c r="X300" s="13">
        <v>1</v>
      </c>
      <c r="Y300" s="13">
        <v>0</v>
      </c>
      <c r="Z300" s="13">
        <v>0</v>
      </c>
      <c r="AA300" s="13">
        <v>1</v>
      </c>
      <c r="AB300" s="13">
        <v>0</v>
      </c>
    </row>
    <row r="301" spans="1:28" ht="13" x14ac:dyDescent="0.3">
      <c r="A301" s="13">
        <v>50</v>
      </c>
      <c r="B301" s="13">
        <v>0</v>
      </c>
      <c r="C301" s="13">
        <v>0</v>
      </c>
      <c r="D301" s="13">
        <v>1</v>
      </c>
      <c r="E301" s="13">
        <v>206</v>
      </c>
      <c r="F301" s="13">
        <f>ROUND(Source!T280,O301)</f>
        <v>0</v>
      </c>
      <c r="G301" s="13" t="s">
        <v>130</v>
      </c>
      <c r="H301" s="13" t="s">
        <v>131</v>
      </c>
      <c r="I301" s="13"/>
      <c r="J301" s="13"/>
      <c r="K301" s="13">
        <v>206</v>
      </c>
      <c r="L301" s="13">
        <v>20</v>
      </c>
      <c r="M301" s="13">
        <v>3</v>
      </c>
      <c r="N301" s="13" t="s">
        <v>3</v>
      </c>
      <c r="O301" s="13">
        <v>2</v>
      </c>
      <c r="P301" s="13">
        <f>ROUND(Source!DL280,O301)</f>
        <v>0</v>
      </c>
      <c r="Q301" s="13"/>
      <c r="R301" s="13"/>
      <c r="S301" s="13"/>
      <c r="T301" s="13"/>
      <c r="U301" s="13"/>
      <c r="V301" s="13"/>
      <c r="W301" s="13">
        <v>0</v>
      </c>
      <c r="X301" s="13">
        <v>1</v>
      </c>
      <c r="Y301" s="13">
        <v>0</v>
      </c>
      <c r="Z301" s="13">
        <v>0</v>
      </c>
      <c r="AA301" s="13">
        <v>1</v>
      </c>
      <c r="AB301" s="13">
        <v>0</v>
      </c>
    </row>
    <row r="302" spans="1:28" ht="13" x14ac:dyDescent="0.3">
      <c r="A302" s="13">
        <v>50</v>
      </c>
      <c r="B302" s="13">
        <v>0</v>
      </c>
      <c r="C302" s="13">
        <v>0</v>
      </c>
      <c r="D302" s="13">
        <v>1</v>
      </c>
      <c r="E302" s="13">
        <v>207</v>
      </c>
      <c r="F302" s="13">
        <f>Source!U280</f>
        <v>1978.5221819999997</v>
      </c>
      <c r="G302" s="13" t="s">
        <v>132</v>
      </c>
      <c r="H302" s="13" t="s">
        <v>133</v>
      </c>
      <c r="I302" s="13"/>
      <c r="J302" s="13"/>
      <c r="K302" s="13">
        <v>207</v>
      </c>
      <c r="L302" s="13">
        <v>21</v>
      </c>
      <c r="M302" s="13">
        <v>3</v>
      </c>
      <c r="N302" s="13" t="s">
        <v>3</v>
      </c>
      <c r="O302" s="13">
        <v>-1</v>
      </c>
      <c r="P302" s="13">
        <f>Source!DM280</f>
        <v>1978.5221819999997</v>
      </c>
      <c r="Q302" s="13"/>
      <c r="R302" s="13"/>
      <c r="S302" s="13"/>
      <c r="T302" s="13"/>
      <c r="U302" s="13"/>
      <c r="V302" s="13"/>
      <c r="W302" s="13">
        <v>1978.5221819999999</v>
      </c>
      <c r="X302" s="13">
        <v>1</v>
      </c>
      <c r="Y302" s="13">
        <v>1978.5221819999999</v>
      </c>
      <c r="Z302" s="13">
        <v>1978.5221819999999</v>
      </c>
      <c r="AA302" s="13">
        <v>1</v>
      </c>
      <c r="AB302" s="13">
        <v>1978.5221819999999</v>
      </c>
    </row>
    <row r="303" spans="1:28" ht="13" x14ac:dyDescent="0.3">
      <c r="A303" s="13">
        <v>50</v>
      </c>
      <c r="B303" s="13">
        <v>0</v>
      </c>
      <c r="C303" s="13">
        <v>0</v>
      </c>
      <c r="D303" s="13">
        <v>1</v>
      </c>
      <c r="E303" s="13">
        <v>208</v>
      </c>
      <c r="F303" s="13">
        <f>Source!V280</f>
        <v>0</v>
      </c>
      <c r="G303" s="13" t="s">
        <v>134</v>
      </c>
      <c r="H303" s="13" t="s">
        <v>135</v>
      </c>
      <c r="I303" s="13"/>
      <c r="J303" s="13"/>
      <c r="K303" s="13">
        <v>208</v>
      </c>
      <c r="L303" s="13">
        <v>22</v>
      </c>
      <c r="M303" s="13">
        <v>3</v>
      </c>
      <c r="N303" s="13" t="s">
        <v>3</v>
      </c>
      <c r="O303" s="13">
        <v>-1</v>
      </c>
      <c r="P303" s="13">
        <f>Source!DN280</f>
        <v>0</v>
      </c>
      <c r="Q303" s="13"/>
      <c r="R303" s="13"/>
      <c r="S303" s="13"/>
      <c r="T303" s="13"/>
      <c r="U303" s="13"/>
      <c r="V303" s="13"/>
      <c r="W303" s="13">
        <v>0</v>
      </c>
      <c r="X303" s="13">
        <v>1</v>
      </c>
      <c r="Y303" s="13">
        <v>0</v>
      </c>
      <c r="Z303" s="13">
        <v>0</v>
      </c>
      <c r="AA303" s="13">
        <v>1</v>
      </c>
      <c r="AB303" s="13">
        <v>0</v>
      </c>
    </row>
    <row r="304" spans="1:28" ht="13" x14ac:dyDescent="0.3">
      <c r="A304" s="13">
        <v>50</v>
      </c>
      <c r="B304" s="13">
        <v>0</v>
      </c>
      <c r="C304" s="13">
        <v>0</v>
      </c>
      <c r="D304" s="13">
        <v>1</v>
      </c>
      <c r="E304" s="13">
        <v>209</v>
      </c>
      <c r="F304" s="13">
        <f>ROUND(Source!W280,O304)</f>
        <v>0</v>
      </c>
      <c r="G304" s="13" t="s">
        <v>136</v>
      </c>
      <c r="H304" s="13" t="s">
        <v>137</v>
      </c>
      <c r="I304" s="13"/>
      <c r="J304" s="13"/>
      <c r="K304" s="13">
        <v>209</v>
      </c>
      <c r="L304" s="13">
        <v>23</v>
      </c>
      <c r="M304" s="13">
        <v>3</v>
      </c>
      <c r="N304" s="13" t="s">
        <v>3</v>
      </c>
      <c r="O304" s="13">
        <v>2</v>
      </c>
      <c r="P304" s="13">
        <f>ROUND(Source!DO280,O304)</f>
        <v>0</v>
      </c>
      <c r="Q304" s="13"/>
      <c r="R304" s="13"/>
      <c r="S304" s="13"/>
      <c r="T304" s="13"/>
      <c r="U304" s="13"/>
      <c r="V304" s="13"/>
      <c r="W304" s="13">
        <v>0</v>
      </c>
      <c r="X304" s="13">
        <v>1</v>
      </c>
      <c r="Y304" s="13">
        <v>0</v>
      </c>
      <c r="Z304" s="13">
        <v>0</v>
      </c>
      <c r="AA304" s="13">
        <v>1</v>
      </c>
      <c r="AB304" s="13">
        <v>0</v>
      </c>
    </row>
    <row r="305" spans="1:255" ht="13" x14ac:dyDescent="0.3">
      <c r="A305" s="13">
        <v>50</v>
      </c>
      <c r="B305" s="13">
        <v>0</v>
      </c>
      <c r="C305" s="13">
        <v>0</v>
      </c>
      <c r="D305" s="13">
        <v>1</v>
      </c>
      <c r="E305" s="13">
        <v>233</v>
      </c>
      <c r="F305" s="13">
        <f>ROUND(Source!BD280,O305)</f>
        <v>0</v>
      </c>
      <c r="G305" s="13" t="s">
        <v>138</v>
      </c>
      <c r="H305" s="13" t="s">
        <v>139</v>
      </c>
      <c r="I305" s="13"/>
      <c r="J305" s="13"/>
      <c r="K305" s="13">
        <v>233</v>
      </c>
      <c r="L305" s="13">
        <v>24</v>
      </c>
      <c r="M305" s="13">
        <v>3</v>
      </c>
      <c r="N305" s="13" t="s">
        <v>3</v>
      </c>
      <c r="O305" s="13">
        <v>2</v>
      </c>
      <c r="P305" s="13">
        <f>ROUND(Source!EV280,O305)</f>
        <v>0</v>
      </c>
      <c r="Q305" s="13"/>
      <c r="R305" s="13"/>
      <c r="S305" s="13"/>
      <c r="T305" s="13"/>
      <c r="U305" s="13"/>
      <c r="V305" s="13"/>
      <c r="W305" s="13">
        <v>0</v>
      </c>
      <c r="X305" s="13">
        <v>1</v>
      </c>
      <c r="Y305" s="13">
        <v>0</v>
      </c>
      <c r="Z305" s="13">
        <v>0</v>
      </c>
      <c r="AA305" s="13">
        <v>1</v>
      </c>
      <c r="AB305" s="13">
        <v>0</v>
      </c>
    </row>
    <row r="306" spans="1:255" ht="13" x14ac:dyDescent="0.3">
      <c r="A306" s="13">
        <v>50</v>
      </c>
      <c r="B306" s="13">
        <v>0</v>
      </c>
      <c r="C306" s="13">
        <v>0</v>
      </c>
      <c r="D306" s="13">
        <v>1</v>
      </c>
      <c r="E306" s="13">
        <v>210</v>
      </c>
      <c r="F306" s="13">
        <f>ROUND(Source!X280,O306)</f>
        <v>21166.35</v>
      </c>
      <c r="G306" s="13" t="s">
        <v>140</v>
      </c>
      <c r="H306" s="13" t="s">
        <v>141</v>
      </c>
      <c r="I306" s="13"/>
      <c r="J306" s="13"/>
      <c r="K306" s="13">
        <v>210</v>
      </c>
      <c r="L306" s="13">
        <v>25</v>
      </c>
      <c r="M306" s="13">
        <v>3</v>
      </c>
      <c r="N306" s="13" t="s">
        <v>3</v>
      </c>
      <c r="O306" s="13">
        <v>2</v>
      </c>
      <c r="P306" s="13">
        <f>ROUND(Source!DP280,O306)</f>
        <v>1192723.99</v>
      </c>
      <c r="Q306" s="13"/>
      <c r="R306" s="13"/>
      <c r="S306" s="13"/>
      <c r="T306" s="13"/>
      <c r="U306" s="13"/>
      <c r="V306" s="13"/>
      <c r="W306" s="13">
        <v>21166.35</v>
      </c>
      <c r="X306" s="13">
        <v>1</v>
      </c>
      <c r="Y306" s="13">
        <v>21166.35</v>
      </c>
      <c r="Z306" s="13">
        <v>1192723.99</v>
      </c>
      <c r="AA306" s="13">
        <v>1</v>
      </c>
      <c r="AB306" s="13">
        <v>1192723.99</v>
      </c>
    </row>
    <row r="307" spans="1:255" ht="13" x14ac:dyDescent="0.3">
      <c r="A307" s="13">
        <v>50</v>
      </c>
      <c r="B307" s="13">
        <v>0</v>
      </c>
      <c r="C307" s="13">
        <v>0</v>
      </c>
      <c r="D307" s="13">
        <v>1</v>
      </c>
      <c r="E307" s="13">
        <v>211</v>
      </c>
      <c r="F307" s="13">
        <f>ROUND(Source!Y280,O307)</f>
        <v>10818.36</v>
      </c>
      <c r="G307" s="13" t="s">
        <v>142</v>
      </c>
      <c r="H307" s="13" t="s">
        <v>143</v>
      </c>
      <c r="I307" s="13"/>
      <c r="J307" s="13"/>
      <c r="K307" s="13">
        <v>211</v>
      </c>
      <c r="L307" s="13">
        <v>26</v>
      </c>
      <c r="M307" s="13">
        <v>3</v>
      </c>
      <c r="N307" s="13" t="s">
        <v>3</v>
      </c>
      <c r="O307" s="13">
        <v>2</v>
      </c>
      <c r="P307" s="13">
        <f>ROUND(Source!DQ280,O307)</f>
        <v>609614.48</v>
      </c>
      <c r="Q307" s="13"/>
      <c r="R307" s="13"/>
      <c r="S307" s="13"/>
      <c r="T307" s="13"/>
      <c r="U307" s="13"/>
      <c r="V307" s="13"/>
      <c r="W307" s="13">
        <v>10818.36</v>
      </c>
      <c r="X307" s="13">
        <v>1</v>
      </c>
      <c r="Y307" s="13">
        <v>10818.36</v>
      </c>
      <c r="Z307" s="13">
        <v>609614.48</v>
      </c>
      <c r="AA307" s="13">
        <v>1</v>
      </c>
      <c r="AB307" s="13">
        <v>609614.48</v>
      </c>
    </row>
    <row r="308" spans="1:255" ht="13" x14ac:dyDescent="0.3">
      <c r="A308" s="13">
        <v>50</v>
      </c>
      <c r="B308" s="13">
        <v>0</v>
      </c>
      <c r="C308" s="13">
        <v>0</v>
      </c>
      <c r="D308" s="13">
        <v>1</v>
      </c>
      <c r="E308" s="13">
        <v>224</v>
      </c>
      <c r="F308" s="13">
        <f>ROUND(Source!AR280,O308)</f>
        <v>170919.6</v>
      </c>
      <c r="G308" s="13" t="s">
        <v>144</v>
      </c>
      <c r="H308" s="13" t="s">
        <v>145</v>
      </c>
      <c r="I308" s="13"/>
      <c r="J308" s="13"/>
      <c r="K308" s="13">
        <v>224</v>
      </c>
      <c r="L308" s="13">
        <v>27</v>
      </c>
      <c r="M308" s="13">
        <v>3</v>
      </c>
      <c r="N308" s="13" t="s">
        <v>3</v>
      </c>
      <c r="O308" s="13">
        <v>2</v>
      </c>
      <c r="P308" s="13">
        <f>ROUND(Source!EJ280,O308)</f>
        <v>4260605.8499999996</v>
      </c>
      <c r="Q308" s="13"/>
      <c r="R308" s="13"/>
      <c r="S308" s="13"/>
      <c r="T308" s="13"/>
      <c r="U308" s="13"/>
      <c r="V308" s="13"/>
      <c r="W308" s="13">
        <v>170919.6</v>
      </c>
      <c r="X308" s="13">
        <v>1</v>
      </c>
      <c r="Y308" s="13">
        <v>170919.6</v>
      </c>
      <c r="Z308" s="13">
        <v>4260605.8499999996</v>
      </c>
      <c r="AA308" s="13">
        <v>1</v>
      </c>
      <c r="AB308" s="13">
        <v>4260605.8499999996</v>
      </c>
    </row>
    <row r="310" spans="1:255" ht="13" x14ac:dyDescent="0.3">
      <c r="A310" s="10">
        <v>4</v>
      </c>
      <c r="B310" s="10">
        <v>1</v>
      </c>
      <c r="C310" s="10"/>
      <c r="D310" s="10">
        <f>ROW(A329)</f>
        <v>329</v>
      </c>
      <c r="E310" s="10"/>
      <c r="F310" s="10" t="s">
        <v>43</v>
      </c>
      <c r="G310" s="10" t="s">
        <v>338</v>
      </c>
      <c r="H310" s="10" t="s">
        <v>3</v>
      </c>
      <c r="I310" s="10">
        <v>0</v>
      </c>
      <c r="J310" s="10"/>
      <c r="K310" s="10">
        <v>-1</v>
      </c>
      <c r="L310" s="10"/>
      <c r="M310" s="10" t="s">
        <v>3</v>
      </c>
      <c r="N310" s="10"/>
      <c r="O310" s="10"/>
      <c r="P310" s="10"/>
      <c r="Q310" s="10"/>
      <c r="R310" s="10"/>
      <c r="S310" s="10">
        <v>0</v>
      </c>
      <c r="T310" s="10">
        <v>0</v>
      </c>
      <c r="U310" s="10" t="s">
        <v>3</v>
      </c>
      <c r="V310" s="10">
        <v>2</v>
      </c>
      <c r="W310" s="10"/>
      <c r="X310" s="10"/>
      <c r="Y310" s="10"/>
      <c r="Z310" s="10"/>
      <c r="AA310" s="10"/>
      <c r="AB310" s="10" t="s">
        <v>3</v>
      </c>
      <c r="AC310" s="10" t="s">
        <v>3</v>
      </c>
      <c r="AD310" s="10" t="s">
        <v>3</v>
      </c>
      <c r="AE310" s="10" t="s">
        <v>3</v>
      </c>
      <c r="AF310" s="10" t="s">
        <v>3</v>
      </c>
      <c r="AG310" s="10" t="s">
        <v>3</v>
      </c>
      <c r="AH310" s="10"/>
      <c r="AI310" s="10"/>
      <c r="AJ310" s="10"/>
      <c r="AK310" s="10"/>
      <c r="AL310" s="10"/>
      <c r="AM310" s="10"/>
      <c r="AN310" s="10"/>
      <c r="AO310" s="10"/>
      <c r="AP310" s="10" t="s">
        <v>3</v>
      </c>
      <c r="AQ310" s="10" t="s">
        <v>3</v>
      </c>
      <c r="AR310" s="10" t="s">
        <v>3</v>
      </c>
      <c r="AS310" s="10"/>
      <c r="AT310" s="10"/>
      <c r="AU310" s="10"/>
      <c r="AV310" s="10"/>
      <c r="AW310" s="10"/>
      <c r="AX310" s="10"/>
      <c r="AY310" s="10"/>
      <c r="AZ310" s="10" t="s">
        <v>3</v>
      </c>
      <c r="BA310" s="10"/>
      <c r="BB310" s="10" t="s">
        <v>3</v>
      </c>
      <c r="BC310" s="10" t="s">
        <v>3</v>
      </c>
      <c r="BD310" s="10" t="s">
        <v>3</v>
      </c>
      <c r="BE310" s="10" t="s">
        <v>3</v>
      </c>
      <c r="BF310" s="10" t="s">
        <v>3</v>
      </c>
      <c r="BG310" s="10" t="s">
        <v>3</v>
      </c>
      <c r="BH310" s="10" t="s">
        <v>3</v>
      </c>
      <c r="BI310" s="10" t="s">
        <v>3</v>
      </c>
      <c r="BJ310" s="10" t="s">
        <v>3</v>
      </c>
      <c r="BK310" s="10" t="s">
        <v>3</v>
      </c>
      <c r="BL310" s="10" t="s">
        <v>3</v>
      </c>
      <c r="BM310" s="10" t="s">
        <v>3</v>
      </c>
      <c r="BN310" s="10" t="s">
        <v>3</v>
      </c>
      <c r="BO310" s="10" t="s">
        <v>3</v>
      </c>
      <c r="BP310" s="10" t="s">
        <v>3</v>
      </c>
      <c r="BQ310" s="10"/>
      <c r="BR310" s="10"/>
      <c r="BS310" s="10"/>
      <c r="BT310" s="10"/>
      <c r="BU310" s="10"/>
      <c r="BV310" s="10"/>
      <c r="BW310" s="10"/>
      <c r="BX310" s="10">
        <v>0</v>
      </c>
      <c r="BY310" s="10"/>
      <c r="BZ310" s="10"/>
      <c r="CA310" s="10"/>
      <c r="CB310" s="10"/>
      <c r="CC310" s="10"/>
      <c r="CD310" s="10"/>
      <c r="CE310" s="10"/>
      <c r="CF310" s="10"/>
      <c r="CG310" s="10"/>
      <c r="CH310" s="10"/>
      <c r="CI310" s="10"/>
      <c r="CJ310" s="10">
        <v>0</v>
      </c>
    </row>
    <row r="312" spans="1:255" ht="13" x14ac:dyDescent="0.3">
      <c r="A312" s="11">
        <v>52</v>
      </c>
      <c r="B312" s="11">
        <f t="shared" ref="B312:G312" si="256">B329</f>
        <v>1</v>
      </c>
      <c r="C312" s="11">
        <f t="shared" si="256"/>
        <v>4</v>
      </c>
      <c r="D312" s="11">
        <f t="shared" si="256"/>
        <v>310</v>
      </c>
      <c r="E312" s="11">
        <f t="shared" si="256"/>
        <v>0</v>
      </c>
      <c r="F312" s="11" t="str">
        <f t="shared" si="256"/>
        <v>4</v>
      </c>
      <c r="G312" s="11" t="str">
        <f t="shared" si="256"/>
        <v>Материалы</v>
      </c>
      <c r="H312" s="11"/>
      <c r="I312" s="11"/>
      <c r="J312" s="11"/>
      <c r="K312" s="11"/>
      <c r="L312" s="11"/>
      <c r="M312" s="11"/>
      <c r="N312" s="11"/>
      <c r="O312" s="11">
        <f t="shared" ref="O312:AT312" si="257">O329</f>
        <v>6131.89</v>
      </c>
      <c r="P312" s="11">
        <f t="shared" si="257"/>
        <v>6007.78</v>
      </c>
      <c r="Q312" s="11">
        <f t="shared" si="257"/>
        <v>63.02</v>
      </c>
      <c r="R312" s="11">
        <f t="shared" si="257"/>
        <v>3.87</v>
      </c>
      <c r="S312" s="11">
        <f t="shared" si="257"/>
        <v>61.09</v>
      </c>
      <c r="T312" s="11">
        <f t="shared" si="257"/>
        <v>0</v>
      </c>
      <c r="U312" s="11">
        <f t="shared" si="257"/>
        <v>4.8371399999999998</v>
      </c>
      <c r="V312" s="11">
        <f t="shared" si="257"/>
        <v>0</v>
      </c>
      <c r="W312" s="11">
        <f t="shared" si="257"/>
        <v>0</v>
      </c>
      <c r="X312" s="11">
        <f t="shared" si="257"/>
        <v>58.46</v>
      </c>
      <c r="Y312" s="11">
        <f t="shared" si="257"/>
        <v>29.88</v>
      </c>
      <c r="Z312" s="11">
        <f t="shared" si="257"/>
        <v>0</v>
      </c>
      <c r="AA312" s="11">
        <f t="shared" si="257"/>
        <v>0</v>
      </c>
      <c r="AB312" s="11">
        <f t="shared" si="257"/>
        <v>6131.89</v>
      </c>
      <c r="AC312" s="11">
        <f t="shared" si="257"/>
        <v>6007.78</v>
      </c>
      <c r="AD312" s="11">
        <f t="shared" si="257"/>
        <v>63.02</v>
      </c>
      <c r="AE312" s="11">
        <f t="shared" si="257"/>
        <v>3.87</v>
      </c>
      <c r="AF312" s="11">
        <f t="shared" si="257"/>
        <v>61.09</v>
      </c>
      <c r="AG312" s="11">
        <f t="shared" si="257"/>
        <v>0</v>
      </c>
      <c r="AH312" s="11">
        <f t="shared" si="257"/>
        <v>4.8371399999999998</v>
      </c>
      <c r="AI312" s="11">
        <f t="shared" si="257"/>
        <v>0</v>
      </c>
      <c r="AJ312" s="11">
        <f t="shared" si="257"/>
        <v>0</v>
      </c>
      <c r="AK312" s="11">
        <f t="shared" si="257"/>
        <v>58.46</v>
      </c>
      <c r="AL312" s="11">
        <f t="shared" si="257"/>
        <v>29.88</v>
      </c>
      <c r="AM312" s="11">
        <f t="shared" si="257"/>
        <v>0</v>
      </c>
      <c r="AN312" s="11">
        <f t="shared" si="257"/>
        <v>0</v>
      </c>
      <c r="AO312" s="11">
        <f t="shared" si="257"/>
        <v>0</v>
      </c>
      <c r="AP312" s="11">
        <f t="shared" si="257"/>
        <v>0</v>
      </c>
      <c r="AQ312" s="11">
        <f t="shared" si="257"/>
        <v>0</v>
      </c>
      <c r="AR312" s="11">
        <f t="shared" si="257"/>
        <v>6220.23</v>
      </c>
      <c r="AS312" s="11">
        <f t="shared" si="257"/>
        <v>787.63</v>
      </c>
      <c r="AT312" s="11">
        <f t="shared" si="257"/>
        <v>5432.6</v>
      </c>
      <c r="AU312" s="11">
        <f t="shared" ref="AU312:BZ312" si="258">AU329</f>
        <v>0</v>
      </c>
      <c r="AV312" s="11">
        <f t="shared" si="258"/>
        <v>6007.78</v>
      </c>
      <c r="AW312" s="11">
        <f t="shared" si="258"/>
        <v>6007.78</v>
      </c>
      <c r="AX312" s="11">
        <f t="shared" si="258"/>
        <v>0</v>
      </c>
      <c r="AY312" s="11">
        <f t="shared" si="258"/>
        <v>6007.78</v>
      </c>
      <c r="AZ312" s="11">
        <f t="shared" si="258"/>
        <v>0</v>
      </c>
      <c r="BA312" s="11">
        <f t="shared" si="258"/>
        <v>0</v>
      </c>
      <c r="BB312" s="11">
        <f t="shared" si="258"/>
        <v>0</v>
      </c>
      <c r="BC312" s="11">
        <f t="shared" si="258"/>
        <v>0</v>
      </c>
      <c r="BD312" s="11">
        <f t="shared" si="258"/>
        <v>0</v>
      </c>
      <c r="BE312" s="11">
        <f t="shared" si="258"/>
        <v>0</v>
      </c>
      <c r="BF312" s="11">
        <f t="shared" si="258"/>
        <v>0</v>
      </c>
      <c r="BG312" s="11">
        <f t="shared" si="258"/>
        <v>0</v>
      </c>
      <c r="BH312" s="11">
        <f t="shared" si="258"/>
        <v>0</v>
      </c>
      <c r="BI312" s="11">
        <f t="shared" si="258"/>
        <v>0</v>
      </c>
      <c r="BJ312" s="11">
        <f t="shared" si="258"/>
        <v>0</v>
      </c>
      <c r="BK312" s="11">
        <f t="shared" si="258"/>
        <v>0</v>
      </c>
      <c r="BL312" s="11">
        <f t="shared" si="258"/>
        <v>0</v>
      </c>
      <c r="BM312" s="11">
        <f t="shared" si="258"/>
        <v>0</v>
      </c>
      <c r="BN312" s="11">
        <f t="shared" si="258"/>
        <v>0</v>
      </c>
      <c r="BO312" s="11">
        <f t="shared" si="258"/>
        <v>0</v>
      </c>
      <c r="BP312" s="11">
        <f t="shared" si="258"/>
        <v>0</v>
      </c>
      <c r="BQ312" s="11">
        <f t="shared" si="258"/>
        <v>0</v>
      </c>
      <c r="BR312" s="11">
        <f t="shared" si="258"/>
        <v>0</v>
      </c>
      <c r="BS312" s="11">
        <f t="shared" si="258"/>
        <v>0</v>
      </c>
      <c r="BT312" s="11">
        <f t="shared" si="258"/>
        <v>0</v>
      </c>
      <c r="BU312" s="11">
        <f t="shared" si="258"/>
        <v>0</v>
      </c>
      <c r="BV312" s="11">
        <f t="shared" si="258"/>
        <v>0</v>
      </c>
      <c r="BW312" s="11">
        <f t="shared" si="258"/>
        <v>0</v>
      </c>
      <c r="BX312" s="11">
        <f t="shared" si="258"/>
        <v>0</v>
      </c>
      <c r="BY312" s="11">
        <f t="shared" si="258"/>
        <v>0</v>
      </c>
      <c r="BZ312" s="11">
        <f t="shared" si="258"/>
        <v>0</v>
      </c>
      <c r="CA312" s="11">
        <f t="shared" ref="CA312:DF312" si="259">CA329</f>
        <v>6220.23</v>
      </c>
      <c r="CB312" s="11">
        <f t="shared" si="259"/>
        <v>787.63</v>
      </c>
      <c r="CC312" s="11">
        <f t="shared" si="259"/>
        <v>5432.6</v>
      </c>
      <c r="CD312" s="11">
        <f t="shared" si="259"/>
        <v>0</v>
      </c>
      <c r="CE312" s="11">
        <f t="shared" si="259"/>
        <v>6007.78</v>
      </c>
      <c r="CF312" s="11">
        <f t="shared" si="259"/>
        <v>6007.78</v>
      </c>
      <c r="CG312" s="11">
        <f t="shared" si="259"/>
        <v>0</v>
      </c>
      <c r="CH312" s="11">
        <f t="shared" si="259"/>
        <v>6007.78</v>
      </c>
      <c r="CI312" s="11">
        <f t="shared" si="259"/>
        <v>0</v>
      </c>
      <c r="CJ312" s="11">
        <f t="shared" si="259"/>
        <v>0</v>
      </c>
      <c r="CK312" s="11">
        <f t="shared" si="259"/>
        <v>0</v>
      </c>
      <c r="CL312" s="11">
        <f t="shared" si="259"/>
        <v>0</v>
      </c>
      <c r="CM312" s="11">
        <f t="shared" si="259"/>
        <v>0</v>
      </c>
      <c r="CN312" s="11">
        <f t="shared" si="259"/>
        <v>0</v>
      </c>
      <c r="CO312" s="11">
        <f t="shared" si="259"/>
        <v>0</v>
      </c>
      <c r="CP312" s="11">
        <f t="shared" si="259"/>
        <v>0</v>
      </c>
      <c r="CQ312" s="11">
        <f t="shared" si="259"/>
        <v>0</v>
      </c>
      <c r="CR312" s="11">
        <f t="shared" si="259"/>
        <v>0</v>
      </c>
      <c r="CS312" s="11">
        <f t="shared" si="259"/>
        <v>0</v>
      </c>
      <c r="CT312" s="11">
        <f t="shared" si="259"/>
        <v>0</v>
      </c>
      <c r="CU312" s="11">
        <f t="shared" si="259"/>
        <v>0</v>
      </c>
      <c r="CV312" s="11">
        <f t="shared" si="259"/>
        <v>0</v>
      </c>
      <c r="CW312" s="11">
        <f t="shared" si="259"/>
        <v>0</v>
      </c>
      <c r="CX312" s="11">
        <f t="shared" si="259"/>
        <v>0</v>
      </c>
      <c r="CY312" s="11">
        <f t="shared" si="259"/>
        <v>0</v>
      </c>
      <c r="CZ312" s="11">
        <f t="shared" si="259"/>
        <v>0</v>
      </c>
      <c r="DA312" s="11">
        <f t="shared" si="259"/>
        <v>0</v>
      </c>
      <c r="DB312" s="11">
        <f t="shared" si="259"/>
        <v>0</v>
      </c>
      <c r="DC312" s="11">
        <f t="shared" si="259"/>
        <v>0</v>
      </c>
      <c r="DD312" s="11">
        <f t="shared" si="259"/>
        <v>0</v>
      </c>
      <c r="DE312" s="11">
        <f t="shared" si="259"/>
        <v>0</v>
      </c>
      <c r="DF312" s="11">
        <f t="shared" si="259"/>
        <v>0</v>
      </c>
      <c r="DG312" s="12">
        <f t="shared" ref="DG312:EL312" si="260">DG329</f>
        <v>40559.74</v>
      </c>
      <c r="DH312" s="12">
        <f t="shared" si="260"/>
        <v>36250.79</v>
      </c>
      <c r="DI312" s="12">
        <f t="shared" si="260"/>
        <v>866.53</v>
      </c>
      <c r="DJ312" s="12">
        <f t="shared" si="260"/>
        <v>218.07</v>
      </c>
      <c r="DK312" s="12">
        <f t="shared" si="260"/>
        <v>3442.42</v>
      </c>
      <c r="DL312" s="12">
        <f t="shared" si="260"/>
        <v>0</v>
      </c>
      <c r="DM312" s="12">
        <f t="shared" si="260"/>
        <v>4.8371399999999998</v>
      </c>
      <c r="DN312" s="12">
        <f t="shared" si="260"/>
        <v>0</v>
      </c>
      <c r="DO312" s="12">
        <f t="shared" si="260"/>
        <v>0</v>
      </c>
      <c r="DP312" s="12">
        <f t="shared" si="260"/>
        <v>3294.44</v>
      </c>
      <c r="DQ312" s="12">
        <f t="shared" si="260"/>
        <v>1683.83</v>
      </c>
      <c r="DR312" s="12">
        <f t="shared" si="260"/>
        <v>0</v>
      </c>
      <c r="DS312" s="12">
        <f t="shared" si="260"/>
        <v>0</v>
      </c>
      <c r="DT312" s="12">
        <f t="shared" si="260"/>
        <v>40559.74</v>
      </c>
      <c r="DU312" s="12">
        <f t="shared" si="260"/>
        <v>36250.79</v>
      </c>
      <c r="DV312" s="12">
        <f t="shared" si="260"/>
        <v>866.53</v>
      </c>
      <c r="DW312" s="12">
        <f t="shared" si="260"/>
        <v>218.07</v>
      </c>
      <c r="DX312" s="12">
        <f t="shared" si="260"/>
        <v>3442.42</v>
      </c>
      <c r="DY312" s="12">
        <f t="shared" si="260"/>
        <v>0</v>
      </c>
      <c r="DZ312" s="12">
        <f t="shared" si="260"/>
        <v>4.8371399999999998</v>
      </c>
      <c r="EA312" s="12">
        <f t="shared" si="260"/>
        <v>0</v>
      </c>
      <c r="EB312" s="12">
        <f t="shared" si="260"/>
        <v>0</v>
      </c>
      <c r="EC312" s="12">
        <f t="shared" si="260"/>
        <v>3294.44</v>
      </c>
      <c r="ED312" s="12">
        <f t="shared" si="260"/>
        <v>1683.83</v>
      </c>
      <c r="EE312" s="12">
        <f t="shared" si="260"/>
        <v>0</v>
      </c>
      <c r="EF312" s="12">
        <f t="shared" si="260"/>
        <v>0</v>
      </c>
      <c r="EG312" s="12">
        <f t="shared" si="260"/>
        <v>0</v>
      </c>
      <c r="EH312" s="12">
        <f t="shared" si="260"/>
        <v>0</v>
      </c>
      <c r="EI312" s="12">
        <f t="shared" si="260"/>
        <v>0</v>
      </c>
      <c r="EJ312" s="12">
        <f t="shared" si="260"/>
        <v>45538.01</v>
      </c>
      <c r="EK312" s="12">
        <f t="shared" si="260"/>
        <v>7750.27</v>
      </c>
      <c r="EL312" s="12">
        <f t="shared" si="260"/>
        <v>37787.74</v>
      </c>
      <c r="EM312" s="12">
        <f t="shared" ref="EM312:FR312" si="261">EM329</f>
        <v>0</v>
      </c>
      <c r="EN312" s="12">
        <f t="shared" si="261"/>
        <v>36250.79</v>
      </c>
      <c r="EO312" s="12">
        <f t="shared" si="261"/>
        <v>36250.79</v>
      </c>
      <c r="EP312" s="12">
        <f t="shared" si="261"/>
        <v>0</v>
      </c>
      <c r="EQ312" s="12">
        <f t="shared" si="261"/>
        <v>36250.79</v>
      </c>
      <c r="ER312" s="12">
        <f t="shared" si="261"/>
        <v>0</v>
      </c>
      <c r="ES312" s="12">
        <f t="shared" si="261"/>
        <v>0</v>
      </c>
      <c r="ET312" s="12">
        <f t="shared" si="261"/>
        <v>0</v>
      </c>
      <c r="EU312" s="12">
        <f t="shared" si="261"/>
        <v>0</v>
      </c>
      <c r="EV312" s="12">
        <f t="shared" si="261"/>
        <v>0</v>
      </c>
      <c r="EW312" s="12">
        <f t="shared" si="261"/>
        <v>0</v>
      </c>
      <c r="EX312" s="12">
        <f t="shared" si="261"/>
        <v>0</v>
      </c>
      <c r="EY312" s="12">
        <f t="shared" si="261"/>
        <v>0</v>
      </c>
      <c r="EZ312" s="12">
        <f t="shared" si="261"/>
        <v>0</v>
      </c>
      <c r="FA312" s="12">
        <f t="shared" si="261"/>
        <v>0</v>
      </c>
      <c r="FB312" s="12">
        <f t="shared" si="261"/>
        <v>0</v>
      </c>
      <c r="FC312" s="12">
        <f t="shared" si="261"/>
        <v>0</v>
      </c>
      <c r="FD312" s="12">
        <f t="shared" si="261"/>
        <v>0</v>
      </c>
      <c r="FE312" s="12">
        <f t="shared" si="261"/>
        <v>0</v>
      </c>
      <c r="FF312" s="12">
        <f t="shared" si="261"/>
        <v>0</v>
      </c>
      <c r="FG312" s="12">
        <f t="shared" si="261"/>
        <v>0</v>
      </c>
      <c r="FH312" s="12">
        <f t="shared" si="261"/>
        <v>0</v>
      </c>
      <c r="FI312" s="12">
        <f t="shared" si="261"/>
        <v>0</v>
      </c>
      <c r="FJ312" s="12">
        <f t="shared" si="261"/>
        <v>0</v>
      </c>
      <c r="FK312" s="12">
        <f t="shared" si="261"/>
        <v>0</v>
      </c>
      <c r="FL312" s="12">
        <f t="shared" si="261"/>
        <v>0</v>
      </c>
      <c r="FM312" s="12">
        <f t="shared" si="261"/>
        <v>0</v>
      </c>
      <c r="FN312" s="12">
        <f t="shared" si="261"/>
        <v>0</v>
      </c>
      <c r="FO312" s="12">
        <f t="shared" si="261"/>
        <v>0</v>
      </c>
      <c r="FP312" s="12">
        <f t="shared" si="261"/>
        <v>0</v>
      </c>
      <c r="FQ312" s="12">
        <f t="shared" si="261"/>
        <v>0</v>
      </c>
      <c r="FR312" s="12">
        <f t="shared" si="261"/>
        <v>0</v>
      </c>
      <c r="FS312" s="12">
        <f t="shared" ref="FS312:GX312" si="262">FS329</f>
        <v>45538.01</v>
      </c>
      <c r="FT312" s="12">
        <f t="shared" si="262"/>
        <v>7750.27</v>
      </c>
      <c r="FU312" s="12">
        <f t="shared" si="262"/>
        <v>37787.74</v>
      </c>
      <c r="FV312" s="12">
        <f t="shared" si="262"/>
        <v>0</v>
      </c>
      <c r="FW312" s="12">
        <f t="shared" si="262"/>
        <v>36250.79</v>
      </c>
      <c r="FX312" s="12">
        <f t="shared" si="262"/>
        <v>36250.79</v>
      </c>
      <c r="FY312" s="12">
        <f t="shared" si="262"/>
        <v>0</v>
      </c>
      <c r="FZ312" s="12">
        <f t="shared" si="262"/>
        <v>36250.79</v>
      </c>
      <c r="GA312" s="12">
        <f t="shared" si="262"/>
        <v>0</v>
      </c>
      <c r="GB312" s="12">
        <f t="shared" si="262"/>
        <v>0</v>
      </c>
      <c r="GC312" s="12">
        <f t="shared" si="262"/>
        <v>0</v>
      </c>
      <c r="GD312" s="12">
        <f t="shared" si="262"/>
        <v>0</v>
      </c>
      <c r="GE312" s="12">
        <f t="shared" si="262"/>
        <v>0</v>
      </c>
      <c r="GF312" s="12">
        <f t="shared" si="262"/>
        <v>0</v>
      </c>
      <c r="GG312" s="12">
        <f t="shared" si="262"/>
        <v>0</v>
      </c>
      <c r="GH312" s="12">
        <f t="shared" si="262"/>
        <v>0</v>
      </c>
      <c r="GI312" s="12">
        <f t="shared" si="262"/>
        <v>0</v>
      </c>
      <c r="GJ312" s="12">
        <f t="shared" si="262"/>
        <v>0</v>
      </c>
      <c r="GK312" s="12">
        <f t="shared" si="262"/>
        <v>0</v>
      </c>
      <c r="GL312" s="12">
        <f t="shared" si="262"/>
        <v>0</v>
      </c>
      <c r="GM312" s="12">
        <f t="shared" si="262"/>
        <v>0</v>
      </c>
      <c r="GN312" s="12">
        <f t="shared" si="262"/>
        <v>0</v>
      </c>
      <c r="GO312" s="12">
        <f t="shared" si="262"/>
        <v>0</v>
      </c>
      <c r="GP312" s="12">
        <f t="shared" si="262"/>
        <v>0</v>
      </c>
      <c r="GQ312" s="12">
        <f t="shared" si="262"/>
        <v>0</v>
      </c>
      <c r="GR312" s="12">
        <f t="shared" si="262"/>
        <v>0</v>
      </c>
      <c r="GS312" s="12">
        <f t="shared" si="262"/>
        <v>0</v>
      </c>
      <c r="GT312" s="12">
        <f t="shared" si="262"/>
        <v>0</v>
      </c>
      <c r="GU312" s="12">
        <f t="shared" si="262"/>
        <v>0</v>
      </c>
      <c r="GV312" s="12">
        <f t="shared" si="262"/>
        <v>0</v>
      </c>
      <c r="GW312" s="12">
        <f t="shared" si="262"/>
        <v>0</v>
      </c>
      <c r="GX312" s="12">
        <f t="shared" si="262"/>
        <v>0</v>
      </c>
    </row>
    <row r="314" spans="1:255" x14ac:dyDescent="0.25">
      <c r="A314" s="2">
        <v>17</v>
      </c>
      <c r="B314" s="2">
        <v>1</v>
      </c>
      <c r="C314" s="2">
        <f>ROW(SmtRes!A241)</f>
        <v>241</v>
      </c>
      <c r="D314" s="2">
        <f>ROW(EtalonRes!A311)</f>
        <v>311</v>
      </c>
      <c r="E314" s="2" t="s">
        <v>339</v>
      </c>
      <c r="F314" s="2" t="s">
        <v>340</v>
      </c>
      <c r="G314" s="2" t="s">
        <v>341</v>
      </c>
      <c r="H314" s="2" t="s">
        <v>27</v>
      </c>
      <c r="I314" s="2">
        <v>11</v>
      </c>
      <c r="J314" s="2">
        <v>0</v>
      </c>
      <c r="K314" s="2">
        <v>11</v>
      </c>
      <c r="L314" s="2"/>
      <c r="M314" s="2"/>
      <c r="N314" s="2"/>
      <c r="O314" s="2">
        <f t="shared" ref="O314:O327" si="263">ROUND(CP314,2)</f>
        <v>135.66</v>
      </c>
      <c r="P314" s="2">
        <f t="shared" ref="P314:P327" si="264">ROUND((ROUND((AC314*AW314*I314),2)*BC314),2)</f>
        <v>11.55</v>
      </c>
      <c r="Q314" s="2">
        <f>(ROUND((ROUND((((ET314*1.2))*AV314*I314),2)*BB314),2)+ROUND((ROUND(((AE314-((EU314*1.2)))*AV314*I314),2)*BS314),2))</f>
        <v>63.02</v>
      </c>
      <c r="R314" s="2">
        <f>(ROUND((ROUND((((EU314*1.2))*AV314*I314),2)*BS314),2)+ROUND((ROUND(((AE314-((EU314*1.2)))*AV314*I314),2)*BS314),2))</f>
        <v>3.87</v>
      </c>
      <c r="S314" s="2">
        <f t="shared" ref="S314:S327" si="265">ROUND((ROUND((AF314*AV314*I314),2)*BA314),2)</f>
        <v>61.09</v>
      </c>
      <c r="T314" s="2">
        <f t="shared" ref="T314:T327" si="266">ROUND(CU314*I314,2)</f>
        <v>0</v>
      </c>
      <c r="U314" s="2">
        <f t="shared" ref="U314:U327" si="267">CV314*I314</f>
        <v>4.8371399999999998</v>
      </c>
      <c r="V314" s="2">
        <f t="shared" ref="V314:V327" si="268">CW314*I314</f>
        <v>0</v>
      </c>
      <c r="W314" s="2">
        <f t="shared" ref="W314:W327" si="269">ROUND(CX314*I314,2)</f>
        <v>0</v>
      </c>
      <c r="X314" s="2">
        <f>(ROUND((((S314+ROUND((ROUND((((EU314*1.2))*AV314*I314),2)*BS314),2))*AT314)/100),2)+ROUND(((ROUND((ROUND(((AE314-((EU314*1.2)))*AV314*I314),2)*BS314),2)*AT314)/100),2))</f>
        <v>58.46</v>
      </c>
      <c r="Y314" s="2">
        <f>(ROUND((((S314+ROUND((ROUND((((EU314*1.2))*AV314*I314),2)*BS314),2))*AU314)/100),2)+ROUND(((ROUND((ROUND(((AE314-((EU314*1.2)))*AV314*I314),2)*BS314),2)*AU314)/100),2))</f>
        <v>29.88</v>
      </c>
      <c r="Z314" s="2"/>
      <c r="AA314" s="2">
        <v>57014138</v>
      </c>
      <c r="AB314" s="2">
        <f t="shared" ref="AB314:AB327" si="270">ROUND((AC314+AD314+AF314),6)</f>
        <v>11.826000000000001</v>
      </c>
      <c r="AC314" s="2">
        <f>ROUND(((ES314*1)),6)</f>
        <v>1.05</v>
      </c>
      <c r="AD314" s="2">
        <f>ROUND(((((ET314*1.2))-((EU314*1.2)))+AE314),6)</f>
        <v>5.4720000000000004</v>
      </c>
      <c r="AE314" s="2">
        <f>ROUND(((EU314*1.2)),6)</f>
        <v>0.33600000000000002</v>
      </c>
      <c r="AF314" s="2">
        <f>ROUND(((EV314*1.2)),6)</f>
        <v>5.3040000000000003</v>
      </c>
      <c r="AG314" s="2">
        <f t="shared" ref="AG314:AG327" si="271">ROUND((AP314),6)</f>
        <v>0</v>
      </c>
      <c r="AH314" s="2">
        <f>((EW314*1.2))</f>
        <v>0.42</v>
      </c>
      <c r="AI314" s="2">
        <f>((EX314*1.2))</f>
        <v>0</v>
      </c>
      <c r="AJ314" s="2">
        <f t="shared" ref="AJ314:AJ327" si="272">(AS314)</f>
        <v>0</v>
      </c>
      <c r="AK314" s="2">
        <v>10.029999999999999</v>
      </c>
      <c r="AL314" s="2">
        <v>1.05</v>
      </c>
      <c r="AM314" s="2">
        <v>4.5599999999999996</v>
      </c>
      <c r="AN314" s="2">
        <v>0.28000000000000003</v>
      </c>
      <c r="AO314" s="2">
        <v>4.42</v>
      </c>
      <c r="AP314" s="2">
        <v>0</v>
      </c>
      <c r="AQ314" s="2">
        <v>0.35</v>
      </c>
      <c r="AR314" s="2">
        <v>0</v>
      </c>
      <c r="AS314" s="2">
        <v>0</v>
      </c>
      <c r="AT314" s="2">
        <v>90</v>
      </c>
      <c r="AU314" s="2">
        <v>46</v>
      </c>
      <c r="AV314" s="2">
        <v>1.0469999999999999</v>
      </c>
      <c r="AW314" s="2">
        <v>1</v>
      </c>
      <c r="AX314" s="2"/>
      <c r="AY314" s="2"/>
      <c r="AZ314" s="2">
        <v>1</v>
      </c>
      <c r="BA314" s="2">
        <v>1</v>
      </c>
      <c r="BB314" s="2">
        <v>1</v>
      </c>
      <c r="BC314" s="2">
        <v>1</v>
      </c>
      <c r="BD314" s="2" t="s">
        <v>3</v>
      </c>
      <c r="BE314" s="2" t="s">
        <v>3</v>
      </c>
      <c r="BF314" s="2" t="s">
        <v>3</v>
      </c>
      <c r="BG314" s="2" t="s">
        <v>3</v>
      </c>
      <c r="BH314" s="2">
        <v>0</v>
      </c>
      <c r="BI314" s="2">
        <v>2</v>
      </c>
      <c r="BJ314" s="2" t="s">
        <v>342</v>
      </c>
      <c r="BK314" s="2"/>
      <c r="BL314" s="2"/>
      <c r="BM314" s="2">
        <v>68</v>
      </c>
      <c r="BN314" s="2">
        <v>0</v>
      </c>
      <c r="BO314" s="2" t="s">
        <v>340</v>
      </c>
      <c r="BP314" s="2">
        <v>1</v>
      </c>
      <c r="BQ314" s="2">
        <v>40</v>
      </c>
      <c r="BR314" s="2">
        <v>0</v>
      </c>
      <c r="BS314" s="2">
        <v>1</v>
      </c>
      <c r="BT314" s="2">
        <v>1</v>
      </c>
      <c r="BU314" s="2">
        <v>1</v>
      </c>
      <c r="BV314" s="2">
        <v>1</v>
      </c>
      <c r="BW314" s="2">
        <v>1</v>
      </c>
      <c r="BX314" s="2">
        <v>1</v>
      </c>
      <c r="BY314" s="2" t="s">
        <v>3</v>
      </c>
      <c r="BZ314" s="2">
        <v>90</v>
      </c>
      <c r="CA314" s="2">
        <v>46</v>
      </c>
      <c r="CB314" s="2" t="s">
        <v>3</v>
      </c>
      <c r="CC314" s="2"/>
      <c r="CD314" s="2"/>
      <c r="CE314" s="2">
        <v>1566</v>
      </c>
      <c r="CF314" s="2">
        <v>0</v>
      </c>
      <c r="CG314" s="2">
        <v>0</v>
      </c>
      <c r="CH314" s="2"/>
      <c r="CI314" s="2"/>
      <c r="CJ314" s="2"/>
      <c r="CK314" s="2"/>
      <c r="CL314" s="2"/>
      <c r="CM314" s="2">
        <v>0</v>
      </c>
      <c r="CN314" s="2" t="s">
        <v>624</v>
      </c>
      <c r="CO314" s="2">
        <v>0</v>
      </c>
      <c r="CP314" s="2">
        <f t="shared" ref="CP314:CP327" si="273">(P314+Q314+S314)</f>
        <v>135.66000000000003</v>
      </c>
      <c r="CQ314" s="2">
        <f t="shared" ref="CQ314:CQ327" si="274">ROUND((ROUND((AC314*AW314*1),2)*BC314),2)</f>
        <v>1.05</v>
      </c>
      <c r="CR314" s="2">
        <f>(ROUND((ROUND((((ET314*1.2))*AV314*1),2)*BB314),2)+ROUND((ROUND(((AE314-((EU314*1.2)))*AV314*1),2)*BS314),2))</f>
        <v>5.73</v>
      </c>
      <c r="CS314" s="2">
        <f>(ROUND((ROUND((((EU314*1.2))*AV314*1),2)*BS314),2)+ROUND((ROUND(((AE314-((EU314*1.2)))*AV314*1),2)*BS314),2))</f>
        <v>0.35</v>
      </c>
      <c r="CT314" s="2">
        <f t="shared" ref="CT314:CT327" si="275">ROUND((ROUND((AF314*AV314*1),2)*BA314),2)</f>
        <v>5.55</v>
      </c>
      <c r="CU314" s="2">
        <f t="shared" ref="CU314:CU327" si="276">AG314</f>
        <v>0</v>
      </c>
      <c r="CV314" s="2">
        <f t="shared" ref="CV314:CV327" si="277">(AH314*AV314)</f>
        <v>0.43973999999999996</v>
      </c>
      <c r="CW314" s="2">
        <f t="shared" ref="CW314:CW327" si="278">AI314</f>
        <v>0</v>
      </c>
      <c r="CX314" s="2">
        <f t="shared" ref="CX314:CX327" si="279">AJ314</f>
        <v>0</v>
      </c>
      <c r="CY314" s="2">
        <f>(ROUND((((S314+ROUND((ROUND((((EU314*1.2))*AV314*1),2)*BS314),2))*AT314)/100),2)+ROUND(((ROUND((ROUND(((AE314-((EU314*1.2)))*AV314*1),2)*BS314),2)*AT314)/100),2))</f>
        <v>55.3</v>
      </c>
      <c r="CZ314" s="2">
        <f>(ROUND((((S314+ROUND((ROUND((((EU314*1.2))*AV314*1),2)*BS314),2))*AU314)/100),2)+ROUND(((ROUND((ROUND(((AE314-((EU314*1.2)))*AV314*1),2)*BS314),2)*AU314)/100),2))</f>
        <v>28.26</v>
      </c>
      <c r="DA314" s="2"/>
      <c r="DB314" s="2">
        <v>95</v>
      </c>
      <c r="DC314" s="2" t="s">
        <v>3</v>
      </c>
      <c r="DD314" s="2" t="s">
        <v>70</v>
      </c>
      <c r="DE314" s="2" t="s">
        <v>71</v>
      </c>
      <c r="DF314" s="2" t="s">
        <v>71</v>
      </c>
      <c r="DG314" s="2" t="s">
        <v>71</v>
      </c>
      <c r="DH314" s="2" t="s">
        <v>3</v>
      </c>
      <c r="DI314" s="2" t="s">
        <v>71</v>
      </c>
      <c r="DJ314" s="2" t="s">
        <v>71</v>
      </c>
      <c r="DK314" s="2" t="s">
        <v>3</v>
      </c>
      <c r="DL314" s="2" t="s">
        <v>3</v>
      </c>
      <c r="DM314" s="2" t="s">
        <v>3</v>
      </c>
      <c r="DN314" s="2">
        <v>0</v>
      </c>
      <c r="DO314" s="2">
        <v>0</v>
      </c>
      <c r="DP314" s="2">
        <v>1</v>
      </c>
      <c r="DQ314" s="2">
        <v>1</v>
      </c>
      <c r="DR314" s="2"/>
      <c r="DS314" s="2"/>
      <c r="DT314" s="2"/>
      <c r="DU314" s="2">
        <v>1013</v>
      </c>
      <c r="DV314" s="2" t="s">
        <v>27</v>
      </c>
      <c r="DW314" s="2" t="s">
        <v>27</v>
      </c>
      <c r="DX314" s="2">
        <v>1</v>
      </c>
      <c r="DY314" s="2"/>
      <c r="DZ314" s="2" t="s">
        <v>3</v>
      </c>
      <c r="EA314" s="2" t="s">
        <v>3</v>
      </c>
      <c r="EB314" s="2" t="s">
        <v>3</v>
      </c>
      <c r="EC314" s="2" t="s">
        <v>3</v>
      </c>
      <c r="ED314" s="2"/>
      <c r="EE314" s="2">
        <v>57042958</v>
      </c>
      <c r="EF314" s="2">
        <v>40</v>
      </c>
      <c r="EG314" s="2" t="s">
        <v>31</v>
      </c>
      <c r="EH314" s="2">
        <v>0</v>
      </c>
      <c r="EI314" s="2" t="s">
        <v>3</v>
      </c>
      <c r="EJ314" s="2">
        <v>2</v>
      </c>
      <c r="EK314" s="2">
        <v>68</v>
      </c>
      <c r="EL314" s="2" t="s">
        <v>32</v>
      </c>
      <c r="EM314" s="2" t="s">
        <v>33</v>
      </c>
      <c r="EN314" s="2"/>
      <c r="EO314" s="2" t="s">
        <v>75</v>
      </c>
      <c r="EP314" s="2"/>
      <c r="EQ314" s="2">
        <v>0</v>
      </c>
      <c r="ER314" s="2">
        <v>10.029999999999999</v>
      </c>
      <c r="ES314" s="2">
        <v>1.05</v>
      </c>
      <c r="ET314" s="2">
        <v>4.5599999999999996</v>
      </c>
      <c r="EU314" s="2">
        <v>0.28000000000000003</v>
      </c>
      <c r="EV314" s="2">
        <v>4.42</v>
      </c>
      <c r="EW314" s="2">
        <v>0.35</v>
      </c>
      <c r="EX314" s="2">
        <v>0</v>
      </c>
      <c r="EY314" s="2">
        <v>0</v>
      </c>
      <c r="EZ314" s="2"/>
      <c r="FA314" s="2"/>
      <c r="FB314" s="2"/>
      <c r="FC314" s="2"/>
      <c r="FD314" s="2"/>
      <c r="FE314" s="2"/>
      <c r="FF314" s="2"/>
      <c r="FG314" s="2"/>
      <c r="FH314" s="2"/>
      <c r="FI314" s="2"/>
      <c r="FJ314" s="2"/>
      <c r="FK314" s="2"/>
      <c r="FL314" s="2"/>
      <c r="FM314" s="2"/>
      <c r="FN314" s="2"/>
      <c r="FO314" s="2"/>
      <c r="FP314" s="2"/>
      <c r="FQ314" s="2">
        <v>0</v>
      </c>
      <c r="FR314" s="2">
        <v>0</v>
      </c>
      <c r="FS314" s="2">
        <v>0</v>
      </c>
      <c r="FT314" s="2"/>
      <c r="FU314" s="2"/>
      <c r="FV314" s="2"/>
      <c r="FW314" s="2"/>
      <c r="FX314" s="2">
        <v>90</v>
      </c>
      <c r="FY314" s="2">
        <v>46</v>
      </c>
      <c r="FZ314" s="2"/>
      <c r="GA314" s="2" t="s">
        <v>3</v>
      </c>
      <c r="GB314" s="2"/>
      <c r="GC314" s="2"/>
      <c r="GD314" s="2">
        <v>1</v>
      </c>
      <c r="GE314" s="2"/>
      <c r="GF314" s="2">
        <v>818804166</v>
      </c>
      <c r="GG314" s="2">
        <v>2</v>
      </c>
      <c r="GH314" s="2">
        <v>1</v>
      </c>
      <c r="GI314" s="2">
        <v>2</v>
      </c>
      <c r="GJ314" s="2">
        <v>0</v>
      </c>
      <c r="GK314" s="2">
        <v>0</v>
      </c>
      <c r="GL314" s="2">
        <f t="shared" ref="GL314:GL327" si="280">ROUND(IF(AND(BH314=3,BI314=3,FS314&lt;&gt;0),P314,0),2)</f>
        <v>0</v>
      </c>
      <c r="GM314" s="2">
        <f t="shared" ref="GM314:GM327" si="281">ROUND(O314+X314+Y314,2)+GX314</f>
        <v>224</v>
      </c>
      <c r="GN314" s="2">
        <f t="shared" ref="GN314:GN327" si="282">IF(OR(BI314=0,BI314=1),GM314-GX314,0)</f>
        <v>0</v>
      </c>
      <c r="GO314" s="2">
        <f t="shared" ref="GO314:GO327" si="283">IF(BI314=2,GM314-GX314,0)</f>
        <v>224</v>
      </c>
      <c r="GP314" s="2">
        <f t="shared" ref="GP314:GP327" si="284">IF(BI314=4,GM314-GX314,0)</f>
        <v>0</v>
      </c>
      <c r="GQ314" s="2"/>
      <c r="GR314" s="2">
        <v>0</v>
      </c>
      <c r="GS314" s="2">
        <v>3</v>
      </c>
      <c r="GT314" s="2">
        <v>0</v>
      </c>
      <c r="GU314" s="2" t="s">
        <v>3</v>
      </c>
      <c r="GV314" s="2">
        <f t="shared" ref="GV314:GV327" si="285">ROUND((GT314),6)</f>
        <v>0</v>
      </c>
      <c r="GW314" s="2">
        <v>1</v>
      </c>
      <c r="GX314" s="2">
        <f t="shared" ref="GX314:GX327" si="286">ROUND(HC314*I314,2)</f>
        <v>0</v>
      </c>
      <c r="GY314" s="2"/>
      <c r="GZ314" s="2"/>
      <c r="HA314" s="2">
        <v>0</v>
      </c>
      <c r="HB314" s="2">
        <v>0</v>
      </c>
      <c r="HC314" s="2">
        <f t="shared" ref="HC314:HC327" si="287">GV314*GW314</f>
        <v>0</v>
      </c>
      <c r="HD314" s="2"/>
      <c r="HE314" s="2" t="s">
        <v>3</v>
      </c>
      <c r="HF314" s="2" t="s">
        <v>3</v>
      </c>
      <c r="HG314" s="2"/>
      <c r="HH314" s="2"/>
      <c r="HI314" s="2"/>
      <c r="HJ314" s="2"/>
      <c r="HK314" s="2"/>
      <c r="HL314" s="2"/>
      <c r="HM314" s="2" t="s">
        <v>3</v>
      </c>
      <c r="HN314" s="2" t="s">
        <v>3</v>
      </c>
      <c r="HO314" s="2" t="s">
        <v>3</v>
      </c>
      <c r="HP314" s="2" t="s">
        <v>3</v>
      </c>
      <c r="HQ314" s="2" t="s">
        <v>3</v>
      </c>
      <c r="HR314" s="2"/>
      <c r="HS314" s="2">
        <v>0</v>
      </c>
      <c r="HT314" s="2"/>
      <c r="HU314" s="2"/>
      <c r="HV314" s="2"/>
      <c r="HW314" s="2"/>
      <c r="HX314" s="2"/>
      <c r="HY314" s="2"/>
      <c r="HZ314" s="2"/>
      <c r="IA314" s="2"/>
      <c r="IB314" s="2"/>
      <c r="IC314" s="2"/>
      <c r="ID314" s="2"/>
      <c r="IE314" s="2"/>
      <c r="IF314" s="2"/>
      <c r="IG314" s="2"/>
      <c r="IH314" s="2"/>
      <c r="II314" s="2"/>
      <c r="IJ314" s="2"/>
      <c r="IK314" s="2">
        <v>0</v>
      </c>
      <c r="IL314" s="2"/>
      <c r="IM314" s="2"/>
      <c r="IN314" s="2"/>
      <c r="IO314" s="2"/>
      <c r="IP314" s="2"/>
      <c r="IQ314" s="2"/>
      <c r="IR314" s="2"/>
      <c r="IS314" s="2"/>
      <c r="IT314" s="2"/>
      <c r="IU314" s="2"/>
    </row>
    <row r="315" spans="1:255" x14ac:dyDescent="0.25">
      <c r="A315" s="3">
        <v>17</v>
      </c>
      <c r="B315" s="3">
        <v>1</v>
      </c>
      <c r="C315" s="3">
        <f>ROW(SmtRes!A242)</f>
        <v>242</v>
      </c>
      <c r="D315" s="3">
        <f>ROW(EtalonRes!A312)</f>
        <v>312</v>
      </c>
      <c r="E315" s="3" t="s">
        <v>339</v>
      </c>
      <c r="F315" s="3" t="s">
        <v>340</v>
      </c>
      <c r="G315" s="3" t="s">
        <v>341</v>
      </c>
      <c r="H315" s="3" t="s">
        <v>27</v>
      </c>
      <c r="I315" s="3">
        <v>11</v>
      </c>
      <c r="J315" s="3">
        <v>0</v>
      </c>
      <c r="K315" s="3">
        <v>11</v>
      </c>
      <c r="O315" s="3">
        <f t="shared" si="263"/>
        <v>4422.6000000000004</v>
      </c>
      <c r="P315" s="3">
        <f t="shared" si="264"/>
        <v>113.65</v>
      </c>
      <c r="Q315" s="3">
        <f>(ROUND((ROUND((((ET315*1.2))*AV315*I315),2)*BB315),2)+ROUND((ROUND(((AE315-((EU315*1.2)))*AV315*I315),2)*BS315),2))</f>
        <v>866.53</v>
      </c>
      <c r="R315" s="3">
        <f>(ROUND((ROUND((((EU315*1.2))*AV315*I315),2)*BS315),2)+ROUND((ROUND(((AE315-((EU315*1.2)))*AV315*I315),2)*BS315),2))</f>
        <v>218.07</v>
      </c>
      <c r="S315" s="3">
        <f t="shared" si="265"/>
        <v>3442.42</v>
      </c>
      <c r="T315" s="3">
        <f t="shared" si="266"/>
        <v>0</v>
      </c>
      <c r="U315" s="3">
        <f t="shared" si="267"/>
        <v>4.8371399999999998</v>
      </c>
      <c r="V315" s="3">
        <f t="shared" si="268"/>
        <v>0</v>
      </c>
      <c r="W315" s="3">
        <f t="shared" si="269"/>
        <v>0</v>
      </c>
      <c r="X315" s="3">
        <f>(ROUND((((S315+ROUND((ROUND((((EU315*1.2))*AV315*I315),2)*BS315),2))*AT315)/100),2)+ROUND(((ROUND((ROUND(((AE315-((EU315*1.2)))*AV315*I315),2)*BS315),2)*AT315)/100),2))</f>
        <v>3294.44</v>
      </c>
      <c r="Y315" s="3">
        <f>(ROUND((((S315+ROUND((ROUND((((EU315*1.2))*AV315*I315),2)*BS315),2))*AU315)/100),2)+ROUND(((ROUND((ROUND(((AE315-((EU315*1.2)))*AV315*I315),2)*BS315),2)*AU315)/100),2))</f>
        <v>1683.83</v>
      </c>
      <c r="AA315" s="3">
        <v>57014140</v>
      </c>
      <c r="AB315" s="3">
        <f t="shared" si="270"/>
        <v>11.826000000000001</v>
      </c>
      <c r="AC315" s="3">
        <f>ROUND(((ES315*1)),6)</f>
        <v>1.05</v>
      </c>
      <c r="AD315" s="3">
        <f>ROUND(((((ET315*1.2))-((EU315*1.2)))+AE315),6)</f>
        <v>5.4720000000000004</v>
      </c>
      <c r="AE315" s="3">
        <f>ROUND(((EU315*1.2)),6)</f>
        <v>0.33600000000000002</v>
      </c>
      <c r="AF315" s="3">
        <f>ROUND(((EV315*1.2)),6)</f>
        <v>5.3040000000000003</v>
      </c>
      <c r="AG315" s="3">
        <f t="shared" si="271"/>
        <v>0</v>
      </c>
      <c r="AH315" s="3">
        <f>((EW315*1.2))</f>
        <v>0.42</v>
      </c>
      <c r="AI315" s="3">
        <f>((EX315*1.2))</f>
        <v>0</v>
      </c>
      <c r="AJ315" s="3">
        <f t="shared" si="272"/>
        <v>0</v>
      </c>
      <c r="AK315" s="3">
        <v>10.029999999999999</v>
      </c>
      <c r="AL315" s="3">
        <v>1.05</v>
      </c>
      <c r="AM315" s="3">
        <v>4.5599999999999996</v>
      </c>
      <c r="AN315" s="3">
        <v>0.28000000000000003</v>
      </c>
      <c r="AO315" s="3">
        <v>4.42</v>
      </c>
      <c r="AP315" s="3">
        <v>0</v>
      </c>
      <c r="AQ315" s="3">
        <v>0.35</v>
      </c>
      <c r="AR315" s="3">
        <v>0</v>
      </c>
      <c r="AS315" s="3">
        <v>0</v>
      </c>
      <c r="AT315" s="3">
        <v>90</v>
      </c>
      <c r="AU315" s="3">
        <v>46</v>
      </c>
      <c r="AV315" s="3">
        <v>1.0469999999999999</v>
      </c>
      <c r="AW315" s="3">
        <v>1</v>
      </c>
      <c r="AZ315" s="3">
        <v>1</v>
      </c>
      <c r="BA315" s="3">
        <v>56.35</v>
      </c>
      <c r="BB315" s="3">
        <v>13.75</v>
      </c>
      <c r="BC315" s="3">
        <v>9.84</v>
      </c>
      <c r="BD315" s="3" t="s">
        <v>3</v>
      </c>
      <c r="BE315" s="3" t="s">
        <v>3</v>
      </c>
      <c r="BF315" s="3" t="s">
        <v>3</v>
      </c>
      <c r="BG315" s="3" t="s">
        <v>3</v>
      </c>
      <c r="BH315" s="3">
        <v>0</v>
      </c>
      <c r="BI315" s="3">
        <v>2</v>
      </c>
      <c r="BJ315" s="3" t="s">
        <v>342</v>
      </c>
      <c r="BM315" s="3">
        <v>68</v>
      </c>
      <c r="BN315" s="3">
        <v>0</v>
      </c>
      <c r="BO315" s="3" t="s">
        <v>340</v>
      </c>
      <c r="BP315" s="3">
        <v>1</v>
      </c>
      <c r="BQ315" s="3">
        <v>40</v>
      </c>
      <c r="BR315" s="3">
        <v>0</v>
      </c>
      <c r="BS315" s="3">
        <v>56.35</v>
      </c>
      <c r="BT315" s="3">
        <v>1</v>
      </c>
      <c r="BU315" s="3">
        <v>1</v>
      </c>
      <c r="BV315" s="3">
        <v>1</v>
      </c>
      <c r="BW315" s="3">
        <v>1</v>
      </c>
      <c r="BX315" s="3">
        <v>1</v>
      </c>
      <c r="BY315" s="3" t="s">
        <v>3</v>
      </c>
      <c r="BZ315" s="3">
        <v>90</v>
      </c>
      <c r="CA315" s="3">
        <v>46</v>
      </c>
      <c r="CB315" s="3" t="s">
        <v>3</v>
      </c>
      <c r="CE315" s="3">
        <v>1566</v>
      </c>
      <c r="CF315" s="3">
        <v>0</v>
      </c>
      <c r="CG315" s="3">
        <v>0</v>
      </c>
      <c r="CM315" s="3">
        <v>0</v>
      </c>
      <c r="CN315" s="3" t="s">
        <v>624</v>
      </c>
      <c r="CO315" s="3">
        <v>0</v>
      </c>
      <c r="CP315" s="3">
        <f t="shared" si="273"/>
        <v>4422.6000000000004</v>
      </c>
      <c r="CQ315" s="3">
        <f t="shared" si="274"/>
        <v>10.33</v>
      </c>
      <c r="CR315" s="3">
        <f>(ROUND((ROUND((((ET315*1.2))*AV315*1),2)*BB315),2)+ROUND((ROUND(((AE315-((EU315*1.2)))*AV315*1),2)*BS315),2))</f>
        <v>78.790000000000006</v>
      </c>
      <c r="CS315" s="3">
        <f>(ROUND((ROUND((((EU315*1.2))*AV315*1),2)*BS315),2)+ROUND((ROUND(((AE315-((EU315*1.2)))*AV315*1),2)*BS315),2))</f>
        <v>19.72</v>
      </c>
      <c r="CT315" s="3">
        <f t="shared" si="275"/>
        <v>312.74</v>
      </c>
      <c r="CU315" s="3">
        <f t="shared" si="276"/>
        <v>0</v>
      </c>
      <c r="CV315" s="3">
        <f t="shared" si="277"/>
        <v>0.43973999999999996</v>
      </c>
      <c r="CW315" s="3">
        <f t="shared" si="278"/>
        <v>0</v>
      </c>
      <c r="CX315" s="3">
        <f t="shared" si="279"/>
        <v>0</v>
      </c>
      <c r="CY315" s="3">
        <f>(ROUND((((S315+ROUND((ROUND((((EU315*1.2))*AV315*1),2)*BS315),2))*AT315)/100),2)+ROUND(((ROUND((ROUND(((AE315-((EU315*1.2)))*AV315*1),2)*BS315),2)*AT315)/100),2))</f>
        <v>3115.93</v>
      </c>
      <c r="CZ315" s="3">
        <f>(ROUND((((S315+ROUND((ROUND((((EU315*1.2))*AV315*1),2)*BS315),2))*AU315)/100),2)+ROUND(((ROUND((ROUND(((AE315-((EU315*1.2)))*AV315*1),2)*BS315),2)*AU315)/100),2))</f>
        <v>1592.58</v>
      </c>
      <c r="DB315" s="3">
        <v>96</v>
      </c>
      <c r="DC315" s="3" t="s">
        <v>3</v>
      </c>
      <c r="DD315" s="3" t="s">
        <v>70</v>
      </c>
      <c r="DE315" s="3" t="s">
        <v>71</v>
      </c>
      <c r="DF315" s="3" t="s">
        <v>71</v>
      </c>
      <c r="DG315" s="3" t="s">
        <v>71</v>
      </c>
      <c r="DH315" s="3" t="s">
        <v>3</v>
      </c>
      <c r="DI315" s="3" t="s">
        <v>71</v>
      </c>
      <c r="DJ315" s="3" t="s">
        <v>71</v>
      </c>
      <c r="DK315" s="3" t="s">
        <v>3</v>
      </c>
      <c r="DL315" s="3" t="s">
        <v>3</v>
      </c>
      <c r="DM315" s="3" t="s">
        <v>3</v>
      </c>
      <c r="DN315" s="3">
        <v>0</v>
      </c>
      <c r="DO315" s="3">
        <v>0</v>
      </c>
      <c r="DP315" s="3">
        <v>1</v>
      </c>
      <c r="DQ315" s="3">
        <v>1</v>
      </c>
      <c r="DU315" s="3">
        <v>1013</v>
      </c>
      <c r="DV315" s="3" t="s">
        <v>27</v>
      </c>
      <c r="DW315" s="3" t="s">
        <v>27</v>
      </c>
      <c r="DX315" s="3">
        <v>1</v>
      </c>
      <c r="DZ315" s="3" t="s">
        <v>3</v>
      </c>
      <c r="EA315" s="3" t="s">
        <v>3</v>
      </c>
      <c r="EB315" s="3" t="s">
        <v>3</v>
      </c>
      <c r="EC315" s="3" t="s">
        <v>3</v>
      </c>
      <c r="EE315" s="3">
        <v>57042958</v>
      </c>
      <c r="EF315" s="3">
        <v>40</v>
      </c>
      <c r="EG315" s="3" t="s">
        <v>31</v>
      </c>
      <c r="EH315" s="3">
        <v>0</v>
      </c>
      <c r="EI315" s="3" t="s">
        <v>3</v>
      </c>
      <c r="EJ315" s="3">
        <v>2</v>
      </c>
      <c r="EK315" s="3">
        <v>68</v>
      </c>
      <c r="EL315" s="3" t="s">
        <v>32</v>
      </c>
      <c r="EM315" s="3" t="s">
        <v>33</v>
      </c>
      <c r="EO315" s="3" t="s">
        <v>75</v>
      </c>
      <c r="EQ315" s="3">
        <v>0</v>
      </c>
      <c r="ER315" s="3">
        <v>10.029999999999999</v>
      </c>
      <c r="ES315" s="3">
        <v>1.05</v>
      </c>
      <c r="ET315" s="3">
        <v>4.5599999999999996</v>
      </c>
      <c r="EU315" s="3">
        <v>0.28000000000000003</v>
      </c>
      <c r="EV315" s="3">
        <v>4.42</v>
      </c>
      <c r="EW315" s="3">
        <v>0.35</v>
      </c>
      <c r="EX315" s="3">
        <v>0</v>
      </c>
      <c r="EY315" s="3">
        <v>0</v>
      </c>
      <c r="FQ315" s="3">
        <v>0</v>
      </c>
      <c r="FR315" s="3">
        <v>0</v>
      </c>
      <c r="FS315" s="3">
        <v>0</v>
      </c>
      <c r="FX315" s="3">
        <v>90</v>
      </c>
      <c r="FY315" s="3">
        <v>46</v>
      </c>
      <c r="GA315" s="3" t="s">
        <v>3</v>
      </c>
      <c r="GD315" s="3">
        <v>1</v>
      </c>
      <c r="GF315" s="3">
        <v>818804166</v>
      </c>
      <c r="GG315" s="3">
        <v>2</v>
      </c>
      <c r="GH315" s="3">
        <v>1</v>
      </c>
      <c r="GI315" s="3">
        <v>2</v>
      </c>
      <c r="GJ315" s="3">
        <v>0</v>
      </c>
      <c r="GK315" s="3">
        <v>0</v>
      </c>
      <c r="GL315" s="3">
        <f t="shared" si="280"/>
        <v>0</v>
      </c>
      <c r="GM315" s="3">
        <f t="shared" si="281"/>
        <v>9400.8700000000008</v>
      </c>
      <c r="GN315" s="3">
        <f t="shared" si="282"/>
        <v>0</v>
      </c>
      <c r="GO315" s="3">
        <f t="shared" si="283"/>
        <v>9400.8700000000008</v>
      </c>
      <c r="GP315" s="3">
        <f t="shared" si="284"/>
        <v>0</v>
      </c>
      <c r="GR315" s="3">
        <v>0</v>
      </c>
      <c r="GS315" s="3">
        <v>3</v>
      </c>
      <c r="GT315" s="3">
        <v>0</v>
      </c>
      <c r="GU315" s="3" t="s">
        <v>3</v>
      </c>
      <c r="GV315" s="3">
        <f t="shared" si="285"/>
        <v>0</v>
      </c>
      <c r="GW315" s="3">
        <v>1</v>
      </c>
      <c r="GX315" s="3">
        <f t="shared" si="286"/>
        <v>0</v>
      </c>
      <c r="HA315" s="3">
        <v>0</v>
      </c>
      <c r="HB315" s="3">
        <v>0</v>
      </c>
      <c r="HC315" s="3">
        <f t="shared" si="287"/>
        <v>0</v>
      </c>
      <c r="HE315" s="3" t="s">
        <v>3</v>
      </c>
      <c r="HF315" s="3" t="s">
        <v>3</v>
      </c>
      <c r="HM315" s="3" t="s">
        <v>3</v>
      </c>
      <c r="HN315" s="3" t="s">
        <v>3</v>
      </c>
      <c r="HO315" s="3" t="s">
        <v>3</v>
      </c>
      <c r="HP315" s="3" t="s">
        <v>3</v>
      </c>
      <c r="HQ315" s="3" t="s">
        <v>3</v>
      </c>
      <c r="HS315" s="3">
        <v>0</v>
      </c>
      <c r="IK315" s="3">
        <v>0</v>
      </c>
    </row>
    <row r="316" spans="1:255" x14ac:dyDescent="0.25">
      <c r="A316" s="2">
        <v>17</v>
      </c>
      <c r="B316" s="2">
        <v>1</v>
      </c>
      <c r="C316" s="2"/>
      <c r="D316" s="2"/>
      <c r="E316" s="2" t="s">
        <v>343</v>
      </c>
      <c r="F316" s="2" t="s">
        <v>344</v>
      </c>
      <c r="G316" s="2" t="s">
        <v>345</v>
      </c>
      <c r="H316" s="2" t="s">
        <v>152</v>
      </c>
      <c r="I316" s="2">
        <v>6</v>
      </c>
      <c r="J316" s="2">
        <v>0</v>
      </c>
      <c r="K316" s="2">
        <v>6</v>
      </c>
      <c r="L316" s="2"/>
      <c r="M316" s="2"/>
      <c r="N316" s="2"/>
      <c r="O316" s="2">
        <f t="shared" si="263"/>
        <v>479.22</v>
      </c>
      <c r="P316" s="2">
        <f t="shared" si="264"/>
        <v>479.22</v>
      </c>
      <c r="Q316" s="2">
        <f t="shared" ref="Q316:Q321" si="288">(ROUND((ROUND(((ET316)*AV316*I316),2)*BB316),2)+ROUND((ROUND(((AE316-(EU316))*AV316*I316),2)*BS316),2))</f>
        <v>0</v>
      </c>
      <c r="R316" s="2">
        <f t="shared" ref="R316:R321" si="289">(ROUND((ROUND(((EU316)*AV316*I316),2)*BS316),2)+ROUND((ROUND(((AE316-(EU316))*AV316*I316),2)*BS316),2))</f>
        <v>0</v>
      </c>
      <c r="S316" s="2">
        <f t="shared" si="265"/>
        <v>0</v>
      </c>
      <c r="T316" s="2">
        <f t="shared" si="266"/>
        <v>0</v>
      </c>
      <c r="U316" s="2">
        <f t="shared" si="267"/>
        <v>0</v>
      </c>
      <c r="V316" s="2">
        <f t="shared" si="268"/>
        <v>0</v>
      </c>
      <c r="W316" s="2">
        <f t="shared" si="269"/>
        <v>0</v>
      </c>
      <c r="X316" s="2">
        <f t="shared" ref="X316:X321" si="290">(ROUND((((S316+ROUND((ROUND(((EU316)*AV316*I316),2)*BS316),2))*AT316)/100),2)+ROUND(((ROUND((ROUND(((AE316-(EU316))*AV316*I316),2)*BS316),2)*AT316)/100),2))</f>
        <v>0</v>
      </c>
      <c r="Y316" s="2">
        <f t="shared" ref="Y316:Y321" si="291">(ROUND((((S316+ROUND((ROUND(((EU316)*AV316*I316),2)*BS316),2))*AU316)/100),2)+ROUND(((ROUND((ROUND(((AE316-(EU316))*AV316*I316),2)*BS316),2)*AU316)/100),2))</f>
        <v>0</v>
      </c>
      <c r="Z316" s="2"/>
      <c r="AA316" s="2">
        <v>57014138</v>
      </c>
      <c r="AB316" s="2">
        <f t="shared" si="270"/>
        <v>79.87</v>
      </c>
      <c r="AC316" s="2">
        <f t="shared" ref="AC316:AC321" si="292">ROUND((ES316),6)</f>
        <v>79.87</v>
      </c>
      <c r="AD316" s="2">
        <f t="shared" ref="AD316:AD321" si="293">ROUND((((ET316)-(EU316))+AE316),6)</f>
        <v>0</v>
      </c>
      <c r="AE316" s="2">
        <f t="shared" ref="AE316:AF321" si="294">ROUND((EU316),6)</f>
        <v>0</v>
      </c>
      <c r="AF316" s="2">
        <f t="shared" si="294"/>
        <v>0</v>
      </c>
      <c r="AG316" s="2">
        <f t="shared" si="271"/>
        <v>0</v>
      </c>
      <c r="AH316" s="2">
        <f t="shared" ref="AH316:AI321" si="295">(EW316)</f>
        <v>0</v>
      </c>
      <c r="AI316" s="2">
        <f t="shared" si="295"/>
        <v>0</v>
      </c>
      <c r="AJ316" s="2">
        <f t="shared" si="272"/>
        <v>0</v>
      </c>
      <c r="AK316" s="2">
        <v>79.86999999999999</v>
      </c>
      <c r="AL316" s="2">
        <v>79.86999999999999</v>
      </c>
      <c r="AM316" s="2">
        <v>0</v>
      </c>
      <c r="AN316" s="2">
        <v>0</v>
      </c>
      <c r="AO316" s="2">
        <v>0</v>
      </c>
      <c r="AP316" s="2">
        <v>0</v>
      </c>
      <c r="AQ316" s="2">
        <v>0</v>
      </c>
      <c r="AR316" s="2">
        <v>0</v>
      </c>
      <c r="AS316" s="2">
        <v>0</v>
      </c>
      <c r="AT316" s="2">
        <v>0</v>
      </c>
      <c r="AU316" s="2">
        <v>0</v>
      </c>
      <c r="AV316" s="2">
        <v>1</v>
      </c>
      <c r="AW316" s="2">
        <v>1</v>
      </c>
      <c r="AX316" s="2"/>
      <c r="AY316" s="2"/>
      <c r="AZ316" s="2">
        <v>1</v>
      </c>
      <c r="BA316" s="2">
        <v>1</v>
      </c>
      <c r="BB316" s="2">
        <v>1</v>
      </c>
      <c r="BC316" s="2">
        <v>1</v>
      </c>
      <c r="BD316" s="2" t="s">
        <v>3</v>
      </c>
      <c r="BE316" s="2" t="s">
        <v>3</v>
      </c>
      <c r="BF316" s="2" t="s">
        <v>3</v>
      </c>
      <c r="BG316" s="2" t="s">
        <v>3</v>
      </c>
      <c r="BH316" s="2">
        <v>3</v>
      </c>
      <c r="BI316" s="2">
        <v>1</v>
      </c>
      <c r="BJ316" s="2" t="s">
        <v>344</v>
      </c>
      <c r="BK316" s="2"/>
      <c r="BL316" s="2"/>
      <c r="BM316" s="2">
        <v>400005</v>
      </c>
      <c r="BN316" s="2">
        <v>0</v>
      </c>
      <c r="BO316" s="2" t="s">
        <v>3</v>
      </c>
      <c r="BP316" s="2">
        <v>0</v>
      </c>
      <c r="BQ316" s="2">
        <v>213</v>
      </c>
      <c r="BR316" s="2">
        <v>0</v>
      </c>
      <c r="BS316" s="2">
        <v>1</v>
      </c>
      <c r="BT316" s="2">
        <v>1</v>
      </c>
      <c r="BU316" s="2">
        <v>1</v>
      </c>
      <c r="BV316" s="2">
        <v>1</v>
      </c>
      <c r="BW316" s="2">
        <v>1</v>
      </c>
      <c r="BX316" s="2">
        <v>1</v>
      </c>
      <c r="BY316" s="2" t="s">
        <v>3</v>
      </c>
      <c r="BZ316" s="2">
        <v>0</v>
      </c>
      <c r="CA316" s="2">
        <v>0</v>
      </c>
      <c r="CB316" s="2" t="s">
        <v>3</v>
      </c>
      <c r="CC316" s="2"/>
      <c r="CD316" s="2"/>
      <c r="CE316" s="2">
        <v>1566</v>
      </c>
      <c r="CF316" s="2">
        <v>0</v>
      </c>
      <c r="CG316" s="2">
        <v>0</v>
      </c>
      <c r="CH316" s="2"/>
      <c r="CI316" s="2"/>
      <c r="CJ316" s="2"/>
      <c r="CK316" s="2"/>
      <c r="CL316" s="2"/>
      <c r="CM316" s="2">
        <v>0</v>
      </c>
      <c r="CN316" s="2" t="s">
        <v>3</v>
      </c>
      <c r="CO316" s="2">
        <v>0</v>
      </c>
      <c r="CP316" s="2">
        <f t="shared" si="273"/>
        <v>479.22</v>
      </c>
      <c r="CQ316" s="2">
        <f t="shared" si="274"/>
        <v>79.87</v>
      </c>
      <c r="CR316" s="2">
        <f t="shared" ref="CR316:CR321" si="296">(ROUND((ROUND(((ET316)*AV316*1),2)*BB316),2)+ROUND((ROUND(((AE316-(EU316))*AV316*1),2)*BS316),2))</f>
        <v>0</v>
      </c>
      <c r="CS316" s="2">
        <f t="shared" ref="CS316:CS321" si="297">(ROUND((ROUND(((EU316)*AV316*1),2)*BS316),2)+ROUND((ROUND(((AE316-(EU316))*AV316*1),2)*BS316),2))</f>
        <v>0</v>
      </c>
      <c r="CT316" s="2">
        <f t="shared" si="275"/>
        <v>0</v>
      </c>
      <c r="CU316" s="2">
        <f t="shared" si="276"/>
        <v>0</v>
      </c>
      <c r="CV316" s="2">
        <f t="shared" si="277"/>
        <v>0</v>
      </c>
      <c r="CW316" s="2">
        <f t="shared" si="278"/>
        <v>0</v>
      </c>
      <c r="CX316" s="2">
        <f t="shared" si="279"/>
        <v>0</v>
      </c>
      <c r="CY316" s="2">
        <f t="shared" ref="CY316:CY321" si="298">(ROUND((((S316+ROUND((ROUND(((EU316)*AV316*1),2)*BS316),2))*AT316)/100),2)+ROUND(((ROUND((ROUND(((AE316-(EU316))*AV316*1),2)*BS316),2)*AT316)/100),2))</f>
        <v>0</v>
      </c>
      <c r="CZ316" s="2">
        <f t="shared" ref="CZ316:CZ321" si="299">(ROUND((((S316+ROUND((ROUND(((EU316)*AV316*1),2)*BS316),2))*AU316)/100),2)+ROUND(((ROUND((ROUND(((AE316-(EU316))*AV316*1),2)*BS316),2)*AU316)/100),2))</f>
        <v>0</v>
      </c>
      <c r="DA316" s="2"/>
      <c r="DB316" s="2"/>
      <c r="DC316" s="2" t="s">
        <v>3</v>
      </c>
      <c r="DD316" s="2" t="s">
        <v>3</v>
      </c>
      <c r="DE316" s="2" t="s">
        <v>3</v>
      </c>
      <c r="DF316" s="2" t="s">
        <v>3</v>
      </c>
      <c r="DG316" s="2" t="s">
        <v>3</v>
      </c>
      <c r="DH316" s="2" t="s">
        <v>3</v>
      </c>
      <c r="DI316" s="2" t="s">
        <v>3</v>
      </c>
      <c r="DJ316" s="2" t="s">
        <v>3</v>
      </c>
      <c r="DK316" s="2" t="s">
        <v>3</v>
      </c>
      <c r="DL316" s="2" t="s">
        <v>3</v>
      </c>
      <c r="DM316" s="2" t="s">
        <v>3</v>
      </c>
      <c r="DN316" s="2">
        <v>0</v>
      </c>
      <c r="DO316" s="2">
        <v>0</v>
      </c>
      <c r="DP316" s="2">
        <v>1</v>
      </c>
      <c r="DQ316" s="2">
        <v>1</v>
      </c>
      <c r="DR316" s="2"/>
      <c r="DS316" s="2"/>
      <c r="DT316" s="2"/>
      <c r="DU316" s="2">
        <v>1013</v>
      </c>
      <c r="DV316" s="2" t="s">
        <v>152</v>
      </c>
      <c r="DW316" s="2" t="s">
        <v>152</v>
      </c>
      <c r="DX316" s="2">
        <v>1</v>
      </c>
      <c r="DY316" s="2"/>
      <c r="DZ316" s="2" t="s">
        <v>3</v>
      </c>
      <c r="EA316" s="2" t="s">
        <v>3</v>
      </c>
      <c r="EB316" s="2" t="s">
        <v>3</v>
      </c>
      <c r="EC316" s="2" t="s">
        <v>3</v>
      </c>
      <c r="ED316" s="2"/>
      <c r="EE316" s="2">
        <v>57042888</v>
      </c>
      <c r="EF316" s="2">
        <v>213</v>
      </c>
      <c r="EG316" s="2" t="s">
        <v>159</v>
      </c>
      <c r="EH316" s="2">
        <v>0</v>
      </c>
      <c r="EI316" s="2" t="s">
        <v>3</v>
      </c>
      <c r="EJ316" s="2">
        <v>1</v>
      </c>
      <c r="EK316" s="2">
        <v>400005</v>
      </c>
      <c r="EL316" s="2" t="s">
        <v>159</v>
      </c>
      <c r="EM316" s="2" t="s">
        <v>160</v>
      </c>
      <c r="EN316" s="2"/>
      <c r="EO316" s="2" t="s">
        <v>3</v>
      </c>
      <c r="EP316" s="2"/>
      <c r="EQ316" s="2">
        <v>16</v>
      </c>
      <c r="ER316" s="2">
        <v>0</v>
      </c>
      <c r="ES316" s="2">
        <v>79.86999999999999</v>
      </c>
      <c r="ET316" s="2">
        <v>0</v>
      </c>
      <c r="EU316" s="2">
        <v>0</v>
      </c>
      <c r="EV316" s="2">
        <v>0</v>
      </c>
      <c r="EW316" s="2">
        <v>0</v>
      </c>
      <c r="EX316" s="2">
        <v>0</v>
      </c>
      <c r="EY316" s="2">
        <v>0</v>
      </c>
      <c r="EZ316" s="2"/>
      <c r="FA316" s="2"/>
      <c r="FB316" s="2"/>
      <c r="FC316" s="2"/>
      <c r="FD316" s="2"/>
      <c r="FE316" s="2"/>
      <c r="FF316" s="2"/>
      <c r="FG316" s="2"/>
      <c r="FH316" s="2"/>
      <c r="FI316" s="2"/>
      <c r="FJ316" s="2"/>
      <c r="FK316" s="2"/>
      <c r="FL316" s="2"/>
      <c r="FM316" s="2"/>
      <c r="FN316" s="2"/>
      <c r="FO316" s="2"/>
      <c r="FP316" s="2"/>
      <c r="FQ316" s="2">
        <v>0</v>
      </c>
      <c r="FR316" s="2">
        <v>0</v>
      </c>
      <c r="FS316" s="2">
        <v>0</v>
      </c>
      <c r="FT316" s="2"/>
      <c r="FU316" s="2"/>
      <c r="FV316" s="2"/>
      <c r="FW316" s="2"/>
      <c r="FX316" s="2">
        <v>0</v>
      </c>
      <c r="FY316" s="2">
        <v>0</v>
      </c>
      <c r="FZ316" s="2"/>
      <c r="GA316" s="2" t="s">
        <v>346</v>
      </c>
      <c r="GB316" s="2"/>
      <c r="GC316" s="2"/>
      <c r="GD316" s="2">
        <v>1</v>
      </c>
      <c r="GE316" s="2"/>
      <c r="GF316" s="2">
        <v>476455481</v>
      </c>
      <c r="GG316" s="2">
        <v>2</v>
      </c>
      <c r="GH316" s="2">
        <v>4</v>
      </c>
      <c r="GI316" s="2">
        <v>-2</v>
      </c>
      <c r="GJ316" s="2">
        <v>0</v>
      </c>
      <c r="GK316" s="2">
        <v>0</v>
      </c>
      <c r="GL316" s="2">
        <f t="shared" si="280"/>
        <v>0</v>
      </c>
      <c r="GM316" s="2">
        <f t="shared" si="281"/>
        <v>479.22</v>
      </c>
      <c r="GN316" s="2">
        <f t="shared" si="282"/>
        <v>479.22</v>
      </c>
      <c r="GO316" s="2">
        <f t="shared" si="283"/>
        <v>0</v>
      </c>
      <c r="GP316" s="2">
        <f t="shared" si="284"/>
        <v>0</v>
      </c>
      <c r="GQ316" s="2"/>
      <c r="GR316" s="2">
        <v>1</v>
      </c>
      <c r="GS316" s="2">
        <v>2</v>
      </c>
      <c r="GT316" s="2">
        <v>0</v>
      </c>
      <c r="GU316" s="2" t="s">
        <v>3</v>
      </c>
      <c r="GV316" s="2">
        <f t="shared" si="285"/>
        <v>0</v>
      </c>
      <c r="GW316" s="2">
        <v>1</v>
      </c>
      <c r="GX316" s="2">
        <f t="shared" si="286"/>
        <v>0</v>
      </c>
      <c r="GY316" s="2"/>
      <c r="GZ316" s="2"/>
      <c r="HA316" s="2">
        <v>0</v>
      </c>
      <c r="HB316" s="2">
        <v>0</v>
      </c>
      <c r="HC316" s="2">
        <f t="shared" si="287"/>
        <v>0</v>
      </c>
      <c r="HD316" s="2"/>
      <c r="HE316" s="2" t="s">
        <v>162</v>
      </c>
      <c r="HF316" s="2" t="s">
        <v>35</v>
      </c>
      <c r="HG316" s="2"/>
      <c r="HH316" s="2"/>
      <c r="HI316" s="2"/>
      <c r="HJ316" s="2"/>
      <c r="HK316" s="2"/>
      <c r="HL316" s="2"/>
      <c r="HM316" s="2" t="s">
        <v>3</v>
      </c>
      <c r="HN316" s="2" t="s">
        <v>3</v>
      </c>
      <c r="HO316" s="2" t="s">
        <v>3</v>
      </c>
      <c r="HP316" s="2" t="s">
        <v>3</v>
      </c>
      <c r="HQ316" s="2" t="s">
        <v>3</v>
      </c>
      <c r="HR316" s="2"/>
      <c r="HS316" s="2">
        <v>0</v>
      </c>
      <c r="HT316" s="2"/>
      <c r="HU316" s="2"/>
      <c r="HV316" s="2"/>
      <c r="HW316" s="2"/>
      <c r="HX316" s="2"/>
      <c r="HY316" s="2"/>
      <c r="HZ316" s="2"/>
      <c r="IA316" s="2"/>
      <c r="IB316" s="2"/>
      <c r="IC316" s="2"/>
      <c r="ID316" s="2"/>
      <c r="IE316" s="2"/>
      <c r="IF316" s="2"/>
      <c r="IG316" s="2"/>
      <c r="IH316" s="2"/>
      <c r="II316" s="2"/>
      <c r="IJ316" s="2"/>
      <c r="IK316" s="2">
        <v>0</v>
      </c>
      <c r="IL316" s="2"/>
      <c r="IM316" s="2"/>
      <c r="IN316" s="2"/>
      <c r="IO316" s="2"/>
      <c r="IP316" s="2"/>
      <c r="IQ316" s="2"/>
      <c r="IR316" s="2"/>
      <c r="IS316" s="2"/>
      <c r="IT316" s="2"/>
      <c r="IU316" s="2"/>
    </row>
    <row r="317" spans="1:255" x14ac:dyDescent="0.25">
      <c r="A317" s="3">
        <v>17</v>
      </c>
      <c r="B317" s="3">
        <v>1</v>
      </c>
      <c r="E317" s="3" t="s">
        <v>343</v>
      </c>
      <c r="F317" s="3" t="s">
        <v>344</v>
      </c>
      <c r="G317" s="3" t="s">
        <v>345</v>
      </c>
      <c r="H317" s="3" t="s">
        <v>152</v>
      </c>
      <c r="I317" s="3">
        <v>6</v>
      </c>
      <c r="J317" s="3">
        <v>0</v>
      </c>
      <c r="K317" s="3">
        <v>6</v>
      </c>
      <c r="O317" s="3">
        <f t="shared" si="263"/>
        <v>4715.5200000000004</v>
      </c>
      <c r="P317" s="3">
        <f t="shared" si="264"/>
        <v>4715.5200000000004</v>
      </c>
      <c r="Q317" s="3">
        <f t="shared" si="288"/>
        <v>0</v>
      </c>
      <c r="R317" s="3">
        <f t="shared" si="289"/>
        <v>0</v>
      </c>
      <c r="S317" s="3">
        <f t="shared" si="265"/>
        <v>0</v>
      </c>
      <c r="T317" s="3">
        <f t="shared" si="266"/>
        <v>0</v>
      </c>
      <c r="U317" s="3">
        <f t="shared" si="267"/>
        <v>0</v>
      </c>
      <c r="V317" s="3">
        <f t="shared" si="268"/>
        <v>0</v>
      </c>
      <c r="W317" s="3">
        <f t="shared" si="269"/>
        <v>0</v>
      </c>
      <c r="X317" s="3">
        <f t="shared" si="290"/>
        <v>0</v>
      </c>
      <c r="Y317" s="3">
        <f t="shared" si="291"/>
        <v>0</v>
      </c>
      <c r="AA317" s="3">
        <v>57014140</v>
      </c>
      <c r="AB317" s="3">
        <f t="shared" si="270"/>
        <v>79.87</v>
      </c>
      <c r="AC317" s="3">
        <f t="shared" si="292"/>
        <v>79.87</v>
      </c>
      <c r="AD317" s="3">
        <f t="shared" si="293"/>
        <v>0</v>
      </c>
      <c r="AE317" s="3">
        <f t="shared" si="294"/>
        <v>0</v>
      </c>
      <c r="AF317" s="3">
        <f t="shared" si="294"/>
        <v>0</v>
      </c>
      <c r="AG317" s="3">
        <f t="shared" si="271"/>
        <v>0</v>
      </c>
      <c r="AH317" s="3">
        <f t="shared" si="295"/>
        <v>0</v>
      </c>
      <c r="AI317" s="3">
        <f t="shared" si="295"/>
        <v>0</v>
      </c>
      <c r="AJ317" s="3">
        <f t="shared" si="272"/>
        <v>0</v>
      </c>
      <c r="AK317" s="3">
        <v>79.86999999999999</v>
      </c>
      <c r="AL317" s="3">
        <v>79.86999999999999</v>
      </c>
      <c r="AM317" s="3">
        <v>0</v>
      </c>
      <c r="AN317" s="3">
        <v>0</v>
      </c>
      <c r="AO317" s="3">
        <v>0</v>
      </c>
      <c r="AP317" s="3">
        <v>0</v>
      </c>
      <c r="AQ317" s="3">
        <v>0</v>
      </c>
      <c r="AR317" s="3">
        <v>0</v>
      </c>
      <c r="AS317" s="3">
        <v>0</v>
      </c>
      <c r="AT317" s="3">
        <v>0</v>
      </c>
      <c r="AU317" s="3">
        <v>0</v>
      </c>
      <c r="AV317" s="3">
        <v>1</v>
      </c>
      <c r="AW317" s="3">
        <v>1</v>
      </c>
      <c r="AZ317" s="3">
        <v>1</v>
      </c>
      <c r="BA317" s="3">
        <v>1</v>
      </c>
      <c r="BB317" s="3">
        <v>1</v>
      </c>
      <c r="BC317" s="3">
        <v>9.84</v>
      </c>
      <c r="BD317" s="3" t="s">
        <v>3</v>
      </c>
      <c r="BE317" s="3" t="s">
        <v>3</v>
      </c>
      <c r="BF317" s="3" t="s">
        <v>3</v>
      </c>
      <c r="BG317" s="3" t="s">
        <v>3</v>
      </c>
      <c r="BH317" s="3">
        <v>3</v>
      </c>
      <c r="BI317" s="3">
        <v>1</v>
      </c>
      <c r="BJ317" s="3" t="s">
        <v>344</v>
      </c>
      <c r="BM317" s="3">
        <v>400005</v>
      </c>
      <c r="BN317" s="3">
        <v>0</v>
      </c>
      <c r="BO317" s="3" t="s">
        <v>3</v>
      </c>
      <c r="BP317" s="3">
        <v>0</v>
      </c>
      <c r="BQ317" s="3">
        <v>213</v>
      </c>
      <c r="BR317" s="3">
        <v>0</v>
      </c>
      <c r="BS317" s="3">
        <v>1</v>
      </c>
      <c r="BT317" s="3">
        <v>1</v>
      </c>
      <c r="BU317" s="3">
        <v>1</v>
      </c>
      <c r="BV317" s="3">
        <v>1</v>
      </c>
      <c r="BW317" s="3">
        <v>1</v>
      </c>
      <c r="BX317" s="3">
        <v>1</v>
      </c>
      <c r="BY317" s="3" t="s">
        <v>3</v>
      </c>
      <c r="BZ317" s="3">
        <v>0</v>
      </c>
      <c r="CA317" s="3">
        <v>0</v>
      </c>
      <c r="CB317" s="3" t="s">
        <v>3</v>
      </c>
      <c r="CE317" s="3">
        <v>1566</v>
      </c>
      <c r="CF317" s="3">
        <v>0</v>
      </c>
      <c r="CG317" s="3">
        <v>0</v>
      </c>
      <c r="CM317" s="3">
        <v>0</v>
      </c>
      <c r="CN317" s="3" t="s">
        <v>3</v>
      </c>
      <c r="CO317" s="3">
        <v>0</v>
      </c>
      <c r="CP317" s="3">
        <f t="shared" si="273"/>
        <v>4715.5200000000004</v>
      </c>
      <c r="CQ317" s="3">
        <f t="shared" si="274"/>
        <v>785.92</v>
      </c>
      <c r="CR317" s="3">
        <f t="shared" si="296"/>
        <v>0</v>
      </c>
      <c r="CS317" s="3">
        <f t="shared" si="297"/>
        <v>0</v>
      </c>
      <c r="CT317" s="3">
        <f t="shared" si="275"/>
        <v>0</v>
      </c>
      <c r="CU317" s="3">
        <f t="shared" si="276"/>
        <v>0</v>
      </c>
      <c r="CV317" s="3">
        <f t="shared" si="277"/>
        <v>0</v>
      </c>
      <c r="CW317" s="3">
        <f t="shared" si="278"/>
        <v>0</v>
      </c>
      <c r="CX317" s="3">
        <f t="shared" si="279"/>
        <v>0</v>
      </c>
      <c r="CY317" s="3">
        <f t="shared" si="298"/>
        <v>0</v>
      </c>
      <c r="CZ317" s="3">
        <f t="shared" si="299"/>
        <v>0</v>
      </c>
      <c r="DC317" s="3" t="s">
        <v>3</v>
      </c>
      <c r="DD317" s="3" t="s">
        <v>3</v>
      </c>
      <c r="DE317" s="3" t="s">
        <v>3</v>
      </c>
      <c r="DF317" s="3" t="s">
        <v>3</v>
      </c>
      <c r="DG317" s="3" t="s">
        <v>3</v>
      </c>
      <c r="DH317" s="3" t="s">
        <v>3</v>
      </c>
      <c r="DI317" s="3" t="s">
        <v>3</v>
      </c>
      <c r="DJ317" s="3" t="s">
        <v>3</v>
      </c>
      <c r="DK317" s="3" t="s">
        <v>3</v>
      </c>
      <c r="DL317" s="3" t="s">
        <v>3</v>
      </c>
      <c r="DM317" s="3" t="s">
        <v>3</v>
      </c>
      <c r="DN317" s="3">
        <v>0</v>
      </c>
      <c r="DO317" s="3">
        <v>0</v>
      </c>
      <c r="DP317" s="3">
        <v>1</v>
      </c>
      <c r="DQ317" s="3">
        <v>1</v>
      </c>
      <c r="DU317" s="3">
        <v>1013</v>
      </c>
      <c r="DV317" s="3" t="s">
        <v>152</v>
      </c>
      <c r="DW317" s="3" t="s">
        <v>152</v>
      </c>
      <c r="DX317" s="3">
        <v>1</v>
      </c>
      <c r="DZ317" s="3" t="s">
        <v>3</v>
      </c>
      <c r="EA317" s="3" t="s">
        <v>3</v>
      </c>
      <c r="EB317" s="3" t="s">
        <v>3</v>
      </c>
      <c r="EC317" s="3" t="s">
        <v>3</v>
      </c>
      <c r="EE317" s="3">
        <v>57042888</v>
      </c>
      <c r="EF317" s="3">
        <v>213</v>
      </c>
      <c r="EG317" s="3" t="s">
        <v>159</v>
      </c>
      <c r="EH317" s="3">
        <v>0</v>
      </c>
      <c r="EI317" s="3" t="s">
        <v>3</v>
      </c>
      <c r="EJ317" s="3">
        <v>1</v>
      </c>
      <c r="EK317" s="3">
        <v>400005</v>
      </c>
      <c r="EL317" s="3" t="s">
        <v>159</v>
      </c>
      <c r="EM317" s="3" t="s">
        <v>160</v>
      </c>
      <c r="EO317" s="3" t="s">
        <v>3</v>
      </c>
      <c r="EQ317" s="3">
        <v>16</v>
      </c>
      <c r="ER317" s="3">
        <v>0</v>
      </c>
      <c r="ES317" s="3">
        <v>79.86999999999999</v>
      </c>
      <c r="ET317" s="3">
        <v>0</v>
      </c>
      <c r="EU317" s="3">
        <v>0</v>
      </c>
      <c r="EV317" s="3">
        <v>0</v>
      </c>
      <c r="EW317" s="3">
        <v>0</v>
      </c>
      <c r="EX317" s="3">
        <v>0</v>
      </c>
      <c r="EY317" s="3">
        <v>0</v>
      </c>
      <c r="EZ317" s="3">
        <v>5</v>
      </c>
      <c r="FC317" s="3">
        <v>1</v>
      </c>
      <c r="FD317" s="3">
        <v>18</v>
      </c>
      <c r="FF317" s="3">
        <v>940</v>
      </c>
      <c r="FQ317" s="3">
        <v>0</v>
      </c>
      <c r="FR317" s="3">
        <v>0</v>
      </c>
      <c r="FS317" s="3">
        <v>0</v>
      </c>
      <c r="FX317" s="3">
        <v>0</v>
      </c>
      <c r="FY317" s="3">
        <v>0</v>
      </c>
      <c r="GA317" s="3" t="s">
        <v>346</v>
      </c>
      <c r="GD317" s="3">
        <v>1</v>
      </c>
      <c r="GF317" s="3">
        <v>476455481</v>
      </c>
      <c r="GG317" s="3">
        <v>2</v>
      </c>
      <c r="GH317" s="3">
        <v>3</v>
      </c>
      <c r="GI317" s="3">
        <v>5</v>
      </c>
      <c r="GJ317" s="3">
        <v>0</v>
      </c>
      <c r="GK317" s="3">
        <v>0</v>
      </c>
      <c r="GL317" s="3">
        <f t="shared" si="280"/>
        <v>0</v>
      </c>
      <c r="GM317" s="3">
        <f t="shared" si="281"/>
        <v>4715.5200000000004</v>
      </c>
      <c r="GN317" s="3">
        <f t="shared" si="282"/>
        <v>4715.5200000000004</v>
      </c>
      <c r="GO317" s="3">
        <f t="shared" si="283"/>
        <v>0</v>
      </c>
      <c r="GP317" s="3">
        <f t="shared" si="284"/>
        <v>0</v>
      </c>
      <c r="GR317" s="3">
        <v>1</v>
      </c>
      <c r="GS317" s="3">
        <v>1</v>
      </c>
      <c r="GT317" s="3">
        <v>0</v>
      </c>
      <c r="GU317" s="3" t="s">
        <v>3</v>
      </c>
      <c r="GV317" s="3">
        <f t="shared" si="285"/>
        <v>0</v>
      </c>
      <c r="GW317" s="3">
        <v>1</v>
      </c>
      <c r="GX317" s="3">
        <f t="shared" si="286"/>
        <v>0</v>
      </c>
      <c r="HA317" s="3">
        <v>0</v>
      </c>
      <c r="HB317" s="3">
        <v>0</v>
      </c>
      <c r="HC317" s="3">
        <f t="shared" si="287"/>
        <v>0</v>
      </c>
      <c r="HE317" s="3" t="s">
        <v>162</v>
      </c>
      <c r="HF317" s="3" t="s">
        <v>35</v>
      </c>
      <c r="HM317" s="3" t="s">
        <v>3</v>
      </c>
      <c r="HN317" s="3" t="s">
        <v>3</v>
      </c>
      <c r="HO317" s="3" t="s">
        <v>3</v>
      </c>
      <c r="HP317" s="3" t="s">
        <v>3</v>
      </c>
      <c r="HQ317" s="3" t="s">
        <v>3</v>
      </c>
      <c r="HS317" s="3">
        <v>0</v>
      </c>
      <c r="IK317" s="3">
        <v>0</v>
      </c>
    </row>
    <row r="318" spans="1:255" x14ac:dyDescent="0.25">
      <c r="A318" s="2">
        <v>17</v>
      </c>
      <c r="B318" s="2">
        <v>1</v>
      </c>
      <c r="C318" s="2"/>
      <c r="D318" s="2"/>
      <c r="E318" s="2" t="s">
        <v>347</v>
      </c>
      <c r="F318" s="2" t="s">
        <v>348</v>
      </c>
      <c r="G318" s="2" t="s">
        <v>349</v>
      </c>
      <c r="H318" s="2" t="s">
        <v>152</v>
      </c>
      <c r="I318" s="2">
        <v>1</v>
      </c>
      <c r="J318" s="2">
        <v>0</v>
      </c>
      <c r="K318" s="2">
        <v>1</v>
      </c>
      <c r="L318" s="2"/>
      <c r="M318" s="2"/>
      <c r="N318" s="2"/>
      <c r="O318" s="2">
        <f t="shared" si="263"/>
        <v>56.93</v>
      </c>
      <c r="P318" s="2">
        <f t="shared" si="264"/>
        <v>56.93</v>
      </c>
      <c r="Q318" s="2">
        <f t="shared" si="288"/>
        <v>0</v>
      </c>
      <c r="R318" s="2">
        <f t="shared" si="289"/>
        <v>0</v>
      </c>
      <c r="S318" s="2">
        <f t="shared" si="265"/>
        <v>0</v>
      </c>
      <c r="T318" s="2">
        <f t="shared" si="266"/>
        <v>0</v>
      </c>
      <c r="U318" s="2">
        <f t="shared" si="267"/>
        <v>0</v>
      </c>
      <c r="V318" s="2">
        <f t="shared" si="268"/>
        <v>0</v>
      </c>
      <c r="W318" s="2">
        <f t="shared" si="269"/>
        <v>0</v>
      </c>
      <c r="X318" s="2">
        <f t="shared" si="290"/>
        <v>0</v>
      </c>
      <c r="Y318" s="2">
        <f t="shared" si="291"/>
        <v>0</v>
      </c>
      <c r="Z318" s="2"/>
      <c r="AA318" s="2">
        <v>57014138</v>
      </c>
      <c r="AB318" s="2">
        <f t="shared" si="270"/>
        <v>56.93</v>
      </c>
      <c r="AC318" s="2">
        <f t="shared" si="292"/>
        <v>56.93</v>
      </c>
      <c r="AD318" s="2">
        <f t="shared" si="293"/>
        <v>0</v>
      </c>
      <c r="AE318" s="2">
        <f t="shared" si="294"/>
        <v>0</v>
      </c>
      <c r="AF318" s="2">
        <f t="shared" si="294"/>
        <v>0</v>
      </c>
      <c r="AG318" s="2">
        <f t="shared" si="271"/>
        <v>0</v>
      </c>
      <c r="AH318" s="2">
        <f t="shared" si="295"/>
        <v>0</v>
      </c>
      <c r="AI318" s="2">
        <f t="shared" si="295"/>
        <v>0</v>
      </c>
      <c r="AJ318" s="2">
        <f t="shared" si="272"/>
        <v>0</v>
      </c>
      <c r="AK318" s="2">
        <v>56.93</v>
      </c>
      <c r="AL318" s="2">
        <v>56.93</v>
      </c>
      <c r="AM318" s="2">
        <v>0</v>
      </c>
      <c r="AN318" s="2">
        <v>0</v>
      </c>
      <c r="AO318" s="2">
        <v>0</v>
      </c>
      <c r="AP318" s="2">
        <v>0</v>
      </c>
      <c r="AQ318" s="2">
        <v>0</v>
      </c>
      <c r="AR318" s="2">
        <v>0</v>
      </c>
      <c r="AS318" s="2">
        <v>0</v>
      </c>
      <c r="AT318" s="2">
        <v>0</v>
      </c>
      <c r="AU318" s="2">
        <v>0</v>
      </c>
      <c r="AV318" s="2">
        <v>1</v>
      </c>
      <c r="AW318" s="2">
        <v>1</v>
      </c>
      <c r="AX318" s="2"/>
      <c r="AY318" s="2"/>
      <c r="AZ318" s="2">
        <v>1</v>
      </c>
      <c r="BA318" s="2">
        <v>1</v>
      </c>
      <c r="BB318" s="2">
        <v>1</v>
      </c>
      <c r="BC318" s="2">
        <v>1</v>
      </c>
      <c r="BD318" s="2" t="s">
        <v>3</v>
      </c>
      <c r="BE318" s="2" t="s">
        <v>3</v>
      </c>
      <c r="BF318" s="2" t="s">
        <v>3</v>
      </c>
      <c r="BG318" s="2" t="s">
        <v>3</v>
      </c>
      <c r="BH318" s="2">
        <v>3</v>
      </c>
      <c r="BI318" s="2">
        <v>1</v>
      </c>
      <c r="BJ318" s="2" t="s">
        <v>348</v>
      </c>
      <c r="BK318" s="2"/>
      <c r="BL318" s="2"/>
      <c r="BM318" s="2">
        <v>400005</v>
      </c>
      <c r="BN318" s="2">
        <v>0</v>
      </c>
      <c r="BO318" s="2" t="s">
        <v>3</v>
      </c>
      <c r="BP318" s="2">
        <v>0</v>
      </c>
      <c r="BQ318" s="2">
        <v>213</v>
      </c>
      <c r="BR318" s="2">
        <v>0</v>
      </c>
      <c r="BS318" s="2">
        <v>1</v>
      </c>
      <c r="BT318" s="2">
        <v>1</v>
      </c>
      <c r="BU318" s="2">
        <v>1</v>
      </c>
      <c r="BV318" s="2">
        <v>1</v>
      </c>
      <c r="BW318" s="2">
        <v>1</v>
      </c>
      <c r="BX318" s="2">
        <v>1</v>
      </c>
      <c r="BY318" s="2" t="s">
        <v>3</v>
      </c>
      <c r="BZ318" s="2">
        <v>0</v>
      </c>
      <c r="CA318" s="2">
        <v>0</v>
      </c>
      <c r="CB318" s="2" t="s">
        <v>3</v>
      </c>
      <c r="CC318" s="2"/>
      <c r="CD318" s="2"/>
      <c r="CE318" s="2">
        <v>1566</v>
      </c>
      <c r="CF318" s="2">
        <v>0</v>
      </c>
      <c r="CG318" s="2">
        <v>0</v>
      </c>
      <c r="CH318" s="2"/>
      <c r="CI318" s="2"/>
      <c r="CJ318" s="2"/>
      <c r="CK318" s="2"/>
      <c r="CL318" s="2"/>
      <c r="CM318" s="2">
        <v>0</v>
      </c>
      <c r="CN318" s="2" t="s">
        <v>3</v>
      </c>
      <c r="CO318" s="2">
        <v>0</v>
      </c>
      <c r="CP318" s="2">
        <f t="shared" si="273"/>
        <v>56.93</v>
      </c>
      <c r="CQ318" s="2">
        <f t="shared" si="274"/>
        <v>56.93</v>
      </c>
      <c r="CR318" s="2">
        <f t="shared" si="296"/>
        <v>0</v>
      </c>
      <c r="CS318" s="2">
        <f t="shared" si="297"/>
        <v>0</v>
      </c>
      <c r="CT318" s="2">
        <f t="shared" si="275"/>
        <v>0</v>
      </c>
      <c r="CU318" s="2">
        <f t="shared" si="276"/>
        <v>0</v>
      </c>
      <c r="CV318" s="2">
        <f t="shared" si="277"/>
        <v>0</v>
      </c>
      <c r="CW318" s="2">
        <f t="shared" si="278"/>
        <v>0</v>
      </c>
      <c r="CX318" s="2">
        <f t="shared" si="279"/>
        <v>0</v>
      </c>
      <c r="CY318" s="2">
        <f t="shared" si="298"/>
        <v>0</v>
      </c>
      <c r="CZ318" s="2">
        <f t="shared" si="299"/>
        <v>0</v>
      </c>
      <c r="DA318" s="2"/>
      <c r="DB318" s="2"/>
      <c r="DC318" s="2" t="s">
        <v>3</v>
      </c>
      <c r="DD318" s="2" t="s">
        <v>3</v>
      </c>
      <c r="DE318" s="2" t="s">
        <v>3</v>
      </c>
      <c r="DF318" s="2" t="s">
        <v>3</v>
      </c>
      <c r="DG318" s="2" t="s">
        <v>3</v>
      </c>
      <c r="DH318" s="2" t="s">
        <v>3</v>
      </c>
      <c r="DI318" s="2" t="s">
        <v>3</v>
      </c>
      <c r="DJ318" s="2" t="s">
        <v>3</v>
      </c>
      <c r="DK318" s="2" t="s">
        <v>3</v>
      </c>
      <c r="DL318" s="2" t="s">
        <v>3</v>
      </c>
      <c r="DM318" s="2" t="s">
        <v>3</v>
      </c>
      <c r="DN318" s="2">
        <v>0</v>
      </c>
      <c r="DO318" s="2">
        <v>0</v>
      </c>
      <c r="DP318" s="2">
        <v>1</v>
      </c>
      <c r="DQ318" s="2">
        <v>1</v>
      </c>
      <c r="DR318" s="2"/>
      <c r="DS318" s="2"/>
      <c r="DT318" s="2"/>
      <c r="DU318" s="2">
        <v>1013</v>
      </c>
      <c r="DV318" s="2" t="s">
        <v>152</v>
      </c>
      <c r="DW318" s="2" t="s">
        <v>152</v>
      </c>
      <c r="DX318" s="2">
        <v>1</v>
      </c>
      <c r="DY318" s="2"/>
      <c r="DZ318" s="2" t="s">
        <v>3</v>
      </c>
      <c r="EA318" s="2" t="s">
        <v>3</v>
      </c>
      <c r="EB318" s="2" t="s">
        <v>3</v>
      </c>
      <c r="EC318" s="2" t="s">
        <v>3</v>
      </c>
      <c r="ED318" s="2"/>
      <c r="EE318" s="2">
        <v>57042888</v>
      </c>
      <c r="EF318" s="2">
        <v>213</v>
      </c>
      <c r="EG318" s="2" t="s">
        <v>159</v>
      </c>
      <c r="EH318" s="2">
        <v>0</v>
      </c>
      <c r="EI318" s="2" t="s">
        <v>3</v>
      </c>
      <c r="EJ318" s="2">
        <v>1</v>
      </c>
      <c r="EK318" s="2">
        <v>400005</v>
      </c>
      <c r="EL318" s="2" t="s">
        <v>159</v>
      </c>
      <c r="EM318" s="2" t="s">
        <v>160</v>
      </c>
      <c r="EN318" s="2"/>
      <c r="EO318" s="2" t="s">
        <v>3</v>
      </c>
      <c r="EP318" s="2"/>
      <c r="EQ318" s="2">
        <v>16</v>
      </c>
      <c r="ER318" s="2">
        <v>0</v>
      </c>
      <c r="ES318" s="2">
        <v>56.93</v>
      </c>
      <c r="ET318" s="2">
        <v>0</v>
      </c>
      <c r="EU318" s="2">
        <v>0</v>
      </c>
      <c r="EV318" s="2">
        <v>0</v>
      </c>
      <c r="EW318" s="2">
        <v>0</v>
      </c>
      <c r="EX318" s="2">
        <v>0</v>
      </c>
      <c r="EY318" s="2">
        <v>0</v>
      </c>
      <c r="EZ318" s="2"/>
      <c r="FA318" s="2"/>
      <c r="FB318" s="2"/>
      <c r="FC318" s="2"/>
      <c r="FD318" s="2"/>
      <c r="FE318" s="2"/>
      <c r="FF318" s="2"/>
      <c r="FG318" s="2"/>
      <c r="FH318" s="2"/>
      <c r="FI318" s="2"/>
      <c r="FJ318" s="2"/>
      <c r="FK318" s="2"/>
      <c r="FL318" s="2"/>
      <c r="FM318" s="2"/>
      <c r="FN318" s="2"/>
      <c r="FO318" s="2"/>
      <c r="FP318" s="2"/>
      <c r="FQ318" s="2">
        <v>0</v>
      </c>
      <c r="FR318" s="2">
        <v>0</v>
      </c>
      <c r="FS318" s="2">
        <v>0</v>
      </c>
      <c r="FT318" s="2"/>
      <c r="FU318" s="2"/>
      <c r="FV318" s="2"/>
      <c r="FW318" s="2"/>
      <c r="FX318" s="2">
        <v>0</v>
      </c>
      <c r="FY318" s="2">
        <v>0</v>
      </c>
      <c r="FZ318" s="2"/>
      <c r="GA318" s="2" t="s">
        <v>350</v>
      </c>
      <c r="GB318" s="2"/>
      <c r="GC318" s="2"/>
      <c r="GD318" s="2">
        <v>1</v>
      </c>
      <c r="GE318" s="2"/>
      <c r="GF318" s="2">
        <v>2008578560</v>
      </c>
      <c r="GG318" s="2">
        <v>2</v>
      </c>
      <c r="GH318" s="2">
        <v>4</v>
      </c>
      <c r="GI318" s="2">
        <v>-2</v>
      </c>
      <c r="GJ318" s="2">
        <v>0</v>
      </c>
      <c r="GK318" s="2">
        <v>0</v>
      </c>
      <c r="GL318" s="2">
        <f t="shared" si="280"/>
        <v>0</v>
      </c>
      <c r="GM318" s="2">
        <f t="shared" si="281"/>
        <v>56.93</v>
      </c>
      <c r="GN318" s="2">
        <f t="shared" si="282"/>
        <v>56.93</v>
      </c>
      <c r="GO318" s="2">
        <f t="shared" si="283"/>
        <v>0</v>
      </c>
      <c r="GP318" s="2">
        <f t="shared" si="284"/>
        <v>0</v>
      </c>
      <c r="GQ318" s="2"/>
      <c r="GR318" s="2">
        <v>1</v>
      </c>
      <c r="GS318" s="2">
        <v>2</v>
      </c>
      <c r="GT318" s="2">
        <v>0</v>
      </c>
      <c r="GU318" s="2" t="s">
        <v>3</v>
      </c>
      <c r="GV318" s="2">
        <f t="shared" si="285"/>
        <v>0</v>
      </c>
      <c r="GW318" s="2">
        <v>1</v>
      </c>
      <c r="GX318" s="2">
        <f t="shared" si="286"/>
        <v>0</v>
      </c>
      <c r="GY318" s="2"/>
      <c r="GZ318" s="2"/>
      <c r="HA318" s="2">
        <v>0</v>
      </c>
      <c r="HB318" s="2">
        <v>0</v>
      </c>
      <c r="HC318" s="2">
        <f t="shared" si="287"/>
        <v>0</v>
      </c>
      <c r="HD318" s="2"/>
      <c r="HE318" s="2" t="s">
        <v>162</v>
      </c>
      <c r="HF318" s="2" t="s">
        <v>35</v>
      </c>
      <c r="HG318" s="2"/>
      <c r="HH318" s="2"/>
      <c r="HI318" s="2"/>
      <c r="HJ318" s="2"/>
      <c r="HK318" s="2"/>
      <c r="HL318" s="2"/>
      <c r="HM318" s="2" t="s">
        <v>3</v>
      </c>
      <c r="HN318" s="2" t="s">
        <v>3</v>
      </c>
      <c r="HO318" s="2" t="s">
        <v>3</v>
      </c>
      <c r="HP318" s="2" t="s">
        <v>3</v>
      </c>
      <c r="HQ318" s="2" t="s">
        <v>3</v>
      </c>
      <c r="HR318" s="2"/>
      <c r="HS318" s="2">
        <v>0</v>
      </c>
      <c r="HT318" s="2"/>
      <c r="HU318" s="2"/>
      <c r="HV318" s="2"/>
      <c r="HW318" s="2"/>
      <c r="HX318" s="2"/>
      <c r="HY318" s="2"/>
      <c r="HZ318" s="2"/>
      <c r="IA318" s="2"/>
      <c r="IB318" s="2"/>
      <c r="IC318" s="2"/>
      <c r="ID318" s="2"/>
      <c r="IE318" s="2"/>
      <c r="IF318" s="2"/>
      <c r="IG318" s="2"/>
      <c r="IH318" s="2"/>
      <c r="II318" s="2"/>
      <c r="IJ318" s="2"/>
      <c r="IK318" s="2">
        <v>0</v>
      </c>
      <c r="IL318" s="2"/>
      <c r="IM318" s="2"/>
      <c r="IN318" s="2"/>
      <c r="IO318" s="2"/>
      <c r="IP318" s="2"/>
      <c r="IQ318" s="2"/>
      <c r="IR318" s="2"/>
      <c r="IS318" s="2"/>
      <c r="IT318" s="2"/>
      <c r="IU318" s="2"/>
    </row>
    <row r="319" spans="1:255" x14ac:dyDescent="0.25">
      <c r="A319" s="3">
        <v>17</v>
      </c>
      <c r="B319" s="3">
        <v>1</v>
      </c>
      <c r="E319" s="3" t="s">
        <v>347</v>
      </c>
      <c r="F319" s="3" t="s">
        <v>348</v>
      </c>
      <c r="G319" s="3" t="s">
        <v>349</v>
      </c>
      <c r="H319" s="3" t="s">
        <v>152</v>
      </c>
      <c r="I319" s="3">
        <v>1</v>
      </c>
      <c r="J319" s="3">
        <v>0</v>
      </c>
      <c r="K319" s="3">
        <v>1</v>
      </c>
      <c r="O319" s="3">
        <f t="shared" si="263"/>
        <v>560.19000000000005</v>
      </c>
      <c r="P319" s="3">
        <f t="shared" si="264"/>
        <v>560.19000000000005</v>
      </c>
      <c r="Q319" s="3">
        <f t="shared" si="288"/>
        <v>0</v>
      </c>
      <c r="R319" s="3">
        <f t="shared" si="289"/>
        <v>0</v>
      </c>
      <c r="S319" s="3">
        <f t="shared" si="265"/>
        <v>0</v>
      </c>
      <c r="T319" s="3">
        <f t="shared" si="266"/>
        <v>0</v>
      </c>
      <c r="U319" s="3">
        <f t="shared" si="267"/>
        <v>0</v>
      </c>
      <c r="V319" s="3">
        <f t="shared" si="268"/>
        <v>0</v>
      </c>
      <c r="W319" s="3">
        <f t="shared" si="269"/>
        <v>0</v>
      </c>
      <c r="X319" s="3">
        <f t="shared" si="290"/>
        <v>0</v>
      </c>
      <c r="Y319" s="3">
        <f t="shared" si="291"/>
        <v>0</v>
      </c>
      <c r="AA319" s="3">
        <v>57014140</v>
      </c>
      <c r="AB319" s="3">
        <f t="shared" si="270"/>
        <v>56.93</v>
      </c>
      <c r="AC319" s="3">
        <f t="shared" si="292"/>
        <v>56.93</v>
      </c>
      <c r="AD319" s="3">
        <f t="shared" si="293"/>
        <v>0</v>
      </c>
      <c r="AE319" s="3">
        <f t="shared" si="294"/>
        <v>0</v>
      </c>
      <c r="AF319" s="3">
        <f t="shared" si="294"/>
        <v>0</v>
      </c>
      <c r="AG319" s="3">
        <f t="shared" si="271"/>
        <v>0</v>
      </c>
      <c r="AH319" s="3">
        <f t="shared" si="295"/>
        <v>0</v>
      </c>
      <c r="AI319" s="3">
        <f t="shared" si="295"/>
        <v>0</v>
      </c>
      <c r="AJ319" s="3">
        <f t="shared" si="272"/>
        <v>0</v>
      </c>
      <c r="AK319" s="3">
        <v>56.93</v>
      </c>
      <c r="AL319" s="3">
        <v>56.93</v>
      </c>
      <c r="AM319" s="3">
        <v>0</v>
      </c>
      <c r="AN319" s="3">
        <v>0</v>
      </c>
      <c r="AO319" s="3">
        <v>0</v>
      </c>
      <c r="AP319" s="3">
        <v>0</v>
      </c>
      <c r="AQ319" s="3">
        <v>0</v>
      </c>
      <c r="AR319" s="3">
        <v>0</v>
      </c>
      <c r="AS319" s="3">
        <v>0</v>
      </c>
      <c r="AT319" s="3">
        <v>0</v>
      </c>
      <c r="AU319" s="3">
        <v>0</v>
      </c>
      <c r="AV319" s="3">
        <v>1</v>
      </c>
      <c r="AW319" s="3">
        <v>1</v>
      </c>
      <c r="AZ319" s="3">
        <v>1</v>
      </c>
      <c r="BA319" s="3">
        <v>1</v>
      </c>
      <c r="BB319" s="3">
        <v>1</v>
      </c>
      <c r="BC319" s="3">
        <v>9.84</v>
      </c>
      <c r="BD319" s="3" t="s">
        <v>3</v>
      </c>
      <c r="BE319" s="3" t="s">
        <v>3</v>
      </c>
      <c r="BF319" s="3" t="s">
        <v>3</v>
      </c>
      <c r="BG319" s="3" t="s">
        <v>3</v>
      </c>
      <c r="BH319" s="3">
        <v>3</v>
      </c>
      <c r="BI319" s="3">
        <v>1</v>
      </c>
      <c r="BJ319" s="3" t="s">
        <v>348</v>
      </c>
      <c r="BM319" s="3">
        <v>400005</v>
      </c>
      <c r="BN319" s="3">
        <v>0</v>
      </c>
      <c r="BO319" s="3" t="s">
        <v>3</v>
      </c>
      <c r="BP319" s="3">
        <v>0</v>
      </c>
      <c r="BQ319" s="3">
        <v>213</v>
      </c>
      <c r="BR319" s="3">
        <v>0</v>
      </c>
      <c r="BS319" s="3">
        <v>1</v>
      </c>
      <c r="BT319" s="3">
        <v>1</v>
      </c>
      <c r="BU319" s="3">
        <v>1</v>
      </c>
      <c r="BV319" s="3">
        <v>1</v>
      </c>
      <c r="BW319" s="3">
        <v>1</v>
      </c>
      <c r="BX319" s="3">
        <v>1</v>
      </c>
      <c r="BY319" s="3" t="s">
        <v>3</v>
      </c>
      <c r="BZ319" s="3">
        <v>0</v>
      </c>
      <c r="CA319" s="3">
        <v>0</v>
      </c>
      <c r="CB319" s="3" t="s">
        <v>3</v>
      </c>
      <c r="CE319" s="3">
        <v>1566</v>
      </c>
      <c r="CF319" s="3">
        <v>0</v>
      </c>
      <c r="CG319" s="3">
        <v>0</v>
      </c>
      <c r="CM319" s="3">
        <v>0</v>
      </c>
      <c r="CN319" s="3" t="s">
        <v>3</v>
      </c>
      <c r="CO319" s="3">
        <v>0</v>
      </c>
      <c r="CP319" s="3">
        <f t="shared" si="273"/>
        <v>560.19000000000005</v>
      </c>
      <c r="CQ319" s="3">
        <f t="shared" si="274"/>
        <v>560.19000000000005</v>
      </c>
      <c r="CR319" s="3">
        <f t="shared" si="296"/>
        <v>0</v>
      </c>
      <c r="CS319" s="3">
        <f t="shared" si="297"/>
        <v>0</v>
      </c>
      <c r="CT319" s="3">
        <f t="shared" si="275"/>
        <v>0</v>
      </c>
      <c r="CU319" s="3">
        <f t="shared" si="276"/>
        <v>0</v>
      </c>
      <c r="CV319" s="3">
        <f t="shared" si="277"/>
        <v>0</v>
      </c>
      <c r="CW319" s="3">
        <f t="shared" si="278"/>
        <v>0</v>
      </c>
      <c r="CX319" s="3">
        <f t="shared" si="279"/>
        <v>0</v>
      </c>
      <c r="CY319" s="3">
        <f t="shared" si="298"/>
        <v>0</v>
      </c>
      <c r="CZ319" s="3">
        <f t="shared" si="299"/>
        <v>0</v>
      </c>
      <c r="DC319" s="3" t="s">
        <v>3</v>
      </c>
      <c r="DD319" s="3" t="s">
        <v>3</v>
      </c>
      <c r="DE319" s="3" t="s">
        <v>3</v>
      </c>
      <c r="DF319" s="3" t="s">
        <v>3</v>
      </c>
      <c r="DG319" s="3" t="s">
        <v>3</v>
      </c>
      <c r="DH319" s="3" t="s">
        <v>3</v>
      </c>
      <c r="DI319" s="3" t="s">
        <v>3</v>
      </c>
      <c r="DJ319" s="3" t="s">
        <v>3</v>
      </c>
      <c r="DK319" s="3" t="s">
        <v>3</v>
      </c>
      <c r="DL319" s="3" t="s">
        <v>3</v>
      </c>
      <c r="DM319" s="3" t="s">
        <v>3</v>
      </c>
      <c r="DN319" s="3">
        <v>0</v>
      </c>
      <c r="DO319" s="3">
        <v>0</v>
      </c>
      <c r="DP319" s="3">
        <v>1</v>
      </c>
      <c r="DQ319" s="3">
        <v>1</v>
      </c>
      <c r="DU319" s="3">
        <v>1013</v>
      </c>
      <c r="DV319" s="3" t="s">
        <v>152</v>
      </c>
      <c r="DW319" s="3" t="s">
        <v>152</v>
      </c>
      <c r="DX319" s="3">
        <v>1</v>
      </c>
      <c r="DZ319" s="3" t="s">
        <v>3</v>
      </c>
      <c r="EA319" s="3" t="s">
        <v>3</v>
      </c>
      <c r="EB319" s="3" t="s">
        <v>3</v>
      </c>
      <c r="EC319" s="3" t="s">
        <v>3</v>
      </c>
      <c r="EE319" s="3">
        <v>57042888</v>
      </c>
      <c r="EF319" s="3">
        <v>213</v>
      </c>
      <c r="EG319" s="3" t="s">
        <v>159</v>
      </c>
      <c r="EH319" s="3">
        <v>0</v>
      </c>
      <c r="EI319" s="3" t="s">
        <v>3</v>
      </c>
      <c r="EJ319" s="3">
        <v>1</v>
      </c>
      <c r="EK319" s="3">
        <v>400005</v>
      </c>
      <c r="EL319" s="3" t="s">
        <v>159</v>
      </c>
      <c r="EM319" s="3" t="s">
        <v>160</v>
      </c>
      <c r="EO319" s="3" t="s">
        <v>3</v>
      </c>
      <c r="EQ319" s="3">
        <v>16</v>
      </c>
      <c r="ER319" s="3">
        <v>0</v>
      </c>
      <c r="ES319" s="3">
        <v>56.93</v>
      </c>
      <c r="ET319" s="3">
        <v>0</v>
      </c>
      <c r="EU319" s="3">
        <v>0</v>
      </c>
      <c r="EV319" s="3">
        <v>0</v>
      </c>
      <c r="EW319" s="3">
        <v>0</v>
      </c>
      <c r="EX319" s="3">
        <v>0</v>
      </c>
      <c r="EY319" s="3">
        <v>0</v>
      </c>
      <c r="EZ319" s="3">
        <v>5</v>
      </c>
      <c r="FC319" s="3">
        <v>1</v>
      </c>
      <c r="FD319" s="3">
        <v>18</v>
      </c>
      <c r="FF319" s="3">
        <v>670</v>
      </c>
      <c r="FQ319" s="3">
        <v>0</v>
      </c>
      <c r="FR319" s="3">
        <v>0</v>
      </c>
      <c r="FS319" s="3">
        <v>0</v>
      </c>
      <c r="FX319" s="3">
        <v>0</v>
      </c>
      <c r="FY319" s="3">
        <v>0</v>
      </c>
      <c r="GA319" s="3" t="s">
        <v>350</v>
      </c>
      <c r="GD319" s="3">
        <v>1</v>
      </c>
      <c r="GF319" s="3">
        <v>2008578560</v>
      </c>
      <c r="GG319" s="3">
        <v>2</v>
      </c>
      <c r="GH319" s="3">
        <v>3</v>
      </c>
      <c r="GI319" s="3">
        <v>5</v>
      </c>
      <c r="GJ319" s="3">
        <v>0</v>
      </c>
      <c r="GK319" s="3">
        <v>0</v>
      </c>
      <c r="GL319" s="3">
        <f t="shared" si="280"/>
        <v>0</v>
      </c>
      <c r="GM319" s="3">
        <f t="shared" si="281"/>
        <v>560.19000000000005</v>
      </c>
      <c r="GN319" s="3">
        <f t="shared" si="282"/>
        <v>560.19000000000005</v>
      </c>
      <c r="GO319" s="3">
        <f t="shared" si="283"/>
        <v>0</v>
      </c>
      <c r="GP319" s="3">
        <f t="shared" si="284"/>
        <v>0</v>
      </c>
      <c r="GR319" s="3">
        <v>1</v>
      </c>
      <c r="GS319" s="3">
        <v>1</v>
      </c>
      <c r="GT319" s="3">
        <v>0</v>
      </c>
      <c r="GU319" s="3" t="s">
        <v>3</v>
      </c>
      <c r="GV319" s="3">
        <f t="shared" si="285"/>
        <v>0</v>
      </c>
      <c r="GW319" s="3">
        <v>1</v>
      </c>
      <c r="GX319" s="3">
        <f t="shared" si="286"/>
        <v>0</v>
      </c>
      <c r="HA319" s="3">
        <v>0</v>
      </c>
      <c r="HB319" s="3">
        <v>0</v>
      </c>
      <c r="HC319" s="3">
        <f t="shared" si="287"/>
        <v>0</v>
      </c>
      <c r="HE319" s="3" t="s">
        <v>162</v>
      </c>
      <c r="HF319" s="3" t="s">
        <v>35</v>
      </c>
      <c r="HM319" s="3" t="s">
        <v>3</v>
      </c>
      <c r="HN319" s="3" t="s">
        <v>3</v>
      </c>
      <c r="HO319" s="3" t="s">
        <v>3</v>
      </c>
      <c r="HP319" s="3" t="s">
        <v>3</v>
      </c>
      <c r="HQ319" s="3" t="s">
        <v>3</v>
      </c>
      <c r="HS319" s="3">
        <v>0</v>
      </c>
      <c r="IK319" s="3">
        <v>0</v>
      </c>
    </row>
    <row r="320" spans="1:255" x14ac:dyDescent="0.25">
      <c r="A320" s="2">
        <v>17</v>
      </c>
      <c r="B320" s="2">
        <v>1</v>
      </c>
      <c r="C320" s="2"/>
      <c r="D320" s="2"/>
      <c r="E320" s="2" t="s">
        <v>351</v>
      </c>
      <c r="F320" s="2" t="s">
        <v>352</v>
      </c>
      <c r="G320" s="2" t="s">
        <v>353</v>
      </c>
      <c r="H320" s="2" t="s">
        <v>152</v>
      </c>
      <c r="I320" s="2">
        <v>4</v>
      </c>
      <c r="J320" s="2">
        <v>0</v>
      </c>
      <c r="K320" s="2">
        <v>4</v>
      </c>
      <c r="L320" s="2"/>
      <c r="M320" s="2"/>
      <c r="N320" s="2"/>
      <c r="O320" s="2">
        <f t="shared" si="263"/>
        <v>251.48</v>
      </c>
      <c r="P320" s="2">
        <f t="shared" si="264"/>
        <v>251.48</v>
      </c>
      <c r="Q320" s="2">
        <f t="shared" si="288"/>
        <v>0</v>
      </c>
      <c r="R320" s="2">
        <f t="shared" si="289"/>
        <v>0</v>
      </c>
      <c r="S320" s="2">
        <f t="shared" si="265"/>
        <v>0</v>
      </c>
      <c r="T320" s="2">
        <f t="shared" si="266"/>
        <v>0</v>
      </c>
      <c r="U320" s="2">
        <f t="shared" si="267"/>
        <v>0</v>
      </c>
      <c r="V320" s="2">
        <f t="shared" si="268"/>
        <v>0</v>
      </c>
      <c r="W320" s="2">
        <f t="shared" si="269"/>
        <v>0</v>
      </c>
      <c r="X320" s="2">
        <f t="shared" si="290"/>
        <v>0</v>
      </c>
      <c r="Y320" s="2">
        <f t="shared" si="291"/>
        <v>0</v>
      </c>
      <c r="Z320" s="2"/>
      <c r="AA320" s="2">
        <v>57014138</v>
      </c>
      <c r="AB320" s="2">
        <f t="shared" si="270"/>
        <v>62.87</v>
      </c>
      <c r="AC320" s="2">
        <f t="shared" si="292"/>
        <v>62.87</v>
      </c>
      <c r="AD320" s="2">
        <f t="shared" si="293"/>
        <v>0</v>
      </c>
      <c r="AE320" s="2">
        <f t="shared" si="294"/>
        <v>0</v>
      </c>
      <c r="AF320" s="2">
        <f t="shared" si="294"/>
        <v>0</v>
      </c>
      <c r="AG320" s="2">
        <f t="shared" si="271"/>
        <v>0</v>
      </c>
      <c r="AH320" s="2">
        <f t="shared" si="295"/>
        <v>0</v>
      </c>
      <c r="AI320" s="2">
        <f t="shared" si="295"/>
        <v>0</v>
      </c>
      <c r="AJ320" s="2">
        <f t="shared" si="272"/>
        <v>0</v>
      </c>
      <c r="AK320" s="2">
        <v>62.87</v>
      </c>
      <c r="AL320" s="2">
        <v>62.87</v>
      </c>
      <c r="AM320" s="2">
        <v>0</v>
      </c>
      <c r="AN320" s="2">
        <v>0</v>
      </c>
      <c r="AO320" s="2">
        <v>0</v>
      </c>
      <c r="AP320" s="2">
        <v>0</v>
      </c>
      <c r="AQ320" s="2">
        <v>0</v>
      </c>
      <c r="AR320" s="2">
        <v>0</v>
      </c>
      <c r="AS320" s="2">
        <v>0</v>
      </c>
      <c r="AT320" s="2">
        <v>0</v>
      </c>
      <c r="AU320" s="2">
        <v>0</v>
      </c>
      <c r="AV320" s="2">
        <v>1</v>
      </c>
      <c r="AW320" s="2">
        <v>1</v>
      </c>
      <c r="AX320" s="2"/>
      <c r="AY320" s="2"/>
      <c r="AZ320" s="2">
        <v>1</v>
      </c>
      <c r="BA320" s="2">
        <v>1</v>
      </c>
      <c r="BB320" s="2">
        <v>1</v>
      </c>
      <c r="BC320" s="2">
        <v>1</v>
      </c>
      <c r="BD320" s="2" t="s">
        <v>3</v>
      </c>
      <c r="BE320" s="2" t="s">
        <v>3</v>
      </c>
      <c r="BF320" s="2" t="s">
        <v>3</v>
      </c>
      <c r="BG320" s="2" t="s">
        <v>3</v>
      </c>
      <c r="BH320" s="2">
        <v>3</v>
      </c>
      <c r="BI320" s="2">
        <v>1</v>
      </c>
      <c r="BJ320" s="2" t="s">
        <v>352</v>
      </c>
      <c r="BK320" s="2"/>
      <c r="BL320" s="2"/>
      <c r="BM320" s="2">
        <v>400005</v>
      </c>
      <c r="BN320" s="2">
        <v>0</v>
      </c>
      <c r="BO320" s="2" t="s">
        <v>3</v>
      </c>
      <c r="BP320" s="2">
        <v>0</v>
      </c>
      <c r="BQ320" s="2">
        <v>213</v>
      </c>
      <c r="BR320" s="2">
        <v>0</v>
      </c>
      <c r="BS320" s="2">
        <v>1</v>
      </c>
      <c r="BT320" s="2">
        <v>1</v>
      </c>
      <c r="BU320" s="2">
        <v>1</v>
      </c>
      <c r="BV320" s="2">
        <v>1</v>
      </c>
      <c r="BW320" s="2">
        <v>1</v>
      </c>
      <c r="BX320" s="2">
        <v>1</v>
      </c>
      <c r="BY320" s="2" t="s">
        <v>3</v>
      </c>
      <c r="BZ320" s="2">
        <v>0</v>
      </c>
      <c r="CA320" s="2">
        <v>0</v>
      </c>
      <c r="CB320" s="2" t="s">
        <v>3</v>
      </c>
      <c r="CC320" s="2"/>
      <c r="CD320" s="2"/>
      <c r="CE320" s="2">
        <v>1566</v>
      </c>
      <c r="CF320" s="2">
        <v>0</v>
      </c>
      <c r="CG320" s="2">
        <v>0</v>
      </c>
      <c r="CH320" s="2"/>
      <c r="CI320" s="2"/>
      <c r="CJ320" s="2"/>
      <c r="CK320" s="2"/>
      <c r="CL320" s="2"/>
      <c r="CM320" s="2">
        <v>0</v>
      </c>
      <c r="CN320" s="2" t="s">
        <v>3</v>
      </c>
      <c r="CO320" s="2">
        <v>0</v>
      </c>
      <c r="CP320" s="2">
        <f t="shared" si="273"/>
        <v>251.48</v>
      </c>
      <c r="CQ320" s="2">
        <f t="shared" si="274"/>
        <v>62.87</v>
      </c>
      <c r="CR320" s="2">
        <f t="shared" si="296"/>
        <v>0</v>
      </c>
      <c r="CS320" s="2">
        <f t="shared" si="297"/>
        <v>0</v>
      </c>
      <c r="CT320" s="2">
        <f t="shared" si="275"/>
        <v>0</v>
      </c>
      <c r="CU320" s="2">
        <f t="shared" si="276"/>
        <v>0</v>
      </c>
      <c r="CV320" s="2">
        <f t="shared" si="277"/>
        <v>0</v>
      </c>
      <c r="CW320" s="2">
        <f t="shared" si="278"/>
        <v>0</v>
      </c>
      <c r="CX320" s="2">
        <f t="shared" si="279"/>
        <v>0</v>
      </c>
      <c r="CY320" s="2">
        <f t="shared" si="298"/>
        <v>0</v>
      </c>
      <c r="CZ320" s="2">
        <f t="shared" si="299"/>
        <v>0</v>
      </c>
      <c r="DA320" s="2"/>
      <c r="DB320" s="2"/>
      <c r="DC320" s="2" t="s">
        <v>3</v>
      </c>
      <c r="DD320" s="2" t="s">
        <v>3</v>
      </c>
      <c r="DE320" s="2" t="s">
        <v>3</v>
      </c>
      <c r="DF320" s="2" t="s">
        <v>3</v>
      </c>
      <c r="DG320" s="2" t="s">
        <v>3</v>
      </c>
      <c r="DH320" s="2" t="s">
        <v>3</v>
      </c>
      <c r="DI320" s="2" t="s">
        <v>3</v>
      </c>
      <c r="DJ320" s="2" t="s">
        <v>3</v>
      </c>
      <c r="DK320" s="2" t="s">
        <v>3</v>
      </c>
      <c r="DL320" s="2" t="s">
        <v>3</v>
      </c>
      <c r="DM320" s="2" t="s">
        <v>3</v>
      </c>
      <c r="DN320" s="2">
        <v>0</v>
      </c>
      <c r="DO320" s="2">
        <v>0</v>
      </c>
      <c r="DP320" s="2">
        <v>1</v>
      </c>
      <c r="DQ320" s="2">
        <v>1</v>
      </c>
      <c r="DR320" s="2"/>
      <c r="DS320" s="2"/>
      <c r="DT320" s="2"/>
      <c r="DU320" s="2">
        <v>1013</v>
      </c>
      <c r="DV320" s="2" t="s">
        <v>152</v>
      </c>
      <c r="DW320" s="2" t="s">
        <v>152</v>
      </c>
      <c r="DX320" s="2">
        <v>1</v>
      </c>
      <c r="DY320" s="2"/>
      <c r="DZ320" s="2" t="s">
        <v>3</v>
      </c>
      <c r="EA320" s="2" t="s">
        <v>3</v>
      </c>
      <c r="EB320" s="2" t="s">
        <v>3</v>
      </c>
      <c r="EC320" s="2" t="s">
        <v>3</v>
      </c>
      <c r="ED320" s="2"/>
      <c r="EE320" s="2">
        <v>57042888</v>
      </c>
      <c r="EF320" s="2">
        <v>213</v>
      </c>
      <c r="EG320" s="2" t="s">
        <v>159</v>
      </c>
      <c r="EH320" s="2">
        <v>0</v>
      </c>
      <c r="EI320" s="2" t="s">
        <v>3</v>
      </c>
      <c r="EJ320" s="2">
        <v>1</v>
      </c>
      <c r="EK320" s="2">
        <v>400005</v>
      </c>
      <c r="EL320" s="2" t="s">
        <v>159</v>
      </c>
      <c r="EM320" s="2" t="s">
        <v>160</v>
      </c>
      <c r="EN320" s="2"/>
      <c r="EO320" s="2" t="s">
        <v>3</v>
      </c>
      <c r="EP320" s="2"/>
      <c r="EQ320" s="2">
        <v>16</v>
      </c>
      <c r="ER320" s="2">
        <v>0</v>
      </c>
      <c r="ES320" s="2">
        <v>62.87</v>
      </c>
      <c r="ET320" s="2">
        <v>0</v>
      </c>
      <c r="EU320" s="2">
        <v>0</v>
      </c>
      <c r="EV320" s="2">
        <v>0</v>
      </c>
      <c r="EW320" s="2">
        <v>0</v>
      </c>
      <c r="EX320" s="2">
        <v>0</v>
      </c>
      <c r="EY320" s="2">
        <v>0</v>
      </c>
      <c r="EZ320" s="2"/>
      <c r="FA320" s="2"/>
      <c r="FB320" s="2"/>
      <c r="FC320" s="2"/>
      <c r="FD320" s="2"/>
      <c r="FE320" s="2"/>
      <c r="FF320" s="2"/>
      <c r="FG320" s="2"/>
      <c r="FH320" s="2"/>
      <c r="FI320" s="2"/>
      <c r="FJ320" s="2"/>
      <c r="FK320" s="2"/>
      <c r="FL320" s="2"/>
      <c r="FM320" s="2"/>
      <c r="FN320" s="2"/>
      <c r="FO320" s="2"/>
      <c r="FP320" s="2"/>
      <c r="FQ320" s="2">
        <v>0</v>
      </c>
      <c r="FR320" s="2">
        <v>0</v>
      </c>
      <c r="FS320" s="2">
        <v>0</v>
      </c>
      <c r="FT320" s="2"/>
      <c r="FU320" s="2"/>
      <c r="FV320" s="2"/>
      <c r="FW320" s="2"/>
      <c r="FX320" s="2">
        <v>0</v>
      </c>
      <c r="FY320" s="2">
        <v>0</v>
      </c>
      <c r="FZ320" s="2"/>
      <c r="GA320" s="2" t="s">
        <v>354</v>
      </c>
      <c r="GB320" s="2"/>
      <c r="GC320" s="2"/>
      <c r="GD320" s="2">
        <v>1</v>
      </c>
      <c r="GE320" s="2"/>
      <c r="GF320" s="2">
        <v>-1572968104</v>
      </c>
      <c r="GG320" s="2">
        <v>2</v>
      </c>
      <c r="GH320" s="2">
        <v>4</v>
      </c>
      <c r="GI320" s="2">
        <v>-2</v>
      </c>
      <c r="GJ320" s="2">
        <v>0</v>
      </c>
      <c r="GK320" s="2">
        <v>0</v>
      </c>
      <c r="GL320" s="2">
        <f t="shared" si="280"/>
        <v>0</v>
      </c>
      <c r="GM320" s="2">
        <f t="shared" si="281"/>
        <v>251.48</v>
      </c>
      <c r="GN320" s="2">
        <f t="shared" si="282"/>
        <v>251.48</v>
      </c>
      <c r="GO320" s="2">
        <f t="shared" si="283"/>
        <v>0</v>
      </c>
      <c r="GP320" s="2">
        <f t="shared" si="284"/>
        <v>0</v>
      </c>
      <c r="GQ320" s="2"/>
      <c r="GR320" s="2">
        <v>1</v>
      </c>
      <c r="GS320" s="2">
        <v>2</v>
      </c>
      <c r="GT320" s="2">
        <v>0</v>
      </c>
      <c r="GU320" s="2" t="s">
        <v>3</v>
      </c>
      <c r="GV320" s="2">
        <f t="shared" si="285"/>
        <v>0</v>
      </c>
      <c r="GW320" s="2">
        <v>1</v>
      </c>
      <c r="GX320" s="2">
        <f t="shared" si="286"/>
        <v>0</v>
      </c>
      <c r="GY320" s="2"/>
      <c r="GZ320" s="2"/>
      <c r="HA320" s="2">
        <v>0</v>
      </c>
      <c r="HB320" s="2">
        <v>0</v>
      </c>
      <c r="HC320" s="2">
        <f t="shared" si="287"/>
        <v>0</v>
      </c>
      <c r="HD320" s="2"/>
      <c r="HE320" s="2" t="s">
        <v>162</v>
      </c>
      <c r="HF320" s="2" t="s">
        <v>35</v>
      </c>
      <c r="HG320" s="2"/>
      <c r="HH320" s="2"/>
      <c r="HI320" s="2"/>
      <c r="HJ320" s="2"/>
      <c r="HK320" s="2"/>
      <c r="HL320" s="2"/>
      <c r="HM320" s="2" t="s">
        <v>3</v>
      </c>
      <c r="HN320" s="2" t="s">
        <v>3</v>
      </c>
      <c r="HO320" s="2" t="s">
        <v>3</v>
      </c>
      <c r="HP320" s="2" t="s">
        <v>3</v>
      </c>
      <c r="HQ320" s="2" t="s">
        <v>3</v>
      </c>
      <c r="HR320" s="2"/>
      <c r="HS320" s="2">
        <v>0</v>
      </c>
      <c r="HT320" s="2"/>
      <c r="HU320" s="2"/>
      <c r="HV320" s="2"/>
      <c r="HW320" s="2"/>
      <c r="HX320" s="2"/>
      <c r="HY320" s="2"/>
      <c r="HZ320" s="2"/>
      <c r="IA320" s="2"/>
      <c r="IB320" s="2"/>
      <c r="IC320" s="2"/>
      <c r="ID320" s="2"/>
      <c r="IE320" s="2"/>
      <c r="IF320" s="2"/>
      <c r="IG320" s="2"/>
      <c r="IH320" s="2"/>
      <c r="II320" s="2"/>
      <c r="IJ320" s="2"/>
      <c r="IK320" s="2">
        <v>0</v>
      </c>
      <c r="IL320" s="2"/>
      <c r="IM320" s="2"/>
      <c r="IN320" s="2"/>
      <c r="IO320" s="2"/>
      <c r="IP320" s="2"/>
      <c r="IQ320" s="2"/>
      <c r="IR320" s="2"/>
      <c r="IS320" s="2"/>
      <c r="IT320" s="2"/>
      <c r="IU320" s="2"/>
    </row>
    <row r="321" spans="1:255" x14ac:dyDescent="0.25">
      <c r="A321" s="3">
        <v>17</v>
      </c>
      <c r="B321" s="3">
        <v>1</v>
      </c>
      <c r="E321" s="3" t="s">
        <v>351</v>
      </c>
      <c r="F321" s="3" t="s">
        <v>352</v>
      </c>
      <c r="G321" s="3" t="s">
        <v>353</v>
      </c>
      <c r="H321" s="3" t="s">
        <v>152</v>
      </c>
      <c r="I321" s="3">
        <v>4</v>
      </c>
      <c r="J321" s="3">
        <v>0</v>
      </c>
      <c r="K321" s="3">
        <v>4</v>
      </c>
      <c r="O321" s="3">
        <f t="shared" si="263"/>
        <v>2474.56</v>
      </c>
      <c r="P321" s="3">
        <f t="shared" si="264"/>
        <v>2474.56</v>
      </c>
      <c r="Q321" s="3">
        <f t="shared" si="288"/>
        <v>0</v>
      </c>
      <c r="R321" s="3">
        <f t="shared" si="289"/>
        <v>0</v>
      </c>
      <c r="S321" s="3">
        <f t="shared" si="265"/>
        <v>0</v>
      </c>
      <c r="T321" s="3">
        <f t="shared" si="266"/>
        <v>0</v>
      </c>
      <c r="U321" s="3">
        <f t="shared" si="267"/>
        <v>0</v>
      </c>
      <c r="V321" s="3">
        <f t="shared" si="268"/>
        <v>0</v>
      </c>
      <c r="W321" s="3">
        <f t="shared" si="269"/>
        <v>0</v>
      </c>
      <c r="X321" s="3">
        <f t="shared" si="290"/>
        <v>0</v>
      </c>
      <c r="Y321" s="3">
        <f t="shared" si="291"/>
        <v>0</v>
      </c>
      <c r="AA321" s="3">
        <v>57014140</v>
      </c>
      <c r="AB321" s="3">
        <f t="shared" si="270"/>
        <v>62.87</v>
      </c>
      <c r="AC321" s="3">
        <f t="shared" si="292"/>
        <v>62.87</v>
      </c>
      <c r="AD321" s="3">
        <f t="shared" si="293"/>
        <v>0</v>
      </c>
      <c r="AE321" s="3">
        <f t="shared" si="294"/>
        <v>0</v>
      </c>
      <c r="AF321" s="3">
        <f t="shared" si="294"/>
        <v>0</v>
      </c>
      <c r="AG321" s="3">
        <f t="shared" si="271"/>
        <v>0</v>
      </c>
      <c r="AH321" s="3">
        <f t="shared" si="295"/>
        <v>0</v>
      </c>
      <c r="AI321" s="3">
        <f t="shared" si="295"/>
        <v>0</v>
      </c>
      <c r="AJ321" s="3">
        <f t="shared" si="272"/>
        <v>0</v>
      </c>
      <c r="AK321" s="3">
        <v>62.87</v>
      </c>
      <c r="AL321" s="3">
        <v>62.87</v>
      </c>
      <c r="AM321" s="3">
        <v>0</v>
      </c>
      <c r="AN321" s="3">
        <v>0</v>
      </c>
      <c r="AO321" s="3">
        <v>0</v>
      </c>
      <c r="AP321" s="3">
        <v>0</v>
      </c>
      <c r="AQ321" s="3">
        <v>0</v>
      </c>
      <c r="AR321" s="3">
        <v>0</v>
      </c>
      <c r="AS321" s="3">
        <v>0</v>
      </c>
      <c r="AT321" s="3">
        <v>0</v>
      </c>
      <c r="AU321" s="3">
        <v>0</v>
      </c>
      <c r="AV321" s="3">
        <v>1</v>
      </c>
      <c r="AW321" s="3">
        <v>1</v>
      </c>
      <c r="AZ321" s="3">
        <v>1</v>
      </c>
      <c r="BA321" s="3">
        <v>1</v>
      </c>
      <c r="BB321" s="3">
        <v>1</v>
      </c>
      <c r="BC321" s="3">
        <v>9.84</v>
      </c>
      <c r="BD321" s="3" t="s">
        <v>3</v>
      </c>
      <c r="BE321" s="3" t="s">
        <v>3</v>
      </c>
      <c r="BF321" s="3" t="s">
        <v>3</v>
      </c>
      <c r="BG321" s="3" t="s">
        <v>3</v>
      </c>
      <c r="BH321" s="3">
        <v>3</v>
      </c>
      <c r="BI321" s="3">
        <v>1</v>
      </c>
      <c r="BJ321" s="3" t="s">
        <v>352</v>
      </c>
      <c r="BM321" s="3">
        <v>400005</v>
      </c>
      <c r="BN321" s="3">
        <v>0</v>
      </c>
      <c r="BO321" s="3" t="s">
        <v>3</v>
      </c>
      <c r="BP321" s="3">
        <v>0</v>
      </c>
      <c r="BQ321" s="3">
        <v>213</v>
      </c>
      <c r="BR321" s="3">
        <v>0</v>
      </c>
      <c r="BS321" s="3">
        <v>1</v>
      </c>
      <c r="BT321" s="3">
        <v>1</v>
      </c>
      <c r="BU321" s="3">
        <v>1</v>
      </c>
      <c r="BV321" s="3">
        <v>1</v>
      </c>
      <c r="BW321" s="3">
        <v>1</v>
      </c>
      <c r="BX321" s="3">
        <v>1</v>
      </c>
      <c r="BY321" s="3" t="s">
        <v>3</v>
      </c>
      <c r="BZ321" s="3">
        <v>0</v>
      </c>
      <c r="CA321" s="3">
        <v>0</v>
      </c>
      <c r="CB321" s="3" t="s">
        <v>3</v>
      </c>
      <c r="CE321" s="3">
        <v>1566</v>
      </c>
      <c r="CF321" s="3">
        <v>0</v>
      </c>
      <c r="CG321" s="3">
        <v>0</v>
      </c>
      <c r="CM321" s="3">
        <v>0</v>
      </c>
      <c r="CN321" s="3" t="s">
        <v>3</v>
      </c>
      <c r="CO321" s="3">
        <v>0</v>
      </c>
      <c r="CP321" s="3">
        <f t="shared" si="273"/>
        <v>2474.56</v>
      </c>
      <c r="CQ321" s="3">
        <f t="shared" si="274"/>
        <v>618.64</v>
      </c>
      <c r="CR321" s="3">
        <f t="shared" si="296"/>
        <v>0</v>
      </c>
      <c r="CS321" s="3">
        <f t="shared" si="297"/>
        <v>0</v>
      </c>
      <c r="CT321" s="3">
        <f t="shared" si="275"/>
        <v>0</v>
      </c>
      <c r="CU321" s="3">
        <f t="shared" si="276"/>
        <v>0</v>
      </c>
      <c r="CV321" s="3">
        <f t="shared" si="277"/>
        <v>0</v>
      </c>
      <c r="CW321" s="3">
        <f t="shared" si="278"/>
        <v>0</v>
      </c>
      <c r="CX321" s="3">
        <f t="shared" si="279"/>
        <v>0</v>
      </c>
      <c r="CY321" s="3">
        <f t="shared" si="298"/>
        <v>0</v>
      </c>
      <c r="CZ321" s="3">
        <f t="shared" si="299"/>
        <v>0</v>
      </c>
      <c r="DC321" s="3" t="s">
        <v>3</v>
      </c>
      <c r="DD321" s="3" t="s">
        <v>3</v>
      </c>
      <c r="DE321" s="3" t="s">
        <v>3</v>
      </c>
      <c r="DF321" s="3" t="s">
        <v>3</v>
      </c>
      <c r="DG321" s="3" t="s">
        <v>3</v>
      </c>
      <c r="DH321" s="3" t="s">
        <v>3</v>
      </c>
      <c r="DI321" s="3" t="s">
        <v>3</v>
      </c>
      <c r="DJ321" s="3" t="s">
        <v>3</v>
      </c>
      <c r="DK321" s="3" t="s">
        <v>3</v>
      </c>
      <c r="DL321" s="3" t="s">
        <v>3</v>
      </c>
      <c r="DM321" s="3" t="s">
        <v>3</v>
      </c>
      <c r="DN321" s="3">
        <v>0</v>
      </c>
      <c r="DO321" s="3">
        <v>0</v>
      </c>
      <c r="DP321" s="3">
        <v>1</v>
      </c>
      <c r="DQ321" s="3">
        <v>1</v>
      </c>
      <c r="DU321" s="3">
        <v>1013</v>
      </c>
      <c r="DV321" s="3" t="s">
        <v>152</v>
      </c>
      <c r="DW321" s="3" t="s">
        <v>152</v>
      </c>
      <c r="DX321" s="3">
        <v>1</v>
      </c>
      <c r="DZ321" s="3" t="s">
        <v>3</v>
      </c>
      <c r="EA321" s="3" t="s">
        <v>3</v>
      </c>
      <c r="EB321" s="3" t="s">
        <v>3</v>
      </c>
      <c r="EC321" s="3" t="s">
        <v>3</v>
      </c>
      <c r="EE321" s="3">
        <v>57042888</v>
      </c>
      <c r="EF321" s="3">
        <v>213</v>
      </c>
      <c r="EG321" s="3" t="s">
        <v>159</v>
      </c>
      <c r="EH321" s="3">
        <v>0</v>
      </c>
      <c r="EI321" s="3" t="s">
        <v>3</v>
      </c>
      <c r="EJ321" s="3">
        <v>1</v>
      </c>
      <c r="EK321" s="3">
        <v>400005</v>
      </c>
      <c r="EL321" s="3" t="s">
        <v>159</v>
      </c>
      <c r="EM321" s="3" t="s">
        <v>160</v>
      </c>
      <c r="EO321" s="3" t="s">
        <v>3</v>
      </c>
      <c r="EQ321" s="3">
        <v>16</v>
      </c>
      <c r="ER321" s="3">
        <v>0</v>
      </c>
      <c r="ES321" s="3">
        <v>62.87</v>
      </c>
      <c r="ET321" s="3">
        <v>0</v>
      </c>
      <c r="EU321" s="3">
        <v>0</v>
      </c>
      <c r="EV321" s="3">
        <v>0</v>
      </c>
      <c r="EW321" s="3">
        <v>0</v>
      </c>
      <c r="EX321" s="3">
        <v>0</v>
      </c>
      <c r="EY321" s="3">
        <v>0</v>
      </c>
      <c r="EZ321" s="3">
        <v>5</v>
      </c>
      <c r="FC321" s="3">
        <v>1</v>
      </c>
      <c r="FD321" s="3">
        <v>18</v>
      </c>
      <c r="FF321" s="3">
        <v>740</v>
      </c>
      <c r="FQ321" s="3">
        <v>0</v>
      </c>
      <c r="FR321" s="3">
        <v>0</v>
      </c>
      <c r="FS321" s="3">
        <v>0</v>
      </c>
      <c r="FX321" s="3">
        <v>0</v>
      </c>
      <c r="FY321" s="3">
        <v>0</v>
      </c>
      <c r="GA321" s="3" t="s">
        <v>354</v>
      </c>
      <c r="GD321" s="3">
        <v>1</v>
      </c>
      <c r="GF321" s="3">
        <v>-1572968104</v>
      </c>
      <c r="GG321" s="3">
        <v>2</v>
      </c>
      <c r="GH321" s="3">
        <v>3</v>
      </c>
      <c r="GI321" s="3">
        <v>5</v>
      </c>
      <c r="GJ321" s="3">
        <v>0</v>
      </c>
      <c r="GK321" s="3">
        <v>0</v>
      </c>
      <c r="GL321" s="3">
        <f t="shared" si="280"/>
        <v>0</v>
      </c>
      <c r="GM321" s="3">
        <f t="shared" si="281"/>
        <v>2474.56</v>
      </c>
      <c r="GN321" s="3">
        <f t="shared" si="282"/>
        <v>2474.56</v>
      </c>
      <c r="GO321" s="3">
        <f t="shared" si="283"/>
        <v>0</v>
      </c>
      <c r="GP321" s="3">
        <f t="shared" si="284"/>
        <v>0</v>
      </c>
      <c r="GR321" s="3">
        <v>1</v>
      </c>
      <c r="GS321" s="3">
        <v>1</v>
      </c>
      <c r="GT321" s="3">
        <v>0</v>
      </c>
      <c r="GU321" s="3" t="s">
        <v>3</v>
      </c>
      <c r="GV321" s="3">
        <f t="shared" si="285"/>
        <v>0</v>
      </c>
      <c r="GW321" s="3">
        <v>1</v>
      </c>
      <c r="GX321" s="3">
        <f t="shared" si="286"/>
        <v>0</v>
      </c>
      <c r="HA321" s="3">
        <v>0</v>
      </c>
      <c r="HB321" s="3">
        <v>0</v>
      </c>
      <c r="HC321" s="3">
        <f t="shared" si="287"/>
        <v>0</v>
      </c>
      <c r="HE321" s="3" t="s">
        <v>162</v>
      </c>
      <c r="HF321" s="3" t="s">
        <v>35</v>
      </c>
      <c r="HM321" s="3" t="s">
        <v>3</v>
      </c>
      <c r="HN321" s="3" t="s">
        <v>3</v>
      </c>
      <c r="HO321" s="3" t="s">
        <v>3</v>
      </c>
      <c r="HP321" s="3" t="s">
        <v>3</v>
      </c>
      <c r="HQ321" s="3" t="s">
        <v>3</v>
      </c>
      <c r="HS321" s="3">
        <v>0</v>
      </c>
      <c r="IK321" s="3">
        <v>0</v>
      </c>
    </row>
    <row r="322" spans="1:255" x14ac:dyDescent="0.25">
      <c r="A322" s="2">
        <v>17</v>
      </c>
      <c r="B322" s="2">
        <v>1</v>
      </c>
      <c r="C322" s="2">
        <f>ROW(SmtRes!A243)</f>
        <v>243</v>
      </c>
      <c r="D322" s="2">
        <f>ROW(EtalonRes!A314)</f>
        <v>314</v>
      </c>
      <c r="E322" s="2" t="s">
        <v>3</v>
      </c>
      <c r="F322" s="2" t="s">
        <v>355</v>
      </c>
      <c r="G322" s="2" t="s">
        <v>356</v>
      </c>
      <c r="H322" s="2" t="s">
        <v>357</v>
      </c>
      <c r="I322" s="2">
        <f>ROUND(4550/100,9)</f>
        <v>45.5</v>
      </c>
      <c r="J322" s="2">
        <v>0</v>
      </c>
      <c r="K322" s="2">
        <f>ROUND(4550/100,9)</f>
        <v>45.5</v>
      </c>
      <c r="L322" s="2"/>
      <c r="M322" s="2"/>
      <c r="N322" s="2"/>
      <c r="O322" s="2">
        <f t="shared" si="263"/>
        <v>913.16</v>
      </c>
      <c r="P322" s="2">
        <f t="shared" si="264"/>
        <v>25.94</v>
      </c>
      <c r="Q322" s="2">
        <f>(ROUND((ROUND((((ET322*1.2))*AV322*I322),2)*BB322),2)+ROUND((ROUND(((AE322-((EU322*1.2)))*AV322*I322),2)*BS322),2))</f>
        <v>0</v>
      </c>
      <c r="R322" s="2">
        <f>(ROUND((ROUND((((EU322*1.2))*AV322*I322),2)*BS322),2)+ROUND((ROUND(((AE322-((EU322*1.2)))*AV322*I322),2)*BS322),2))</f>
        <v>0</v>
      </c>
      <c r="S322" s="2">
        <f t="shared" si="265"/>
        <v>887.22</v>
      </c>
      <c r="T322" s="2">
        <f t="shared" si="266"/>
        <v>0</v>
      </c>
      <c r="U322" s="2">
        <f t="shared" si="267"/>
        <v>72.029411999999994</v>
      </c>
      <c r="V322" s="2">
        <f t="shared" si="268"/>
        <v>0</v>
      </c>
      <c r="W322" s="2">
        <f t="shared" si="269"/>
        <v>0</v>
      </c>
      <c r="X322" s="2">
        <f>(ROUND((((S322+ROUND((ROUND((((EU322*1.2))*AV322*I322),2)*BS322),2))*AT322)/100),2)+ROUND(((ROUND((ROUND(((AE322-((EU322*1.2)))*AV322*I322),2)*BS322),2)*AT322)/100),2))</f>
        <v>860.6</v>
      </c>
      <c r="Y322" s="2">
        <f>(ROUND((((S322+ROUND((ROUND((((EU322*1.2))*AV322*I322),2)*BS322),2))*AU322)/100),2)+ROUND(((ROUND((ROUND(((AE322-((EU322*1.2)))*AV322*I322),2)*BS322),2)*AU322)/100),2))</f>
        <v>452.48</v>
      </c>
      <c r="Z322" s="2"/>
      <c r="AA322" s="2">
        <v>-1</v>
      </c>
      <c r="AB322" s="2">
        <f t="shared" si="270"/>
        <v>19.193999999999999</v>
      </c>
      <c r="AC322" s="2">
        <f>ROUND(((ES322*1)),6)</f>
        <v>0.56999999999999995</v>
      </c>
      <c r="AD322" s="2">
        <f>ROUND(((((ET322*1.2))-((EU322*1.2)))+AE322),6)</f>
        <v>0</v>
      </c>
      <c r="AE322" s="2">
        <f>ROUND(((EU322*1.2)),6)</f>
        <v>0</v>
      </c>
      <c r="AF322" s="2">
        <f>ROUND(((EV322*1.2)),6)</f>
        <v>18.623999999999999</v>
      </c>
      <c r="AG322" s="2">
        <f t="shared" si="271"/>
        <v>0</v>
      </c>
      <c r="AH322" s="2">
        <f>((EW322*1.2))</f>
        <v>1.512</v>
      </c>
      <c r="AI322" s="2">
        <f>((EX322*1.2))</f>
        <v>0</v>
      </c>
      <c r="AJ322" s="2">
        <f t="shared" si="272"/>
        <v>0</v>
      </c>
      <c r="AK322" s="2">
        <v>16.09</v>
      </c>
      <c r="AL322" s="2">
        <v>0.56999999999999995</v>
      </c>
      <c r="AM322" s="2">
        <v>0</v>
      </c>
      <c r="AN322" s="2">
        <v>0</v>
      </c>
      <c r="AO322" s="2">
        <v>15.52</v>
      </c>
      <c r="AP322" s="2">
        <v>0</v>
      </c>
      <c r="AQ322" s="2">
        <v>1.26</v>
      </c>
      <c r="AR322" s="2">
        <v>0</v>
      </c>
      <c r="AS322" s="2">
        <v>0</v>
      </c>
      <c r="AT322" s="2">
        <v>97</v>
      </c>
      <c r="AU322" s="2">
        <v>51</v>
      </c>
      <c r="AV322" s="2">
        <v>1.0469999999999999</v>
      </c>
      <c r="AW322" s="2">
        <v>1</v>
      </c>
      <c r="AX322" s="2"/>
      <c r="AY322" s="2"/>
      <c r="AZ322" s="2">
        <v>1</v>
      </c>
      <c r="BA322" s="2">
        <v>1</v>
      </c>
      <c r="BB322" s="2">
        <v>1</v>
      </c>
      <c r="BC322" s="2">
        <v>1</v>
      </c>
      <c r="BD322" s="2" t="s">
        <v>3</v>
      </c>
      <c r="BE322" s="2" t="s">
        <v>3</v>
      </c>
      <c r="BF322" s="2" t="s">
        <v>3</v>
      </c>
      <c r="BG322" s="2" t="s">
        <v>3</v>
      </c>
      <c r="BH322" s="2">
        <v>0</v>
      </c>
      <c r="BI322" s="2">
        <v>2</v>
      </c>
      <c r="BJ322" s="2" t="s">
        <v>358</v>
      </c>
      <c r="BK322" s="2"/>
      <c r="BL322" s="2"/>
      <c r="BM322" s="2">
        <v>67</v>
      </c>
      <c r="BN322" s="2">
        <v>0</v>
      </c>
      <c r="BO322" s="2" t="s">
        <v>355</v>
      </c>
      <c r="BP322" s="2">
        <v>1</v>
      </c>
      <c r="BQ322" s="2">
        <v>40</v>
      </c>
      <c r="BR322" s="2">
        <v>0</v>
      </c>
      <c r="BS322" s="2">
        <v>1</v>
      </c>
      <c r="BT322" s="2">
        <v>1</v>
      </c>
      <c r="BU322" s="2">
        <v>1</v>
      </c>
      <c r="BV322" s="2">
        <v>1</v>
      </c>
      <c r="BW322" s="2">
        <v>1</v>
      </c>
      <c r="BX322" s="2">
        <v>1</v>
      </c>
      <c r="BY322" s="2" t="s">
        <v>3</v>
      </c>
      <c r="BZ322" s="2">
        <v>97</v>
      </c>
      <c r="CA322" s="2">
        <v>51</v>
      </c>
      <c r="CB322" s="2" t="s">
        <v>3</v>
      </c>
      <c r="CC322" s="2"/>
      <c r="CD322" s="2"/>
      <c r="CE322" s="2">
        <v>1566</v>
      </c>
      <c r="CF322" s="2">
        <v>0</v>
      </c>
      <c r="CG322" s="2">
        <v>0</v>
      </c>
      <c r="CH322" s="2"/>
      <c r="CI322" s="2"/>
      <c r="CJ322" s="2"/>
      <c r="CK322" s="2"/>
      <c r="CL322" s="2"/>
      <c r="CM322" s="2">
        <v>0</v>
      </c>
      <c r="CN322" s="2" t="s">
        <v>624</v>
      </c>
      <c r="CO322" s="2">
        <v>0</v>
      </c>
      <c r="CP322" s="2">
        <f t="shared" si="273"/>
        <v>913.16000000000008</v>
      </c>
      <c r="CQ322" s="2">
        <f t="shared" si="274"/>
        <v>0.56999999999999995</v>
      </c>
      <c r="CR322" s="2">
        <f>(ROUND((ROUND((((ET322*1.2))*AV322*1),2)*BB322),2)+ROUND((ROUND(((AE322-((EU322*1.2)))*AV322*1),2)*BS322),2))</f>
        <v>0</v>
      </c>
      <c r="CS322" s="2">
        <f>(ROUND((ROUND((((EU322*1.2))*AV322*1),2)*BS322),2)+ROUND((ROUND(((AE322-((EU322*1.2)))*AV322*1),2)*BS322),2))</f>
        <v>0</v>
      </c>
      <c r="CT322" s="2">
        <f t="shared" si="275"/>
        <v>19.5</v>
      </c>
      <c r="CU322" s="2">
        <f t="shared" si="276"/>
        <v>0</v>
      </c>
      <c r="CV322" s="2">
        <f t="shared" si="277"/>
        <v>1.5830639999999998</v>
      </c>
      <c r="CW322" s="2">
        <f t="shared" si="278"/>
        <v>0</v>
      </c>
      <c r="CX322" s="2">
        <f t="shared" si="279"/>
        <v>0</v>
      </c>
      <c r="CY322" s="2">
        <f>(ROUND((((S322+ROUND((ROUND((((EU322*1.2))*AV322*1),2)*BS322),2))*AT322)/100),2)+ROUND(((ROUND((ROUND(((AE322-((EU322*1.2)))*AV322*1),2)*BS322),2)*AT322)/100),2))</f>
        <v>860.6</v>
      </c>
      <c r="CZ322" s="2">
        <f>(ROUND((((S322+ROUND((ROUND((((EU322*1.2))*AV322*1),2)*BS322),2))*AU322)/100),2)+ROUND(((ROUND((ROUND(((AE322-((EU322*1.2)))*AV322*1),2)*BS322),2)*AU322)/100),2))</f>
        <v>452.48</v>
      </c>
      <c r="DA322" s="2"/>
      <c r="DB322" s="2">
        <v>97</v>
      </c>
      <c r="DC322" s="2" t="s">
        <v>3</v>
      </c>
      <c r="DD322" s="2" t="s">
        <v>70</v>
      </c>
      <c r="DE322" s="2" t="s">
        <v>71</v>
      </c>
      <c r="DF322" s="2" t="s">
        <v>71</v>
      </c>
      <c r="DG322" s="2" t="s">
        <v>71</v>
      </c>
      <c r="DH322" s="2" t="s">
        <v>3</v>
      </c>
      <c r="DI322" s="2" t="s">
        <v>71</v>
      </c>
      <c r="DJ322" s="2" t="s">
        <v>71</v>
      </c>
      <c r="DK322" s="2" t="s">
        <v>3</v>
      </c>
      <c r="DL322" s="2" t="s">
        <v>3</v>
      </c>
      <c r="DM322" s="2" t="s">
        <v>3</v>
      </c>
      <c r="DN322" s="2">
        <v>0</v>
      </c>
      <c r="DO322" s="2">
        <v>0</v>
      </c>
      <c r="DP322" s="2">
        <v>1</v>
      </c>
      <c r="DQ322" s="2">
        <v>1</v>
      </c>
      <c r="DR322" s="2"/>
      <c r="DS322" s="2"/>
      <c r="DT322" s="2"/>
      <c r="DU322" s="2">
        <v>1013</v>
      </c>
      <c r="DV322" s="2" t="s">
        <v>357</v>
      </c>
      <c r="DW322" s="2" t="s">
        <v>357</v>
      </c>
      <c r="DX322" s="2">
        <v>1</v>
      </c>
      <c r="DY322" s="2"/>
      <c r="DZ322" s="2" t="s">
        <v>3</v>
      </c>
      <c r="EA322" s="2" t="s">
        <v>3</v>
      </c>
      <c r="EB322" s="2" t="s">
        <v>3</v>
      </c>
      <c r="EC322" s="2" t="s">
        <v>3</v>
      </c>
      <c r="ED322" s="2"/>
      <c r="EE322" s="2">
        <v>57042957</v>
      </c>
      <c r="EF322" s="2">
        <v>40</v>
      </c>
      <c r="EG322" s="2" t="s">
        <v>31</v>
      </c>
      <c r="EH322" s="2">
        <v>0</v>
      </c>
      <c r="EI322" s="2" t="s">
        <v>3</v>
      </c>
      <c r="EJ322" s="2">
        <v>2</v>
      </c>
      <c r="EK322" s="2">
        <v>67</v>
      </c>
      <c r="EL322" s="2" t="s">
        <v>190</v>
      </c>
      <c r="EM322" s="2" t="s">
        <v>191</v>
      </c>
      <c r="EN322" s="2"/>
      <c r="EO322" s="2" t="s">
        <v>75</v>
      </c>
      <c r="EP322" s="2"/>
      <c r="EQ322" s="2">
        <v>1024</v>
      </c>
      <c r="ER322" s="2">
        <v>16.09</v>
      </c>
      <c r="ES322" s="2">
        <v>0.56999999999999995</v>
      </c>
      <c r="ET322" s="2">
        <v>0</v>
      </c>
      <c r="EU322" s="2">
        <v>0</v>
      </c>
      <c r="EV322" s="2">
        <v>15.52</v>
      </c>
      <c r="EW322" s="2">
        <v>1.26</v>
      </c>
      <c r="EX322" s="2">
        <v>0</v>
      </c>
      <c r="EY322" s="2">
        <v>0</v>
      </c>
      <c r="EZ322" s="2"/>
      <c r="FA322" s="2"/>
      <c r="FB322" s="2"/>
      <c r="FC322" s="2"/>
      <c r="FD322" s="2"/>
      <c r="FE322" s="2"/>
      <c r="FF322" s="2"/>
      <c r="FG322" s="2"/>
      <c r="FH322" s="2"/>
      <c r="FI322" s="2"/>
      <c r="FJ322" s="2"/>
      <c r="FK322" s="2"/>
      <c r="FL322" s="2"/>
      <c r="FM322" s="2"/>
      <c r="FN322" s="2"/>
      <c r="FO322" s="2"/>
      <c r="FP322" s="2"/>
      <c r="FQ322" s="2">
        <v>0</v>
      </c>
      <c r="FR322" s="2">
        <v>0</v>
      </c>
      <c r="FS322" s="2">
        <v>0</v>
      </c>
      <c r="FT322" s="2"/>
      <c r="FU322" s="2"/>
      <c r="FV322" s="2"/>
      <c r="FW322" s="2"/>
      <c r="FX322" s="2">
        <v>97</v>
      </c>
      <c r="FY322" s="2">
        <v>51</v>
      </c>
      <c r="FZ322" s="2"/>
      <c r="GA322" s="2" t="s">
        <v>3</v>
      </c>
      <c r="GB322" s="2"/>
      <c r="GC322" s="2"/>
      <c r="GD322" s="2">
        <v>1</v>
      </c>
      <c r="GE322" s="2"/>
      <c r="GF322" s="2">
        <v>2037938139</v>
      </c>
      <c r="GG322" s="2">
        <v>2</v>
      </c>
      <c r="GH322" s="2">
        <v>1</v>
      </c>
      <c r="GI322" s="2">
        <v>2</v>
      </c>
      <c r="GJ322" s="2">
        <v>0</v>
      </c>
      <c r="GK322" s="2">
        <v>0</v>
      </c>
      <c r="GL322" s="2">
        <f t="shared" si="280"/>
        <v>0</v>
      </c>
      <c r="GM322" s="2">
        <f t="shared" si="281"/>
        <v>2226.2399999999998</v>
      </c>
      <c r="GN322" s="2">
        <f t="shared" si="282"/>
        <v>0</v>
      </c>
      <c r="GO322" s="2">
        <f t="shared" si="283"/>
        <v>2226.2399999999998</v>
      </c>
      <c r="GP322" s="2">
        <f t="shared" si="284"/>
        <v>0</v>
      </c>
      <c r="GQ322" s="2"/>
      <c r="GR322" s="2">
        <v>0</v>
      </c>
      <c r="GS322" s="2">
        <v>3</v>
      </c>
      <c r="GT322" s="2">
        <v>0</v>
      </c>
      <c r="GU322" s="2" t="s">
        <v>3</v>
      </c>
      <c r="GV322" s="2">
        <f t="shared" si="285"/>
        <v>0</v>
      </c>
      <c r="GW322" s="2">
        <v>1</v>
      </c>
      <c r="GX322" s="2">
        <f t="shared" si="286"/>
        <v>0</v>
      </c>
      <c r="GY322" s="2"/>
      <c r="GZ322" s="2"/>
      <c r="HA322" s="2">
        <v>0</v>
      </c>
      <c r="HB322" s="2">
        <v>0</v>
      </c>
      <c r="HC322" s="2">
        <f t="shared" si="287"/>
        <v>0</v>
      </c>
      <c r="HD322" s="2"/>
      <c r="HE322" s="2" t="s">
        <v>3</v>
      </c>
      <c r="HF322" s="2" t="s">
        <v>3</v>
      </c>
      <c r="HG322" s="2"/>
      <c r="HH322" s="2"/>
      <c r="HI322" s="2"/>
      <c r="HJ322" s="2"/>
      <c r="HK322" s="2"/>
      <c r="HL322" s="2"/>
      <c r="HM322" s="2" t="s">
        <v>3</v>
      </c>
      <c r="HN322" s="2" t="s">
        <v>3</v>
      </c>
      <c r="HO322" s="2" t="s">
        <v>3</v>
      </c>
      <c r="HP322" s="2" t="s">
        <v>3</v>
      </c>
      <c r="HQ322" s="2" t="s">
        <v>3</v>
      </c>
      <c r="HR322" s="2"/>
      <c r="HS322" s="2">
        <v>0</v>
      </c>
      <c r="HT322" s="2"/>
      <c r="HU322" s="2"/>
      <c r="HV322" s="2"/>
      <c r="HW322" s="2"/>
      <c r="HX322" s="2"/>
      <c r="HY322" s="2"/>
      <c r="HZ322" s="2"/>
      <c r="IA322" s="2"/>
      <c r="IB322" s="2"/>
      <c r="IC322" s="2"/>
      <c r="ID322" s="2"/>
      <c r="IE322" s="2"/>
      <c r="IF322" s="2"/>
      <c r="IG322" s="2"/>
      <c r="IH322" s="2"/>
      <c r="II322" s="2"/>
      <c r="IJ322" s="2"/>
      <c r="IK322" s="2">
        <v>0</v>
      </c>
      <c r="IL322" s="2"/>
      <c r="IM322" s="2"/>
      <c r="IN322" s="2"/>
      <c r="IO322" s="2"/>
      <c r="IP322" s="2"/>
      <c r="IQ322" s="2"/>
      <c r="IR322" s="2"/>
      <c r="IS322" s="2"/>
      <c r="IT322" s="2"/>
      <c r="IU322" s="2"/>
    </row>
    <row r="323" spans="1:255" x14ac:dyDescent="0.25">
      <c r="A323" s="3">
        <v>17</v>
      </c>
      <c r="B323" s="3">
        <v>1</v>
      </c>
      <c r="C323" s="3">
        <f>ROW(SmtRes!A244)</f>
        <v>244</v>
      </c>
      <c r="D323" s="3">
        <f>ROW(EtalonRes!A316)</f>
        <v>316</v>
      </c>
      <c r="E323" s="3" t="s">
        <v>3</v>
      </c>
      <c r="F323" s="3" t="s">
        <v>355</v>
      </c>
      <c r="G323" s="3" t="s">
        <v>356</v>
      </c>
      <c r="H323" s="3" t="s">
        <v>357</v>
      </c>
      <c r="I323" s="3">
        <f>ROUND(4550/100,9)</f>
        <v>45.5</v>
      </c>
      <c r="J323" s="3">
        <v>0</v>
      </c>
      <c r="K323" s="3">
        <f>ROUND(4550/100,9)</f>
        <v>45.5</v>
      </c>
      <c r="O323" s="3">
        <f t="shared" si="263"/>
        <v>50466.7</v>
      </c>
      <c r="P323" s="3">
        <f t="shared" si="264"/>
        <v>471.85</v>
      </c>
      <c r="Q323" s="3">
        <f>(ROUND((ROUND((((ET323*1.2))*AV323*I323),2)*BB323),2)+ROUND((ROUND(((AE323-((EU323*1.2)))*AV323*I323),2)*BS323),2))</f>
        <v>0</v>
      </c>
      <c r="R323" s="3">
        <f>(ROUND((ROUND((((EU323*1.2))*AV323*I323),2)*BS323),2)+ROUND((ROUND(((AE323-((EU323*1.2)))*AV323*I323),2)*BS323),2))</f>
        <v>0</v>
      </c>
      <c r="S323" s="3">
        <f t="shared" si="265"/>
        <v>49994.85</v>
      </c>
      <c r="T323" s="3">
        <f t="shared" si="266"/>
        <v>0</v>
      </c>
      <c r="U323" s="3">
        <f t="shared" si="267"/>
        <v>72.029411999999994</v>
      </c>
      <c r="V323" s="3">
        <f t="shared" si="268"/>
        <v>0</v>
      </c>
      <c r="W323" s="3">
        <f t="shared" si="269"/>
        <v>0</v>
      </c>
      <c r="X323" s="3">
        <f>(ROUND((((S323+ROUND((ROUND((((EU323*1.2))*AV323*I323),2)*BS323),2))*AT323)/100),2)+ROUND(((ROUND((ROUND(((AE323-((EU323*1.2)))*AV323*I323),2)*BS323),2)*AT323)/100),2))</f>
        <v>48495</v>
      </c>
      <c r="Y323" s="3">
        <f>(ROUND((((S323+ROUND((ROUND((((EU323*1.2))*AV323*I323),2)*BS323),2))*AU323)/100),2)+ROUND(((ROUND((ROUND(((AE323-((EU323*1.2)))*AV323*I323),2)*BS323),2)*AU323)/100),2))</f>
        <v>25497.37</v>
      </c>
      <c r="AA323" s="3">
        <v>-1</v>
      </c>
      <c r="AB323" s="3">
        <f t="shared" si="270"/>
        <v>19.193999999999999</v>
      </c>
      <c r="AC323" s="3">
        <f>ROUND(((ES323*1)),6)</f>
        <v>0.56999999999999995</v>
      </c>
      <c r="AD323" s="3">
        <f>ROUND(((((ET323*1.2))-((EU323*1.2)))+AE323),6)</f>
        <v>0</v>
      </c>
      <c r="AE323" s="3">
        <f>ROUND(((EU323*1.2)),6)</f>
        <v>0</v>
      </c>
      <c r="AF323" s="3">
        <f>ROUND(((EV323*1.2)),6)</f>
        <v>18.623999999999999</v>
      </c>
      <c r="AG323" s="3">
        <f t="shared" si="271"/>
        <v>0</v>
      </c>
      <c r="AH323" s="3">
        <f>((EW323*1.2))</f>
        <v>1.512</v>
      </c>
      <c r="AI323" s="3">
        <f>((EX323*1.2))</f>
        <v>0</v>
      </c>
      <c r="AJ323" s="3">
        <f t="shared" si="272"/>
        <v>0</v>
      </c>
      <c r="AK323" s="3">
        <v>16.09</v>
      </c>
      <c r="AL323" s="3">
        <v>0.56999999999999995</v>
      </c>
      <c r="AM323" s="3">
        <v>0</v>
      </c>
      <c r="AN323" s="3">
        <v>0</v>
      </c>
      <c r="AO323" s="3">
        <v>15.52</v>
      </c>
      <c r="AP323" s="3">
        <v>0</v>
      </c>
      <c r="AQ323" s="3">
        <v>1.26</v>
      </c>
      <c r="AR323" s="3">
        <v>0</v>
      </c>
      <c r="AS323" s="3">
        <v>0</v>
      </c>
      <c r="AT323" s="3">
        <v>97</v>
      </c>
      <c r="AU323" s="3">
        <v>51</v>
      </c>
      <c r="AV323" s="3">
        <v>1.0469999999999999</v>
      </c>
      <c r="AW323" s="3">
        <v>1</v>
      </c>
      <c r="AZ323" s="3">
        <v>1</v>
      </c>
      <c r="BA323" s="3">
        <v>56.35</v>
      </c>
      <c r="BB323" s="3">
        <v>1</v>
      </c>
      <c r="BC323" s="3">
        <v>18.190000000000001</v>
      </c>
      <c r="BD323" s="3" t="s">
        <v>3</v>
      </c>
      <c r="BE323" s="3" t="s">
        <v>3</v>
      </c>
      <c r="BF323" s="3" t="s">
        <v>3</v>
      </c>
      <c r="BG323" s="3" t="s">
        <v>3</v>
      </c>
      <c r="BH323" s="3">
        <v>0</v>
      </c>
      <c r="BI323" s="3">
        <v>2</v>
      </c>
      <c r="BJ323" s="3" t="s">
        <v>358</v>
      </c>
      <c r="BM323" s="3">
        <v>67</v>
      </c>
      <c r="BN323" s="3">
        <v>0</v>
      </c>
      <c r="BO323" s="3" t="s">
        <v>355</v>
      </c>
      <c r="BP323" s="3">
        <v>1</v>
      </c>
      <c r="BQ323" s="3">
        <v>40</v>
      </c>
      <c r="BR323" s="3">
        <v>0</v>
      </c>
      <c r="BS323" s="3">
        <v>56.35</v>
      </c>
      <c r="BT323" s="3">
        <v>1</v>
      </c>
      <c r="BU323" s="3">
        <v>1</v>
      </c>
      <c r="BV323" s="3">
        <v>1</v>
      </c>
      <c r="BW323" s="3">
        <v>1</v>
      </c>
      <c r="BX323" s="3">
        <v>1</v>
      </c>
      <c r="BY323" s="3" t="s">
        <v>3</v>
      </c>
      <c r="BZ323" s="3">
        <v>97</v>
      </c>
      <c r="CA323" s="3">
        <v>51</v>
      </c>
      <c r="CB323" s="3" t="s">
        <v>3</v>
      </c>
      <c r="CE323" s="3">
        <v>1566</v>
      </c>
      <c r="CF323" s="3">
        <v>0</v>
      </c>
      <c r="CG323" s="3">
        <v>0</v>
      </c>
      <c r="CM323" s="3">
        <v>0</v>
      </c>
      <c r="CN323" s="3" t="s">
        <v>624</v>
      </c>
      <c r="CO323" s="3">
        <v>0</v>
      </c>
      <c r="CP323" s="3">
        <f t="shared" si="273"/>
        <v>50466.7</v>
      </c>
      <c r="CQ323" s="3">
        <f t="shared" si="274"/>
        <v>10.37</v>
      </c>
      <c r="CR323" s="3">
        <f>(ROUND((ROUND((((ET323*1.2))*AV323*1),2)*BB323),2)+ROUND((ROUND(((AE323-((EU323*1.2)))*AV323*1),2)*BS323),2))</f>
        <v>0</v>
      </c>
      <c r="CS323" s="3">
        <f>(ROUND((ROUND((((EU323*1.2))*AV323*1),2)*BS323),2)+ROUND((ROUND(((AE323-((EU323*1.2)))*AV323*1),2)*BS323),2))</f>
        <v>0</v>
      </c>
      <c r="CT323" s="3">
        <f t="shared" si="275"/>
        <v>1098.83</v>
      </c>
      <c r="CU323" s="3">
        <f t="shared" si="276"/>
        <v>0</v>
      </c>
      <c r="CV323" s="3">
        <f t="shared" si="277"/>
        <v>1.5830639999999998</v>
      </c>
      <c r="CW323" s="3">
        <f t="shared" si="278"/>
        <v>0</v>
      </c>
      <c r="CX323" s="3">
        <f t="shared" si="279"/>
        <v>0</v>
      </c>
      <c r="CY323" s="3">
        <f>(ROUND((((S323+ROUND((ROUND((((EU323*1.2))*AV323*1),2)*BS323),2))*AT323)/100),2)+ROUND(((ROUND((ROUND(((AE323-((EU323*1.2)))*AV323*1),2)*BS323),2)*AT323)/100),2))</f>
        <v>48495</v>
      </c>
      <c r="CZ323" s="3">
        <f>(ROUND((((S323+ROUND((ROUND((((EU323*1.2))*AV323*1),2)*BS323),2))*AU323)/100),2)+ROUND(((ROUND((ROUND(((AE323-((EU323*1.2)))*AV323*1),2)*BS323),2)*AU323)/100),2))</f>
        <v>25497.37</v>
      </c>
      <c r="DB323" s="3">
        <v>98</v>
      </c>
      <c r="DC323" s="3" t="s">
        <v>3</v>
      </c>
      <c r="DD323" s="3" t="s">
        <v>70</v>
      </c>
      <c r="DE323" s="3" t="s">
        <v>71</v>
      </c>
      <c r="DF323" s="3" t="s">
        <v>71</v>
      </c>
      <c r="DG323" s="3" t="s">
        <v>71</v>
      </c>
      <c r="DH323" s="3" t="s">
        <v>3</v>
      </c>
      <c r="DI323" s="3" t="s">
        <v>71</v>
      </c>
      <c r="DJ323" s="3" t="s">
        <v>71</v>
      </c>
      <c r="DK323" s="3" t="s">
        <v>3</v>
      </c>
      <c r="DL323" s="3" t="s">
        <v>3</v>
      </c>
      <c r="DM323" s="3" t="s">
        <v>3</v>
      </c>
      <c r="DN323" s="3">
        <v>0</v>
      </c>
      <c r="DO323" s="3">
        <v>0</v>
      </c>
      <c r="DP323" s="3">
        <v>1</v>
      </c>
      <c r="DQ323" s="3">
        <v>1</v>
      </c>
      <c r="DU323" s="3">
        <v>1013</v>
      </c>
      <c r="DV323" s="3" t="s">
        <v>357</v>
      </c>
      <c r="DW323" s="3" t="s">
        <v>357</v>
      </c>
      <c r="DX323" s="3">
        <v>1</v>
      </c>
      <c r="DZ323" s="3" t="s">
        <v>3</v>
      </c>
      <c r="EA323" s="3" t="s">
        <v>3</v>
      </c>
      <c r="EB323" s="3" t="s">
        <v>3</v>
      </c>
      <c r="EC323" s="3" t="s">
        <v>3</v>
      </c>
      <c r="EE323" s="3">
        <v>57042957</v>
      </c>
      <c r="EF323" s="3">
        <v>40</v>
      </c>
      <c r="EG323" s="3" t="s">
        <v>31</v>
      </c>
      <c r="EH323" s="3">
        <v>0</v>
      </c>
      <c r="EI323" s="3" t="s">
        <v>3</v>
      </c>
      <c r="EJ323" s="3">
        <v>2</v>
      </c>
      <c r="EK323" s="3">
        <v>67</v>
      </c>
      <c r="EL323" s="3" t="s">
        <v>190</v>
      </c>
      <c r="EM323" s="3" t="s">
        <v>191</v>
      </c>
      <c r="EO323" s="3" t="s">
        <v>75</v>
      </c>
      <c r="EQ323" s="3">
        <v>1024</v>
      </c>
      <c r="ER323" s="3">
        <v>16.09</v>
      </c>
      <c r="ES323" s="3">
        <v>0.56999999999999995</v>
      </c>
      <c r="ET323" s="3">
        <v>0</v>
      </c>
      <c r="EU323" s="3">
        <v>0</v>
      </c>
      <c r="EV323" s="3">
        <v>15.52</v>
      </c>
      <c r="EW323" s="3">
        <v>1.26</v>
      </c>
      <c r="EX323" s="3">
        <v>0</v>
      </c>
      <c r="EY323" s="3">
        <v>0</v>
      </c>
      <c r="FQ323" s="3">
        <v>0</v>
      </c>
      <c r="FR323" s="3">
        <v>0</v>
      </c>
      <c r="FS323" s="3">
        <v>0</v>
      </c>
      <c r="FX323" s="3">
        <v>97</v>
      </c>
      <c r="FY323" s="3">
        <v>51</v>
      </c>
      <c r="GA323" s="3" t="s">
        <v>3</v>
      </c>
      <c r="GD323" s="3">
        <v>1</v>
      </c>
      <c r="GF323" s="3">
        <v>2037938139</v>
      </c>
      <c r="GG323" s="3">
        <v>2</v>
      </c>
      <c r="GH323" s="3">
        <v>1</v>
      </c>
      <c r="GI323" s="3">
        <v>2</v>
      </c>
      <c r="GJ323" s="3">
        <v>0</v>
      </c>
      <c r="GK323" s="3">
        <v>0</v>
      </c>
      <c r="GL323" s="3">
        <f t="shared" si="280"/>
        <v>0</v>
      </c>
      <c r="GM323" s="3">
        <f t="shared" si="281"/>
        <v>124459.07</v>
      </c>
      <c r="GN323" s="3">
        <f t="shared" si="282"/>
        <v>0</v>
      </c>
      <c r="GO323" s="3">
        <f t="shared" si="283"/>
        <v>124459.07</v>
      </c>
      <c r="GP323" s="3">
        <f t="shared" si="284"/>
        <v>0</v>
      </c>
      <c r="GR323" s="3">
        <v>0</v>
      </c>
      <c r="GS323" s="3">
        <v>3</v>
      </c>
      <c r="GT323" s="3">
        <v>0</v>
      </c>
      <c r="GU323" s="3" t="s">
        <v>3</v>
      </c>
      <c r="GV323" s="3">
        <f t="shared" si="285"/>
        <v>0</v>
      </c>
      <c r="GW323" s="3">
        <v>1</v>
      </c>
      <c r="GX323" s="3">
        <f t="shared" si="286"/>
        <v>0</v>
      </c>
      <c r="HA323" s="3">
        <v>0</v>
      </c>
      <c r="HB323" s="3">
        <v>0</v>
      </c>
      <c r="HC323" s="3">
        <f t="shared" si="287"/>
        <v>0</v>
      </c>
      <c r="HE323" s="3" t="s">
        <v>3</v>
      </c>
      <c r="HF323" s="3" t="s">
        <v>3</v>
      </c>
      <c r="HM323" s="3" t="s">
        <v>3</v>
      </c>
      <c r="HN323" s="3" t="s">
        <v>3</v>
      </c>
      <c r="HO323" s="3" t="s">
        <v>3</v>
      </c>
      <c r="HP323" s="3" t="s">
        <v>3</v>
      </c>
      <c r="HQ323" s="3" t="s">
        <v>3</v>
      </c>
      <c r="HS323" s="3">
        <v>0</v>
      </c>
      <c r="IK323" s="3">
        <v>0</v>
      </c>
    </row>
    <row r="324" spans="1:255" x14ac:dyDescent="0.25">
      <c r="A324" s="2">
        <v>17</v>
      </c>
      <c r="B324" s="2">
        <v>1</v>
      </c>
      <c r="C324" s="2"/>
      <c r="D324" s="2"/>
      <c r="E324" s="2" t="s">
        <v>3</v>
      </c>
      <c r="F324" s="2" t="s">
        <v>359</v>
      </c>
      <c r="G324" s="2" t="s">
        <v>360</v>
      </c>
      <c r="H324" s="2" t="s">
        <v>361</v>
      </c>
      <c r="I324" s="2">
        <v>-1.3649999999999999E-3</v>
      </c>
      <c r="J324" s="2">
        <v>0</v>
      </c>
      <c r="K324" s="2">
        <v>-1.3649999999999999E-3</v>
      </c>
      <c r="L324" s="2"/>
      <c r="M324" s="2"/>
      <c r="N324" s="2"/>
      <c r="O324" s="2">
        <f t="shared" si="263"/>
        <v>-25.93</v>
      </c>
      <c r="P324" s="2">
        <f t="shared" si="264"/>
        <v>-25.93</v>
      </c>
      <c r="Q324" s="2">
        <f>(ROUND((ROUND(((ET324)*AV324*I324),2)*BB324),2)+ROUND((ROUND(((AE324-(EU324))*AV324*I324),2)*BS324),2))</f>
        <v>0</v>
      </c>
      <c r="R324" s="2">
        <f>(ROUND((ROUND(((EU324)*AV324*I324),2)*BS324),2)+ROUND((ROUND(((AE324-(EU324))*AV324*I324),2)*BS324),2))</f>
        <v>0</v>
      </c>
      <c r="S324" s="2">
        <f t="shared" si="265"/>
        <v>0</v>
      </c>
      <c r="T324" s="2">
        <f t="shared" si="266"/>
        <v>0</v>
      </c>
      <c r="U324" s="2">
        <f t="shared" si="267"/>
        <v>0</v>
      </c>
      <c r="V324" s="2">
        <f t="shared" si="268"/>
        <v>0</v>
      </c>
      <c r="W324" s="2">
        <f t="shared" si="269"/>
        <v>0</v>
      </c>
      <c r="X324" s="2">
        <f>(ROUND((((S324+ROUND((ROUND(((EU324)*AV324*I324),2)*BS324),2))*AT324)/100),2)+ROUND(((ROUND((ROUND(((AE324-(EU324))*AV324*I324),2)*BS324),2)*AT324)/100),2))</f>
        <v>0</v>
      </c>
      <c r="Y324" s="2">
        <f>(ROUND((((S324+ROUND((ROUND(((EU324)*AV324*I324),2)*BS324),2))*AU324)/100),2)+ROUND(((ROUND((ROUND(((AE324-(EU324))*AV324*I324),2)*BS324),2)*AU324)/100),2))</f>
        <v>0</v>
      </c>
      <c r="Z324" s="2"/>
      <c r="AA324" s="2">
        <v>-1</v>
      </c>
      <c r="AB324" s="2">
        <f t="shared" si="270"/>
        <v>18995.22</v>
      </c>
      <c r="AC324" s="2">
        <f>ROUND((ES324),6)</f>
        <v>18995.22</v>
      </c>
      <c r="AD324" s="2">
        <f>ROUND((((ET324)-(EU324))+AE324),6)</f>
        <v>0</v>
      </c>
      <c r="AE324" s="2">
        <f t="shared" ref="AE324:AF327" si="300">ROUND((EU324),6)</f>
        <v>0</v>
      </c>
      <c r="AF324" s="2">
        <f t="shared" si="300"/>
        <v>0</v>
      </c>
      <c r="AG324" s="2">
        <f t="shared" si="271"/>
        <v>0</v>
      </c>
      <c r="AH324" s="2">
        <f t="shared" ref="AH324:AI327" si="301">(EW324)</f>
        <v>0</v>
      </c>
      <c r="AI324" s="2">
        <f t="shared" si="301"/>
        <v>0</v>
      </c>
      <c r="AJ324" s="2">
        <f t="shared" si="272"/>
        <v>0</v>
      </c>
      <c r="AK324" s="2">
        <v>18995.22</v>
      </c>
      <c r="AL324" s="2">
        <v>18995.22</v>
      </c>
      <c r="AM324" s="2">
        <v>0</v>
      </c>
      <c r="AN324" s="2">
        <v>0</v>
      </c>
      <c r="AO324" s="2">
        <v>0</v>
      </c>
      <c r="AP324" s="2">
        <v>0</v>
      </c>
      <c r="AQ324" s="2">
        <v>0</v>
      </c>
      <c r="AR324" s="2">
        <v>0</v>
      </c>
      <c r="AS324" s="2">
        <v>0</v>
      </c>
      <c r="AT324" s="2">
        <v>97</v>
      </c>
      <c r="AU324" s="2">
        <v>51</v>
      </c>
      <c r="AV324" s="2">
        <v>1.0469999999999999</v>
      </c>
      <c r="AW324" s="2">
        <v>1</v>
      </c>
      <c r="AX324" s="2"/>
      <c r="AY324" s="2"/>
      <c r="AZ324" s="2">
        <v>1</v>
      </c>
      <c r="BA324" s="2">
        <v>1</v>
      </c>
      <c r="BB324" s="2">
        <v>1</v>
      </c>
      <c r="BC324" s="2">
        <v>1</v>
      </c>
      <c r="BD324" s="2" t="s">
        <v>3</v>
      </c>
      <c r="BE324" s="2" t="s">
        <v>3</v>
      </c>
      <c r="BF324" s="2" t="s">
        <v>3</v>
      </c>
      <c r="BG324" s="2" t="s">
        <v>3</v>
      </c>
      <c r="BH324" s="2">
        <v>3</v>
      </c>
      <c r="BI324" s="2">
        <v>2</v>
      </c>
      <c r="BJ324" s="2" t="s">
        <v>362</v>
      </c>
      <c r="BK324" s="2"/>
      <c r="BL324" s="2"/>
      <c r="BM324" s="2">
        <v>67</v>
      </c>
      <c r="BN324" s="2">
        <v>0</v>
      </c>
      <c r="BO324" s="2" t="s">
        <v>3</v>
      </c>
      <c r="BP324" s="2">
        <v>0</v>
      </c>
      <c r="BQ324" s="2">
        <v>40</v>
      </c>
      <c r="BR324" s="2">
        <v>1</v>
      </c>
      <c r="BS324" s="2">
        <v>1</v>
      </c>
      <c r="BT324" s="2">
        <v>1</v>
      </c>
      <c r="BU324" s="2">
        <v>1</v>
      </c>
      <c r="BV324" s="2">
        <v>1</v>
      </c>
      <c r="BW324" s="2">
        <v>1</v>
      </c>
      <c r="BX324" s="2">
        <v>1</v>
      </c>
      <c r="BY324" s="2" t="s">
        <v>3</v>
      </c>
      <c r="BZ324" s="2">
        <v>97</v>
      </c>
      <c r="CA324" s="2">
        <v>51</v>
      </c>
      <c r="CB324" s="2" t="s">
        <v>3</v>
      </c>
      <c r="CC324" s="2"/>
      <c r="CD324" s="2"/>
      <c r="CE324" s="2">
        <v>1566</v>
      </c>
      <c r="CF324" s="2">
        <v>0</v>
      </c>
      <c r="CG324" s="2">
        <v>0</v>
      </c>
      <c r="CH324" s="2"/>
      <c r="CI324" s="2"/>
      <c r="CJ324" s="2"/>
      <c r="CK324" s="2"/>
      <c r="CL324" s="2"/>
      <c r="CM324" s="2">
        <v>0</v>
      </c>
      <c r="CN324" s="2" t="s">
        <v>626</v>
      </c>
      <c r="CO324" s="2">
        <v>0</v>
      </c>
      <c r="CP324" s="2">
        <f t="shared" si="273"/>
        <v>-25.93</v>
      </c>
      <c r="CQ324" s="2">
        <f t="shared" si="274"/>
        <v>18995.22</v>
      </c>
      <c r="CR324" s="2">
        <f>(ROUND((ROUND(((ET324)*AV324*1),2)*BB324),2)+ROUND((ROUND(((AE324-(EU324))*AV324*1),2)*BS324),2))</f>
        <v>0</v>
      </c>
      <c r="CS324" s="2">
        <f>(ROUND((ROUND(((EU324)*AV324*1),2)*BS324),2)+ROUND((ROUND(((AE324-(EU324))*AV324*1),2)*BS324),2))</f>
        <v>0</v>
      </c>
      <c r="CT324" s="2">
        <f t="shared" si="275"/>
        <v>0</v>
      </c>
      <c r="CU324" s="2">
        <f t="shared" si="276"/>
        <v>0</v>
      </c>
      <c r="CV324" s="2">
        <f t="shared" si="277"/>
        <v>0</v>
      </c>
      <c r="CW324" s="2">
        <f t="shared" si="278"/>
        <v>0</v>
      </c>
      <c r="CX324" s="2">
        <f t="shared" si="279"/>
        <v>0</v>
      </c>
      <c r="CY324" s="2">
        <f>(ROUND((((S324+ROUND((ROUND(((EU324)*AV324*1),2)*BS324),2))*AT324)/100),2)+ROUND(((ROUND((ROUND(((AE324-(EU324))*AV324*1),2)*BS324),2)*AT324)/100),2))</f>
        <v>0</v>
      </c>
      <c r="CZ324" s="2">
        <f>(ROUND((((S324+ROUND((ROUND(((EU324)*AV324*1),2)*BS324),2))*AU324)/100),2)+ROUND(((ROUND((ROUND(((AE324-(EU324))*AV324*1),2)*BS324),2)*AU324)/100),2))</f>
        <v>0</v>
      </c>
      <c r="DA324" s="2"/>
      <c r="DB324" s="2"/>
      <c r="DC324" s="2" t="s">
        <v>3</v>
      </c>
      <c r="DD324" s="2" t="s">
        <v>3</v>
      </c>
      <c r="DE324" s="2" t="s">
        <v>3</v>
      </c>
      <c r="DF324" s="2" t="s">
        <v>3</v>
      </c>
      <c r="DG324" s="2" t="s">
        <v>3</v>
      </c>
      <c r="DH324" s="2" t="s">
        <v>3</v>
      </c>
      <c r="DI324" s="2" t="s">
        <v>3</v>
      </c>
      <c r="DJ324" s="2" t="s">
        <v>3</v>
      </c>
      <c r="DK324" s="2" t="s">
        <v>3</v>
      </c>
      <c r="DL324" s="2" t="s">
        <v>3</v>
      </c>
      <c r="DM324" s="2" t="s">
        <v>3</v>
      </c>
      <c r="DN324" s="2">
        <v>0</v>
      </c>
      <c r="DO324" s="2">
        <v>0</v>
      </c>
      <c r="DP324" s="2">
        <v>1</v>
      </c>
      <c r="DQ324" s="2">
        <v>1</v>
      </c>
      <c r="DR324" s="2"/>
      <c r="DS324" s="2"/>
      <c r="DT324" s="2"/>
      <c r="DU324" s="2">
        <v>1009</v>
      </c>
      <c r="DV324" s="2" t="s">
        <v>361</v>
      </c>
      <c r="DW324" s="2" t="s">
        <v>361</v>
      </c>
      <c r="DX324" s="2">
        <v>1000</v>
      </c>
      <c r="DY324" s="2"/>
      <c r="DZ324" s="2" t="s">
        <v>3</v>
      </c>
      <c r="EA324" s="2" t="s">
        <v>3</v>
      </c>
      <c r="EB324" s="2" t="s">
        <v>3</v>
      </c>
      <c r="EC324" s="2" t="s">
        <v>3</v>
      </c>
      <c r="ED324" s="2"/>
      <c r="EE324" s="2">
        <v>57042957</v>
      </c>
      <c r="EF324" s="2">
        <v>40</v>
      </c>
      <c r="EG324" s="2" t="s">
        <v>31</v>
      </c>
      <c r="EH324" s="2">
        <v>0</v>
      </c>
      <c r="EI324" s="2" t="s">
        <v>3</v>
      </c>
      <c r="EJ324" s="2">
        <v>2</v>
      </c>
      <c r="EK324" s="2">
        <v>67</v>
      </c>
      <c r="EL324" s="2" t="s">
        <v>190</v>
      </c>
      <c r="EM324" s="2" t="s">
        <v>191</v>
      </c>
      <c r="EN324" s="2"/>
      <c r="EO324" s="2" t="s">
        <v>75</v>
      </c>
      <c r="EP324" s="2"/>
      <c r="EQ324" s="2">
        <v>33792</v>
      </c>
      <c r="ER324" s="2">
        <v>18995.22</v>
      </c>
      <c r="ES324" s="2">
        <v>18995.22</v>
      </c>
      <c r="ET324" s="2">
        <v>0</v>
      </c>
      <c r="EU324" s="2">
        <v>0</v>
      </c>
      <c r="EV324" s="2">
        <v>0</v>
      </c>
      <c r="EW324" s="2">
        <v>0</v>
      </c>
      <c r="EX324" s="2">
        <v>0</v>
      </c>
      <c r="EY324" s="2">
        <v>0</v>
      </c>
      <c r="EZ324" s="2"/>
      <c r="FA324" s="2"/>
      <c r="FB324" s="2"/>
      <c r="FC324" s="2"/>
      <c r="FD324" s="2"/>
      <c r="FE324" s="2"/>
      <c r="FF324" s="2"/>
      <c r="FG324" s="2"/>
      <c r="FH324" s="2"/>
      <c r="FI324" s="2"/>
      <c r="FJ324" s="2"/>
      <c r="FK324" s="2"/>
      <c r="FL324" s="2"/>
      <c r="FM324" s="2"/>
      <c r="FN324" s="2"/>
      <c r="FO324" s="2"/>
      <c r="FP324" s="2"/>
      <c r="FQ324" s="2">
        <v>0</v>
      </c>
      <c r="FR324" s="2">
        <v>0</v>
      </c>
      <c r="FS324" s="2">
        <v>0</v>
      </c>
      <c r="FT324" s="2"/>
      <c r="FU324" s="2"/>
      <c r="FV324" s="2"/>
      <c r="FW324" s="2"/>
      <c r="FX324" s="2">
        <v>97</v>
      </c>
      <c r="FY324" s="2">
        <v>51</v>
      </c>
      <c r="FZ324" s="2"/>
      <c r="GA324" s="2" t="s">
        <v>3</v>
      </c>
      <c r="GB324" s="2"/>
      <c r="GC324" s="2"/>
      <c r="GD324" s="2">
        <v>1</v>
      </c>
      <c r="GE324" s="2"/>
      <c r="GF324" s="2">
        <v>1438006865</v>
      </c>
      <c r="GG324" s="2">
        <v>2</v>
      </c>
      <c r="GH324" s="2">
        <v>1</v>
      </c>
      <c r="GI324" s="2">
        <v>-2</v>
      </c>
      <c r="GJ324" s="2">
        <v>0</v>
      </c>
      <c r="GK324" s="2">
        <v>0</v>
      </c>
      <c r="GL324" s="2">
        <f t="shared" si="280"/>
        <v>0</v>
      </c>
      <c r="GM324" s="2">
        <f t="shared" si="281"/>
        <v>-25.93</v>
      </c>
      <c r="GN324" s="2">
        <f t="shared" si="282"/>
        <v>0</v>
      </c>
      <c r="GO324" s="2">
        <f t="shared" si="283"/>
        <v>-25.93</v>
      </c>
      <c r="GP324" s="2">
        <f t="shared" si="284"/>
        <v>0</v>
      </c>
      <c r="GQ324" s="2"/>
      <c r="GR324" s="2">
        <v>0</v>
      </c>
      <c r="GS324" s="2">
        <v>3</v>
      </c>
      <c r="GT324" s="2">
        <v>0</v>
      </c>
      <c r="GU324" s="2" t="s">
        <v>3</v>
      </c>
      <c r="GV324" s="2">
        <f t="shared" si="285"/>
        <v>0</v>
      </c>
      <c r="GW324" s="2">
        <v>1</v>
      </c>
      <c r="GX324" s="2">
        <f t="shared" si="286"/>
        <v>0</v>
      </c>
      <c r="GY324" s="2"/>
      <c r="GZ324" s="2"/>
      <c r="HA324" s="2">
        <v>0</v>
      </c>
      <c r="HB324" s="2">
        <v>0</v>
      </c>
      <c r="HC324" s="2">
        <f t="shared" si="287"/>
        <v>0</v>
      </c>
      <c r="HD324" s="2"/>
      <c r="HE324" s="2" t="s">
        <v>3</v>
      </c>
      <c r="HF324" s="2" t="s">
        <v>3</v>
      </c>
      <c r="HG324" s="2"/>
      <c r="HH324" s="2"/>
      <c r="HI324" s="2"/>
      <c r="HJ324" s="2"/>
      <c r="HK324" s="2"/>
      <c r="HL324" s="2"/>
      <c r="HM324" s="2" t="s">
        <v>3</v>
      </c>
      <c r="HN324" s="2" t="s">
        <v>3</v>
      </c>
      <c r="HO324" s="2" t="s">
        <v>3</v>
      </c>
      <c r="HP324" s="2" t="s">
        <v>3</v>
      </c>
      <c r="HQ324" s="2" t="s">
        <v>3</v>
      </c>
      <c r="HR324" s="2"/>
      <c r="HS324" s="2">
        <v>0</v>
      </c>
      <c r="HT324" s="2"/>
      <c r="HU324" s="2"/>
      <c r="HV324" s="2"/>
      <c r="HW324" s="2"/>
      <c r="HX324" s="2"/>
      <c r="HY324" s="2"/>
      <c r="HZ324" s="2"/>
      <c r="IA324" s="2"/>
      <c r="IB324" s="2"/>
      <c r="IC324" s="2"/>
      <c r="ID324" s="2"/>
      <c r="IE324" s="2"/>
      <c r="IF324" s="2"/>
      <c r="IG324" s="2"/>
      <c r="IH324" s="2"/>
      <c r="II324" s="2"/>
      <c r="IJ324" s="2"/>
      <c r="IK324" s="2">
        <v>0</v>
      </c>
      <c r="IL324" s="2"/>
      <c r="IM324" s="2"/>
      <c r="IN324" s="2"/>
      <c r="IO324" s="2"/>
      <c r="IP324" s="2"/>
      <c r="IQ324" s="2"/>
      <c r="IR324" s="2"/>
      <c r="IS324" s="2"/>
      <c r="IT324" s="2"/>
      <c r="IU324" s="2"/>
    </row>
    <row r="325" spans="1:255" x14ac:dyDescent="0.25">
      <c r="A325" s="3">
        <v>17</v>
      </c>
      <c r="B325" s="3">
        <v>1</v>
      </c>
      <c r="E325" s="3" t="s">
        <v>3</v>
      </c>
      <c r="F325" s="3" t="s">
        <v>359</v>
      </c>
      <c r="G325" s="3" t="s">
        <v>360</v>
      </c>
      <c r="H325" s="3" t="s">
        <v>361</v>
      </c>
      <c r="I325" s="3">
        <v>-1.3649999999999999E-3</v>
      </c>
      <c r="J325" s="3">
        <v>0</v>
      </c>
      <c r="K325" s="3">
        <v>-1.3649999999999999E-3</v>
      </c>
      <c r="O325" s="3">
        <f t="shared" si="263"/>
        <v>-471.67</v>
      </c>
      <c r="P325" s="3">
        <f t="shared" si="264"/>
        <v>-471.67</v>
      </c>
      <c r="Q325" s="3">
        <f>(ROUND((ROUND(((ET325)*AV325*I325),2)*BB325),2)+ROUND((ROUND(((AE325-(EU325))*AV325*I325),2)*BS325),2))</f>
        <v>0</v>
      </c>
      <c r="R325" s="3">
        <f>(ROUND((ROUND(((EU325)*AV325*I325),2)*BS325),2)+ROUND((ROUND(((AE325-(EU325))*AV325*I325),2)*BS325),2))</f>
        <v>0</v>
      </c>
      <c r="S325" s="3">
        <f t="shared" si="265"/>
        <v>0</v>
      </c>
      <c r="T325" s="3">
        <f t="shared" si="266"/>
        <v>0</v>
      </c>
      <c r="U325" s="3">
        <f t="shared" si="267"/>
        <v>0</v>
      </c>
      <c r="V325" s="3">
        <f t="shared" si="268"/>
        <v>0</v>
      </c>
      <c r="W325" s="3">
        <f t="shared" si="269"/>
        <v>0</v>
      </c>
      <c r="X325" s="3">
        <f>(ROUND((((S325+ROUND((ROUND(((EU325)*AV325*I325),2)*BS325),2))*AT325)/100),2)+ROUND(((ROUND((ROUND(((AE325-(EU325))*AV325*I325),2)*BS325),2)*AT325)/100),2))</f>
        <v>0</v>
      </c>
      <c r="Y325" s="3">
        <f>(ROUND((((S325+ROUND((ROUND(((EU325)*AV325*I325),2)*BS325),2))*AU325)/100),2)+ROUND(((ROUND((ROUND(((AE325-(EU325))*AV325*I325),2)*BS325),2)*AU325)/100),2))</f>
        <v>0</v>
      </c>
      <c r="AA325" s="3">
        <v>-1</v>
      </c>
      <c r="AB325" s="3">
        <f t="shared" si="270"/>
        <v>18995.22</v>
      </c>
      <c r="AC325" s="3">
        <f>ROUND((ES325),6)</f>
        <v>18995.22</v>
      </c>
      <c r="AD325" s="3">
        <f>ROUND((((ET325)-(EU325))+AE325),6)</f>
        <v>0</v>
      </c>
      <c r="AE325" s="3">
        <f t="shared" si="300"/>
        <v>0</v>
      </c>
      <c r="AF325" s="3">
        <f t="shared" si="300"/>
        <v>0</v>
      </c>
      <c r="AG325" s="3">
        <f t="shared" si="271"/>
        <v>0</v>
      </c>
      <c r="AH325" s="3">
        <f t="shared" si="301"/>
        <v>0</v>
      </c>
      <c r="AI325" s="3">
        <f t="shared" si="301"/>
        <v>0</v>
      </c>
      <c r="AJ325" s="3">
        <f t="shared" si="272"/>
        <v>0</v>
      </c>
      <c r="AK325" s="3">
        <v>18995.22</v>
      </c>
      <c r="AL325" s="3">
        <v>18995.22</v>
      </c>
      <c r="AM325" s="3">
        <v>0</v>
      </c>
      <c r="AN325" s="3">
        <v>0</v>
      </c>
      <c r="AO325" s="3">
        <v>0</v>
      </c>
      <c r="AP325" s="3">
        <v>0</v>
      </c>
      <c r="AQ325" s="3">
        <v>0</v>
      </c>
      <c r="AR325" s="3">
        <v>0</v>
      </c>
      <c r="AS325" s="3">
        <v>0</v>
      </c>
      <c r="AT325" s="3">
        <v>97</v>
      </c>
      <c r="AU325" s="3">
        <v>51</v>
      </c>
      <c r="AV325" s="3">
        <v>1</v>
      </c>
      <c r="AW325" s="3">
        <v>1</v>
      </c>
      <c r="AZ325" s="3">
        <v>1</v>
      </c>
      <c r="BA325" s="3">
        <v>1</v>
      </c>
      <c r="BB325" s="3">
        <v>1</v>
      </c>
      <c r="BC325" s="3">
        <v>18.190000000000001</v>
      </c>
      <c r="BD325" s="3" t="s">
        <v>3</v>
      </c>
      <c r="BE325" s="3" t="s">
        <v>3</v>
      </c>
      <c r="BF325" s="3" t="s">
        <v>3</v>
      </c>
      <c r="BG325" s="3" t="s">
        <v>3</v>
      </c>
      <c r="BH325" s="3">
        <v>3</v>
      </c>
      <c r="BI325" s="3">
        <v>2</v>
      </c>
      <c r="BJ325" s="3" t="s">
        <v>362</v>
      </c>
      <c r="BM325" s="3">
        <v>67</v>
      </c>
      <c r="BN325" s="3">
        <v>0</v>
      </c>
      <c r="BO325" s="3" t="s">
        <v>359</v>
      </c>
      <c r="BP325" s="3">
        <v>1</v>
      </c>
      <c r="BQ325" s="3">
        <v>40</v>
      </c>
      <c r="BR325" s="3">
        <v>1</v>
      </c>
      <c r="BS325" s="3">
        <v>1</v>
      </c>
      <c r="BT325" s="3">
        <v>1</v>
      </c>
      <c r="BU325" s="3">
        <v>1</v>
      </c>
      <c r="BV325" s="3">
        <v>1</v>
      </c>
      <c r="BW325" s="3">
        <v>1</v>
      </c>
      <c r="BX325" s="3">
        <v>1</v>
      </c>
      <c r="BY325" s="3" t="s">
        <v>3</v>
      </c>
      <c r="BZ325" s="3">
        <v>97</v>
      </c>
      <c r="CA325" s="3">
        <v>51</v>
      </c>
      <c r="CB325" s="3" t="s">
        <v>3</v>
      </c>
      <c r="CE325" s="3">
        <v>1566</v>
      </c>
      <c r="CF325" s="3">
        <v>0</v>
      </c>
      <c r="CG325" s="3">
        <v>0</v>
      </c>
      <c r="CM325" s="3">
        <v>0</v>
      </c>
      <c r="CN325" s="3" t="s">
        <v>626</v>
      </c>
      <c r="CO325" s="3">
        <v>0</v>
      </c>
      <c r="CP325" s="3">
        <f t="shared" si="273"/>
        <v>-471.67</v>
      </c>
      <c r="CQ325" s="3">
        <f t="shared" si="274"/>
        <v>345523.05</v>
      </c>
      <c r="CR325" s="3">
        <f>(ROUND((ROUND(((ET325)*AV325*1),2)*BB325),2)+ROUND((ROUND(((AE325-(EU325))*AV325*1),2)*BS325),2))</f>
        <v>0</v>
      </c>
      <c r="CS325" s="3">
        <f>(ROUND((ROUND(((EU325)*AV325*1),2)*BS325),2)+ROUND((ROUND(((AE325-(EU325))*AV325*1),2)*BS325),2))</f>
        <v>0</v>
      </c>
      <c r="CT325" s="3">
        <f t="shared" si="275"/>
        <v>0</v>
      </c>
      <c r="CU325" s="3">
        <f t="shared" si="276"/>
        <v>0</v>
      </c>
      <c r="CV325" s="3">
        <f t="shared" si="277"/>
        <v>0</v>
      </c>
      <c r="CW325" s="3">
        <f t="shared" si="278"/>
        <v>0</v>
      </c>
      <c r="CX325" s="3">
        <f t="shared" si="279"/>
        <v>0</v>
      </c>
      <c r="CY325" s="3">
        <f>(ROUND((((S325+ROUND((ROUND(((EU325)*AV325*1),2)*BS325),2))*AT325)/100),2)+ROUND(((ROUND((ROUND(((AE325-(EU325))*AV325*1),2)*BS325),2)*AT325)/100),2))</f>
        <v>0</v>
      </c>
      <c r="CZ325" s="3">
        <f>(ROUND((((S325+ROUND((ROUND(((EU325)*AV325*1),2)*BS325),2))*AU325)/100),2)+ROUND(((ROUND((ROUND(((AE325-(EU325))*AV325*1),2)*BS325),2)*AU325)/100),2))</f>
        <v>0</v>
      </c>
      <c r="DC325" s="3" t="s">
        <v>3</v>
      </c>
      <c r="DD325" s="3" t="s">
        <v>3</v>
      </c>
      <c r="DE325" s="3" t="s">
        <v>3</v>
      </c>
      <c r="DF325" s="3" t="s">
        <v>3</v>
      </c>
      <c r="DG325" s="3" t="s">
        <v>3</v>
      </c>
      <c r="DH325" s="3" t="s">
        <v>3</v>
      </c>
      <c r="DI325" s="3" t="s">
        <v>3</v>
      </c>
      <c r="DJ325" s="3" t="s">
        <v>3</v>
      </c>
      <c r="DK325" s="3" t="s">
        <v>3</v>
      </c>
      <c r="DL325" s="3" t="s">
        <v>3</v>
      </c>
      <c r="DM325" s="3" t="s">
        <v>3</v>
      </c>
      <c r="DN325" s="3">
        <v>0</v>
      </c>
      <c r="DO325" s="3">
        <v>0</v>
      </c>
      <c r="DP325" s="3">
        <v>1</v>
      </c>
      <c r="DQ325" s="3">
        <v>1</v>
      </c>
      <c r="DU325" s="3">
        <v>1009</v>
      </c>
      <c r="DV325" s="3" t="s">
        <v>361</v>
      </c>
      <c r="DW325" s="3" t="s">
        <v>361</v>
      </c>
      <c r="DX325" s="3">
        <v>1000</v>
      </c>
      <c r="DZ325" s="3" t="s">
        <v>3</v>
      </c>
      <c r="EA325" s="3" t="s">
        <v>3</v>
      </c>
      <c r="EB325" s="3" t="s">
        <v>3</v>
      </c>
      <c r="EC325" s="3" t="s">
        <v>3</v>
      </c>
      <c r="EE325" s="3">
        <v>57042957</v>
      </c>
      <c r="EF325" s="3">
        <v>40</v>
      </c>
      <c r="EG325" s="3" t="s">
        <v>31</v>
      </c>
      <c r="EH325" s="3">
        <v>0</v>
      </c>
      <c r="EI325" s="3" t="s">
        <v>3</v>
      </c>
      <c r="EJ325" s="3">
        <v>2</v>
      </c>
      <c r="EK325" s="3">
        <v>67</v>
      </c>
      <c r="EL325" s="3" t="s">
        <v>190</v>
      </c>
      <c r="EM325" s="3" t="s">
        <v>191</v>
      </c>
      <c r="EO325" s="3" t="s">
        <v>75</v>
      </c>
      <c r="EQ325" s="3">
        <v>33792</v>
      </c>
      <c r="ER325" s="3">
        <v>18995.22</v>
      </c>
      <c r="ES325" s="3">
        <v>18995.22</v>
      </c>
      <c r="ET325" s="3">
        <v>0</v>
      </c>
      <c r="EU325" s="3">
        <v>0</v>
      </c>
      <c r="EV325" s="3">
        <v>0</v>
      </c>
      <c r="EW325" s="3">
        <v>0</v>
      </c>
      <c r="EX325" s="3">
        <v>0</v>
      </c>
      <c r="EY325" s="3">
        <v>0</v>
      </c>
      <c r="FQ325" s="3">
        <v>0</v>
      </c>
      <c r="FR325" s="3">
        <v>0</v>
      </c>
      <c r="FS325" s="3">
        <v>0</v>
      </c>
      <c r="FX325" s="3">
        <v>97</v>
      </c>
      <c r="FY325" s="3">
        <v>51</v>
      </c>
      <c r="GA325" s="3" t="s">
        <v>3</v>
      </c>
      <c r="GD325" s="3">
        <v>1</v>
      </c>
      <c r="GF325" s="3">
        <v>1438006865</v>
      </c>
      <c r="GG325" s="3">
        <v>2</v>
      </c>
      <c r="GH325" s="3">
        <v>1</v>
      </c>
      <c r="GI325" s="3">
        <v>2</v>
      </c>
      <c r="GJ325" s="3">
        <v>0</v>
      </c>
      <c r="GK325" s="3">
        <v>0</v>
      </c>
      <c r="GL325" s="3">
        <f t="shared" si="280"/>
        <v>0</v>
      </c>
      <c r="GM325" s="3">
        <f t="shared" si="281"/>
        <v>-471.67</v>
      </c>
      <c r="GN325" s="3">
        <f t="shared" si="282"/>
        <v>0</v>
      </c>
      <c r="GO325" s="3">
        <f t="shared" si="283"/>
        <v>-471.67</v>
      </c>
      <c r="GP325" s="3">
        <f t="shared" si="284"/>
        <v>0</v>
      </c>
      <c r="GR325" s="3">
        <v>0</v>
      </c>
      <c r="GS325" s="3">
        <v>3</v>
      </c>
      <c r="GT325" s="3">
        <v>0</v>
      </c>
      <c r="GU325" s="3" t="s">
        <v>3</v>
      </c>
      <c r="GV325" s="3">
        <f t="shared" si="285"/>
        <v>0</v>
      </c>
      <c r="GW325" s="3">
        <v>1</v>
      </c>
      <c r="GX325" s="3">
        <f t="shared" si="286"/>
        <v>0</v>
      </c>
      <c r="HA325" s="3">
        <v>0</v>
      </c>
      <c r="HB325" s="3">
        <v>0</v>
      </c>
      <c r="HC325" s="3">
        <f t="shared" si="287"/>
        <v>0</v>
      </c>
      <c r="HE325" s="3" t="s">
        <v>3</v>
      </c>
      <c r="HF325" s="3" t="s">
        <v>3</v>
      </c>
      <c r="HM325" s="3" t="s">
        <v>3</v>
      </c>
      <c r="HN325" s="3" t="s">
        <v>3</v>
      </c>
      <c r="HO325" s="3" t="s">
        <v>3</v>
      </c>
      <c r="HP325" s="3" t="s">
        <v>3</v>
      </c>
      <c r="HQ325" s="3" t="s">
        <v>3</v>
      </c>
      <c r="HS325" s="3">
        <v>0</v>
      </c>
      <c r="IK325" s="3">
        <v>0</v>
      </c>
    </row>
    <row r="326" spans="1:255" x14ac:dyDescent="0.25">
      <c r="A326" s="2">
        <v>17</v>
      </c>
      <c r="B326" s="2">
        <v>1</v>
      </c>
      <c r="C326" s="2"/>
      <c r="D326" s="2"/>
      <c r="E326" s="2" t="s">
        <v>363</v>
      </c>
      <c r="F326" s="2" t="s">
        <v>364</v>
      </c>
      <c r="G326" s="2" t="s">
        <v>627</v>
      </c>
      <c r="H326" s="2" t="s">
        <v>365</v>
      </c>
      <c r="I326" s="2">
        <v>15</v>
      </c>
      <c r="J326" s="2">
        <v>0</v>
      </c>
      <c r="K326" s="2">
        <v>15</v>
      </c>
      <c r="L326" s="2"/>
      <c r="M326" s="2"/>
      <c r="N326" s="2"/>
      <c r="O326" s="2">
        <f t="shared" si="263"/>
        <v>5208.6000000000004</v>
      </c>
      <c r="P326" s="2">
        <f t="shared" si="264"/>
        <v>5208.6000000000004</v>
      </c>
      <c r="Q326" s="2">
        <f>(ROUND((ROUND(((ET326)*AV326*I326),2)*BB326),2)+ROUND((ROUND(((AE326-(EU326))*AV326*I326),2)*BS326),2))</f>
        <v>0</v>
      </c>
      <c r="R326" s="2">
        <f>(ROUND((ROUND(((EU326)*AV326*I326),2)*BS326),2)+ROUND((ROUND(((AE326-(EU326))*AV326*I326),2)*BS326),2))</f>
        <v>0</v>
      </c>
      <c r="S326" s="2">
        <f t="shared" si="265"/>
        <v>0</v>
      </c>
      <c r="T326" s="2">
        <f t="shared" si="266"/>
        <v>0</v>
      </c>
      <c r="U326" s="2">
        <f t="shared" si="267"/>
        <v>0</v>
      </c>
      <c r="V326" s="2">
        <f t="shared" si="268"/>
        <v>0</v>
      </c>
      <c r="W326" s="2">
        <f t="shared" si="269"/>
        <v>0</v>
      </c>
      <c r="X326" s="2">
        <f>(ROUND((((S326+ROUND((ROUND(((EU326)*AV326*I326),2)*BS326),2))*AT326)/100),2)+ROUND(((ROUND((ROUND(((AE326-(EU326))*AV326*I326),2)*BS326),2)*AT326)/100),2))</f>
        <v>0</v>
      </c>
      <c r="Y326" s="2">
        <f>(ROUND((((S326+ROUND((ROUND(((EU326)*AV326*I326),2)*BS326),2))*AU326)/100),2)+ROUND(((ROUND((ROUND(((AE326-(EU326))*AV326*I326),2)*BS326),2)*AU326)/100),2))</f>
        <v>0</v>
      </c>
      <c r="Z326" s="2"/>
      <c r="AA326" s="2">
        <v>57014138</v>
      </c>
      <c r="AB326" s="2">
        <f t="shared" si="270"/>
        <v>347.24</v>
      </c>
      <c r="AC326" s="2">
        <f>ROUND((ES326),6)</f>
        <v>347.24</v>
      </c>
      <c r="AD326" s="2">
        <f>ROUND((((ET326)-(EU326))+AE326),6)</f>
        <v>0</v>
      </c>
      <c r="AE326" s="2">
        <f t="shared" si="300"/>
        <v>0</v>
      </c>
      <c r="AF326" s="2">
        <f t="shared" si="300"/>
        <v>0</v>
      </c>
      <c r="AG326" s="2">
        <f t="shared" si="271"/>
        <v>0</v>
      </c>
      <c r="AH326" s="2">
        <f t="shared" si="301"/>
        <v>0</v>
      </c>
      <c r="AI326" s="2">
        <f t="shared" si="301"/>
        <v>0</v>
      </c>
      <c r="AJ326" s="2">
        <f t="shared" si="272"/>
        <v>0</v>
      </c>
      <c r="AK326" s="2">
        <v>347.24</v>
      </c>
      <c r="AL326" s="2">
        <v>347.24</v>
      </c>
      <c r="AM326" s="2">
        <v>0</v>
      </c>
      <c r="AN326" s="2">
        <v>0</v>
      </c>
      <c r="AO326" s="2">
        <v>0</v>
      </c>
      <c r="AP326" s="2">
        <v>0</v>
      </c>
      <c r="AQ326" s="2">
        <v>0</v>
      </c>
      <c r="AR326" s="2">
        <v>0</v>
      </c>
      <c r="AS326" s="2">
        <v>0</v>
      </c>
      <c r="AT326" s="2">
        <v>97</v>
      </c>
      <c r="AU326" s="2">
        <v>51</v>
      </c>
      <c r="AV326" s="2">
        <v>1</v>
      </c>
      <c r="AW326" s="2">
        <v>1</v>
      </c>
      <c r="AX326" s="2"/>
      <c r="AY326" s="2"/>
      <c r="AZ326" s="2">
        <v>1</v>
      </c>
      <c r="BA326" s="2">
        <v>1</v>
      </c>
      <c r="BB326" s="2">
        <v>1</v>
      </c>
      <c r="BC326" s="2">
        <v>1</v>
      </c>
      <c r="BD326" s="2" t="s">
        <v>3</v>
      </c>
      <c r="BE326" s="2" t="s">
        <v>3</v>
      </c>
      <c r="BF326" s="2" t="s">
        <v>3</v>
      </c>
      <c r="BG326" s="2" t="s">
        <v>3</v>
      </c>
      <c r="BH326" s="2">
        <v>3</v>
      </c>
      <c r="BI326" s="2">
        <v>2</v>
      </c>
      <c r="BJ326" s="2" t="s">
        <v>366</v>
      </c>
      <c r="BK326" s="2"/>
      <c r="BL326" s="2"/>
      <c r="BM326" s="2">
        <v>67</v>
      </c>
      <c r="BN326" s="2">
        <v>0</v>
      </c>
      <c r="BO326" s="2" t="s">
        <v>3</v>
      </c>
      <c r="BP326" s="2">
        <v>0</v>
      </c>
      <c r="BQ326" s="2">
        <v>40</v>
      </c>
      <c r="BR326" s="2">
        <v>0</v>
      </c>
      <c r="BS326" s="2">
        <v>1</v>
      </c>
      <c r="BT326" s="2">
        <v>1</v>
      </c>
      <c r="BU326" s="2">
        <v>1</v>
      </c>
      <c r="BV326" s="2">
        <v>1</v>
      </c>
      <c r="BW326" s="2">
        <v>1</v>
      </c>
      <c r="BX326" s="2">
        <v>1</v>
      </c>
      <c r="BY326" s="2" t="s">
        <v>3</v>
      </c>
      <c r="BZ326" s="2">
        <v>97</v>
      </c>
      <c r="CA326" s="2">
        <v>51</v>
      </c>
      <c r="CB326" s="2" t="s">
        <v>3</v>
      </c>
      <c r="CC326" s="2"/>
      <c r="CD326" s="2"/>
      <c r="CE326" s="2">
        <v>1566</v>
      </c>
      <c r="CF326" s="2">
        <v>0</v>
      </c>
      <c r="CG326" s="2">
        <v>0</v>
      </c>
      <c r="CH326" s="2"/>
      <c r="CI326" s="2"/>
      <c r="CJ326" s="2"/>
      <c r="CK326" s="2"/>
      <c r="CL326" s="2"/>
      <c r="CM326" s="2">
        <v>0</v>
      </c>
      <c r="CN326" s="2" t="s">
        <v>3</v>
      </c>
      <c r="CO326" s="2">
        <v>0</v>
      </c>
      <c r="CP326" s="2">
        <f t="shared" si="273"/>
        <v>5208.6000000000004</v>
      </c>
      <c r="CQ326" s="2">
        <f t="shared" si="274"/>
        <v>347.24</v>
      </c>
      <c r="CR326" s="2">
        <f>(ROUND((ROUND(((ET326)*AV326*1),2)*BB326),2)+ROUND((ROUND(((AE326-(EU326))*AV326*1),2)*BS326),2))</f>
        <v>0</v>
      </c>
      <c r="CS326" s="2">
        <f>(ROUND((ROUND(((EU326)*AV326*1),2)*BS326),2)+ROUND((ROUND(((AE326-(EU326))*AV326*1),2)*BS326),2))</f>
        <v>0</v>
      </c>
      <c r="CT326" s="2">
        <f t="shared" si="275"/>
        <v>0</v>
      </c>
      <c r="CU326" s="2">
        <f t="shared" si="276"/>
        <v>0</v>
      </c>
      <c r="CV326" s="2">
        <f t="shared" si="277"/>
        <v>0</v>
      </c>
      <c r="CW326" s="2">
        <f t="shared" si="278"/>
        <v>0</v>
      </c>
      <c r="CX326" s="2">
        <f t="shared" si="279"/>
        <v>0</v>
      </c>
      <c r="CY326" s="2">
        <f>(ROUND((((S326+ROUND((ROUND(((EU326)*AV326*1),2)*BS326),2))*AT326)/100),2)+ROUND(((ROUND((ROUND(((AE326-(EU326))*AV326*1),2)*BS326),2)*AT326)/100),2))</f>
        <v>0</v>
      </c>
      <c r="CZ326" s="2">
        <f>(ROUND((((S326+ROUND((ROUND(((EU326)*AV326*1),2)*BS326),2))*AU326)/100),2)+ROUND(((ROUND((ROUND(((AE326-(EU326))*AV326*1),2)*BS326),2)*AU326)/100),2))</f>
        <v>0</v>
      </c>
      <c r="DA326" s="2"/>
      <c r="DB326" s="2"/>
      <c r="DC326" s="2" t="s">
        <v>3</v>
      </c>
      <c r="DD326" s="2" t="s">
        <v>3</v>
      </c>
      <c r="DE326" s="2" t="s">
        <v>3</v>
      </c>
      <c r="DF326" s="2" t="s">
        <v>3</v>
      </c>
      <c r="DG326" s="2" t="s">
        <v>3</v>
      </c>
      <c r="DH326" s="2" t="s">
        <v>3</v>
      </c>
      <c r="DI326" s="2" t="s">
        <v>3</v>
      </c>
      <c r="DJ326" s="2" t="s">
        <v>3</v>
      </c>
      <c r="DK326" s="2" t="s">
        <v>3</v>
      </c>
      <c r="DL326" s="2" t="s">
        <v>3</v>
      </c>
      <c r="DM326" s="2" t="s">
        <v>3</v>
      </c>
      <c r="DN326" s="2">
        <v>0</v>
      </c>
      <c r="DO326" s="2">
        <v>0</v>
      </c>
      <c r="DP326" s="2">
        <v>1</v>
      </c>
      <c r="DQ326" s="2">
        <v>1</v>
      </c>
      <c r="DR326" s="2"/>
      <c r="DS326" s="2"/>
      <c r="DT326" s="2"/>
      <c r="DU326" s="2">
        <v>1009</v>
      </c>
      <c r="DV326" s="2" t="s">
        <v>365</v>
      </c>
      <c r="DW326" s="2" t="s">
        <v>365</v>
      </c>
      <c r="DX326" s="2">
        <v>1</v>
      </c>
      <c r="DY326" s="2"/>
      <c r="DZ326" s="2" t="s">
        <v>3</v>
      </c>
      <c r="EA326" s="2" t="s">
        <v>3</v>
      </c>
      <c r="EB326" s="2" t="s">
        <v>3</v>
      </c>
      <c r="EC326" s="2" t="s">
        <v>3</v>
      </c>
      <c r="ED326" s="2"/>
      <c r="EE326" s="2">
        <v>57042957</v>
      </c>
      <c r="EF326" s="2">
        <v>40</v>
      </c>
      <c r="EG326" s="2" t="s">
        <v>31</v>
      </c>
      <c r="EH326" s="2">
        <v>0</v>
      </c>
      <c r="EI326" s="2" t="s">
        <v>3</v>
      </c>
      <c r="EJ326" s="2">
        <v>2</v>
      </c>
      <c r="EK326" s="2">
        <v>67</v>
      </c>
      <c r="EL326" s="2" t="s">
        <v>190</v>
      </c>
      <c r="EM326" s="2" t="s">
        <v>191</v>
      </c>
      <c r="EN326" s="2"/>
      <c r="EO326" s="2" t="s">
        <v>3</v>
      </c>
      <c r="EP326" s="2"/>
      <c r="EQ326" s="2">
        <v>0</v>
      </c>
      <c r="ER326" s="2">
        <v>347.24</v>
      </c>
      <c r="ES326" s="2">
        <v>347.24</v>
      </c>
      <c r="ET326" s="2">
        <v>0</v>
      </c>
      <c r="EU326" s="2">
        <v>0</v>
      </c>
      <c r="EV326" s="2">
        <v>0</v>
      </c>
      <c r="EW326" s="2">
        <v>0</v>
      </c>
      <c r="EX326" s="2">
        <v>0</v>
      </c>
      <c r="EY326" s="2">
        <v>0</v>
      </c>
      <c r="EZ326" s="2"/>
      <c r="FA326" s="2"/>
      <c r="FB326" s="2"/>
      <c r="FC326" s="2"/>
      <c r="FD326" s="2"/>
      <c r="FE326" s="2"/>
      <c r="FF326" s="2"/>
      <c r="FG326" s="2"/>
      <c r="FH326" s="2"/>
      <c r="FI326" s="2"/>
      <c r="FJ326" s="2"/>
      <c r="FK326" s="2"/>
      <c r="FL326" s="2"/>
      <c r="FM326" s="2"/>
      <c r="FN326" s="2"/>
      <c r="FO326" s="2"/>
      <c r="FP326" s="2"/>
      <c r="FQ326" s="2">
        <v>0</v>
      </c>
      <c r="FR326" s="2">
        <v>0</v>
      </c>
      <c r="FS326" s="2">
        <v>0</v>
      </c>
      <c r="FT326" s="2"/>
      <c r="FU326" s="2"/>
      <c r="FV326" s="2"/>
      <c r="FW326" s="2"/>
      <c r="FX326" s="2">
        <v>97</v>
      </c>
      <c r="FY326" s="2">
        <v>51</v>
      </c>
      <c r="FZ326" s="2"/>
      <c r="GA326" s="2" t="s">
        <v>3</v>
      </c>
      <c r="GB326" s="2"/>
      <c r="GC326" s="2"/>
      <c r="GD326" s="2">
        <v>1</v>
      </c>
      <c r="GE326" s="2"/>
      <c r="GF326" s="2">
        <v>-1684521540</v>
      </c>
      <c r="GG326" s="2">
        <v>2</v>
      </c>
      <c r="GH326" s="2">
        <v>1</v>
      </c>
      <c r="GI326" s="2">
        <v>-2</v>
      </c>
      <c r="GJ326" s="2">
        <v>0</v>
      </c>
      <c r="GK326" s="2">
        <v>0</v>
      </c>
      <c r="GL326" s="2">
        <f t="shared" si="280"/>
        <v>0</v>
      </c>
      <c r="GM326" s="2">
        <f t="shared" si="281"/>
        <v>5208.6000000000004</v>
      </c>
      <c r="GN326" s="2">
        <f t="shared" si="282"/>
        <v>0</v>
      </c>
      <c r="GO326" s="2">
        <f t="shared" si="283"/>
        <v>5208.6000000000004</v>
      </c>
      <c r="GP326" s="2">
        <f t="shared" si="284"/>
        <v>0</v>
      </c>
      <c r="GQ326" s="2"/>
      <c r="GR326" s="2">
        <v>0</v>
      </c>
      <c r="GS326" s="2">
        <v>3</v>
      </c>
      <c r="GT326" s="2">
        <v>0</v>
      </c>
      <c r="GU326" s="2" t="s">
        <v>3</v>
      </c>
      <c r="GV326" s="2">
        <f t="shared" si="285"/>
        <v>0</v>
      </c>
      <c r="GW326" s="2">
        <v>1</v>
      </c>
      <c r="GX326" s="2">
        <f t="shared" si="286"/>
        <v>0</v>
      </c>
      <c r="GY326" s="2"/>
      <c r="GZ326" s="2"/>
      <c r="HA326" s="2">
        <v>0</v>
      </c>
      <c r="HB326" s="2">
        <v>0</v>
      </c>
      <c r="HC326" s="2">
        <f t="shared" si="287"/>
        <v>0</v>
      </c>
      <c r="HD326" s="2"/>
      <c r="HE326" s="2" t="s">
        <v>3</v>
      </c>
      <c r="HF326" s="2" t="s">
        <v>3</v>
      </c>
      <c r="HG326" s="2"/>
      <c r="HH326" s="2"/>
      <c r="HI326" s="2"/>
      <c r="HJ326" s="2"/>
      <c r="HK326" s="2"/>
      <c r="HL326" s="2"/>
      <c r="HM326" s="2" t="s">
        <v>3</v>
      </c>
      <c r="HN326" s="2" t="s">
        <v>3</v>
      </c>
      <c r="HO326" s="2" t="s">
        <v>3</v>
      </c>
      <c r="HP326" s="2" t="s">
        <v>3</v>
      </c>
      <c r="HQ326" s="2" t="s">
        <v>3</v>
      </c>
      <c r="HR326" s="2"/>
      <c r="HS326" s="2">
        <v>0</v>
      </c>
      <c r="HT326" s="2"/>
      <c r="HU326" s="2"/>
      <c r="HV326" s="2"/>
      <c r="HW326" s="2"/>
      <c r="HX326" s="2"/>
      <c r="HY326" s="2"/>
      <c r="HZ326" s="2"/>
      <c r="IA326" s="2"/>
      <c r="IB326" s="2"/>
      <c r="IC326" s="2"/>
      <c r="ID326" s="2"/>
      <c r="IE326" s="2"/>
      <c r="IF326" s="2"/>
      <c r="IG326" s="2"/>
      <c r="IH326" s="2"/>
      <c r="II326" s="2"/>
      <c r="IJ326" s="2"/>
      <c r="IK326" s="2">
        <v>0</v>
      </c>
      <c r="IL326" s="2"/>
      <c r="IM326" s="2"/>
      <c r="IN326" s="2"/>
      <c r="IO326" s="2"/>
      <c r="IP326" s="2"/>
      <c r="IQ326" s="2"/>
      <c r="IR326" s="2"/>
      <c r="IS326" s="2"/>
      <c r="IT326" s="2"/>
      <c r="IU326" s="2"/>
    </row>
    <row r="327" spans="1:255" x14ac:dyDescent="0.25">
      <c r="A327" s="3">
        <v>17</v>
      </c>
      <c r="B327" s="3">
        <v>1</v>
      </c>
      <c r="E327" s="3" t="s">
        <v>363</v>
      </c>
      <c r="F327" s="3" t="s">
        <v>364</v>
      </c>
      <c r="G327" s="3" t="s">
        <v>627</v>
      </c>
      <c r="H327" s="3" t="s">
        <v>365</v>
      </c>
      <c r="I327" s="3">
        <v>15</v>
      </c>
      <c r="J327" s="3">
        <v>0</v>
      </c>
      <c r="K327" s="3">
        <v>15</v>
      </c>
      <c r="O327" s="3">
        <f t="shared" si="263"/>
        <v>28386.87</v>
      </c>
      <c r="P327" s="3">
        <f t="shared" si="264"/>
        <v>28386.87</v>
      </c>
      <c r="Q327" s="3">
        <f>(ROUND((ROUND(((ET327)*AV327*I327),2)*BB327),2)+ROUND((ROUND(((AE327-(EU327))*AV327*I327),2)*BS327),2))</f>
        <v>0</v>
      </c>
      <c r="R327" s="3">
        <f>(ROUND((ROUND(((EU327)*AV327*I327),2)*BS327),2)+ROUND((ROUND(((AE327-(EU327))*AV327*I327),2)*BS327),2))</f>
        <v>0</v>
      </c>
      <c r="S327" s="3">
        <f t="shared" si="265"/>
        <v>0</v>
      </c>
      <c r="T327" s="3">
        <f t="shared" si="266"/>
        <v>0</v>
      </c>
      <c r="U327" s="3">
        <f t="shared" si="267"/>
        <v>0</v>
      </c>
      <c r="V327" s="3">
        <f t="shared" si="268"/>
        <v>0</v>
      </c>
      <c r="W327" s="3">
        <f t="shared" si="269"/>
        <v>0</v>
      </c>
      <c r="X327" s="3">
        <f>(ROUND((((S327+ROUND((ROUND(((EU327)*AV327*I327),2)*BS327),2))*AT327)/100),2)+ROUND(((ROUND((ROUND(((AE327-(EU327))*AV327*I327),2)*BS327),2)*AT327)/100),2))</f>
        <v>0</v>
      </c>
      <c r="Y327" s="3">
        <f>(ROUND((((S327+ROUND((ROUND(((EU327)*AV327*I327),2)*BS327),2))*AU327)/100),2)+ROUND(((ROUND((ROUND(((AE327-(EU327))*AV327*I327),2)*BS327),2)*AU327)/100),2))</f>
        <v>0</v>
      </c>
      <c r="AA327" s="3">
        <v>57014140</v>
      </c>
      <c r="AB327" s="3">
        <f t="shared" si="270"/>
        <v>347.24</v>
      </c>
      <c r="AC327" s="3">
        <f>ROUND((ES327),6)</f>
        <v>347.24</v>
      </c>
      <c r="AD327" s="3">
        <f>ROUND((((ET327)-(EU327))+AE327),6)</f>
        <v>0</v>
      </c>
      <c r="AE327" s="3">
        <f t="shared" si="300"/>
        <v>0</v>
      </c>
      <c r="AF327" s="3">
        <f t="shared" si="300"/>
        <v>0</v>
      </c>
      <c r="AG327" s="3">
        <f t="shared" si="271"/>
        <v>0</v>
      </c>
      <c r="AH327" s="3">
        <f t="shared" si="301"/>
        <v>0</v>
      </c>
      <c r="AI327" s="3">
        <f t="shared" si="301"/>
        <v>0</v>
      </c>
      <c r="AJ327" s="3">
        <f t="shared" si="272"/>
        <v>0</v>
      </c>
      <c r="AK327" s="3">
        <v>347.24</v>
      </c>
      <c r="AL327" s="3">
        <v>347.24</v>
      </c>
      <c r="AM327" s="3">
        <v>0</v>
      </c>
      <c r="AN327" s="3">
        <v>0</v>
      </c>
      <c r="AO327" s="3">
        <v>0</v>
      </c>
      <c r="AP327" s="3">
        <v>0</v>
      </c>
      <c r="AQ327" s="3">
        <v>0</v>
      </c>
      <c r="AR327" s="3">
        <v>0</v>
      </c>
      <c r="AS327" s="3">
        <v>0</v>
      </c>
      <c r="AT327" s="3">
        <v>97</v>
      </c>
      <c r="AU327" s="3">
        <v>51</v>
      </c>
      <c r="AV327" s="3">
        <v>1</v>
      </c>
      <c r="AW327" s="3">
        <v>1</v>
      </c>
      <c r="AZ327" s="3">
        <v>1</v>
      </c>
      <c r="BA327" s="3">
        <v>1</v>
      </c>
      <c r="BB327" s="3">
        <v>1</v>
      </c>
      <c r="BC327" s="3">
        <v>5.45</v>
      </c>
      <c r="BD327" s="3" t="s">
        <v>3</v>
      </c>
      <c r="BE327" s="3" t="s">
        <v>3</v>
      </c>
      <c r="BF327" s="3" t="s">
        <v>3</v>
      </c>
      <c r="BG327" s="3" t="s">
        <v>3</v>
      </c>
      <c r="BH327" s="3">
        <v>3</v>
      </c>
      <c r="BI327" s="3">
        <v>2</v>
      </c>
      <c r="BJ327" s="3" t="s">
        <v>366</v>
      </c>
      <c r="BM327" s="3">
        <v>67</v>
      </c>
      <c r="BN327" s="3">
        <v>0</v>
      </c>
      <c r="BO327" s="3" t="s">
        <v>364</v>
      </c>
      <c r="BP327" s="3">
        <v>1</v>
      </c>
      <c r="BQ327" s="3">
        <v>40</v>
      </c>
      <c r="BR327" s="3">
        <v>0</v>
      </c>
      <c r="BS327" s="3">
        <v>1</v>
      </c>
      <c r="BT327" s="3">
        <v>1</v>
      </c>
      <c r="BU327" s="3">
        <v>1</v>
      </c>
      <c r="BV327" s="3">
        <v>1</v>
      </c>
      <c r="BW327" s="3">
        <v>1</v>
      </c>
      <c r="BX327" s="3">
        <v>1</v>
      </c>
      <c r="BY327" s="3" t="s">
        <v>3</v>
      </c>
      <c r="BZ327" s="3">
        <v>97</v>
      </c>
      <c r="CA327" s="3">
        <v>51</v>
      </c>
      <c r="CB327" s="3" t="s">
        <v>3</v>
      </c>
      <c r="CE327" s="3">
        <v>1566</v>
      </c>
      <c r="CF327" s="3">
        <v>0</v>
      </c>
      <c r="CG327" s="3">
        <v>0</v>
      </c>
      <c r="CM327" s="3">
        <v>0</v>
      </c>
      <c r="CN327" s="3" t="s">
        <v>3</v>
      </c>
      <c r="CO327" s="3">
        <v>0</v>
      </c>
      <c r="CP327" s="3">
        <f t="shared" si="273"/>
        <v>28386.87</v>
      </c>
      <c r="CQ327" s="3">
        <f t="shared" si="274"/>
        <v>1892.46</v>
      </c>
      <c r="CR327" s="3">
        <f>(ROUND((ROUND(((ET327)*AV327*1),2)*BB327),2)+ROUND((ROUND(((AE327-(EU327))*AV327*1),2)*BS327),2))</f>
        <v>0</v>
      </c>
      <c r="CS327" s="3">
        <f>(ROUND((ROUND(((EU327)*AV327*1),2)*BS327),2)+ROUND((ROUND(((AE327-(EU327))*AV327*1),2)*BS327),2))</f>
        <v>0</v>
      </c>
      <c r="CT327" s="3">
        <f t="shared" si="275"/>
        <v>0</v>
      </c>
      <c r="CU327" s="3">
        <f t="shared" si="276"/>
        <v>0</v>
      </c>
      <c r="CV327" s="3">
        <f t="shared" si="277"/>
        <v>0</v>
      </c>
      <c r="CW327" s="3">
        <f t="shared" si="278"/>
        <v>0</v>
      </c>
      <c r="CX327" s="3">
        <f t="shared" si="279"/>
        <v>0</v>
      </c>
      <c r="CY327" s="3">
        <f>(ROUND((((S327+ROUND((ROUND(((EU327)*AV327*1),2)*BS327),2))*AT327)/100),2)+ROUND(((ROUND((ROUND(((AE327-(EU327))*AV327*1),2)*BS327),2)*AT327)/100),2))</f>
        <v>0</v>
      </c>
      <c r="CZ327" s="3">
        <f>(ROUND((((S327+ROUND((ROUND(((EU327)*AV327*1),2)*BS327),2))*AU327)/100),2)+ROUND(((ROUND((ROUND(((AE327-(EU327))*AV327*1),2)*BS327),2)*AU327)/100),2))</f>
        <v>0</v>
      </c>
      <c r="DC327" s="3" t="s">
        <v>3</v>
      </c>
      <c r="DD327" s="3" t="s">
        <v>3</v>
      </c>
      <c r="DE327" s="3" t="s">
        <v>3</v>
      </c>
      <c r="DF327" s="3" t="s">
        <v>3</v>
      </c>
      <c r="DG327" s="3" t="s">
        <v>3</v>
      </c>
      <c r="DH327" s="3" t="s">
        <v>3</v>
      </c>
      <c r="DI327" s="3" t="s">
        <v>3</v>
      </c>
      <c r="DJ327" s="3" t="s">
        <v>3</v>
      </c>
      <c r="DK327" s="3" t="s">
        <v>3</v>
      </c>
      <c r="DL327" s="3" t="s">
        <v>3</v>
      </c>
      <c r="DM327" s="3" t="s">
        <v>3</v>
      </c>
      <c r="DN327" s="3">
        <v>0</v>
      </c>
      <c r="DO327" s="3">
        <v>0</v>
      </c>
      <c r="DP327" s="3">
        <v>1</v>
      </c>
      <c r="DQ327" s="3">
        <v>1</v>
      </c>
      <c r="DU327" s="3">
        <v>1009</v>
      </c>
      <c r="DV327" s="3" t="s">
        <v>365</v>
      </c>
      <c r="DW327" s="3" t="s">
        <v>365</v>
      </c>
      <c r="DX327" s="3">
        <v>1</v>
      </c>
      <c r="DZ327" s="3" t="s">
        <v>3</v>
      </c>
      <c r="EA327" s="3" t="s">
        <v>3</v>
      </c>
      <c r="EB327" s="3" t="s">
        <v>3</v>
      </c>
      <c r="EC327" s="3" t="s">
        <v>3</v>
      </c>
      <c r="EE327" s="3">
        <v>57042957</v>
      </c>
      <c r="EF327" s="3">
        <v>40</v>
      </c>
      <c r="EG327" s="3" t="s">
        <v>31</v>
      </c>
      <c r="EH327" s="3">
        <v>0</v>
      </c>
      <c r="EI327" s="3" t="s">
        <v>3</v>
      </c>
      <c r="EJ327" s="3">
        <v>2</v>
      </c>
      <c r="EK327" s="3">
        <v>67</v>
      </c>
      <c r="EL327" s="3" t="s">
        <v>190</v>
      </c>
      <c r="EM327" s="3" t="s">
        <v>191</v>
      </c>
      <c r="EO327" s="3" t="s">
        <v>3</v>
      </c>
      <c r="EQ327" s="3">
        <v>0</v>
      </c>
      <c r="ER327" s="3">
        <v>347.24</v>
      </c>
      <c r="ES327" s="3">
        <v>347.24</v>
      </c>
      <c r="ET327" s="3">
        <v>0</v>
      </c>
      <c r="EU327" s="3">
        <v>0</v>
      </c>
      <c r="EV327" s="3">
        <v>0</v>
      </c>
      <c r="EW327" s="3">
        <v>0</v>
      </c>
      <c r="EX327" s="3">
        <v>0</v>
      </c>
      <c r="EY327" s="3">
        <v>0</v>
      </c>
      <c r="FQ327" s="3">
        <v>0</v>
      </c>
      <c r="FR327" s="3">
        <v>0</v>
      </c>
      <c r="FS327" s="3">
        <v>0</v>
      </c>
      <c r="FX327" s="3">
        <v>97</v>
      </c>
      <c r="FY327" s="3">
        <v>51</v>
      </c>
      <c r="GA327" s="3" t="s">
        <v>3</v>
      </c>
      <c r="GD327" s="3">
        <v>1</v>
      </c>
      <c r="GF327" s="3">
        <v>-1684521540</v>
      </c>
      <c r="GG327" s="3">
        <v>2</v>
      </c>
      <c r="GH327" s="3">
        <v>1</v>
      </c>
      <c r="GI327" s="3">
        <v>2</v>
      </c>
      <c r="GJ327" s="3">
        <v>0</v>
      </c>
      <c r="GK327" s="3">
        <v>0</v>
      </c>
      <c r="GL327" s="3">
        <f t="shared" si="280"/>
        <v>0</v>
      </c>
      <c r="GM327" s="3">
        <f t="shared" si="281"/>
        <v>28386.87</v>
      </c>
      <c r="GN327" s="3">
        <f t="shared" si="282"/>
        <v>0</v>
      </c>
      <c r="GO327" s="3">
        <f t="shared" si="283"/>
        <v>28386.87</v>
      </c>
      <c r="GP327" s="3">
        <f t="shared" si="284"/>
        <v>0</v>
      </c>
      <c r="GR327" s="3">
        <v>0</v>
      </c>
      <c r="GS327" s="3">
        <v>3</v>
      </c>
      <c r="GT327" s="3">
        <v>0</v>
      </c>
      <c r="GU327" s="3" t="s">
        <v>3</v>
      </c>
      <c r="GV327" s="3">
        <f t="shared" si="285"/>
        <v>0</v>
      </c>
      <c r="GW327" s="3">
        <v>1</v>
      </c>
      <c r="GX327" s="3">
        <f t="shared" si="286"/>
        <v>0</v>
      </c>
      <c r="HA327" s="3">
        <v>0</v>
      </c>
      <c r="HB327" s="3">
        <v>0</v>
      </c>
      <c r="HC327" s="3">
        <f t="shared" si="287"/>
        <v>0</v>
      </c>
      <c r="HE327" s="3" t="s">
        <v>3</v>
      </c>
      <c r="HF327" s="3" t="s">
        <v>3</v>
      </c>
      <c r="HM327" s="3" t="s">
        <v>3</v>
      </c>
      <c r="HN327" s="3" t="s">
        <v>3</v>
      </c>
      <c r="HO327" s="3" t="s">
        <v>3</v>
      </c>
      <c r="HP327" s="3" t="s">
        <v>3</v>
      </c>
      <c r="HQ327" s="3" t="s">
        <v>3</v>
      </c>
      <c r="HS327" s="3">
        <v>0</v>
      </c>
      <c r="IK327" s="3">
        <v>0</v>
      </c>
    </row>
    <row r="329" spans="1:255" ht="13" x14ac:dyDescent="0.3">
      <c r="A329" s="11">
        <v>51</v>
      </c>
      <c r="B329" s="11">
        <f>B310</f>
        <v>1</v>
      </c>
      <c r="C329" s="11">
        <f>A310</f>
        <v>4</v>
      </c>
      <c r="D329" s="11">
        <f>ROW(A310)</f>
        <v>310</v>
      </c>
      <c r="E329" s="11"/>
      <c r="F329" s="11" t="str">
        <f>IF(F310&lt;&gt;"",F310,"")</f>
        <v>4</v>
      </c>
      <c r="G329" s="11" t="str">
        <f>IF(G310&lt;&gt;"",G310,"")</f>
        <v>Материалы</v>
      </c>
      <c r="H329" s="11">
        <v>0</v>
      </c>
      <c r="I329" s="11"/>
      <c r="J329" s="11"/>
      <c r="K329" s="11"/>
      <c r="L329" s="11"/>
      <c r="M329" s="11"/>
      <c r="N329" s="11"/>
      <c r="O329" s="11">
        <f t="shared" ref="O329:T329" si="302">ROUND(AB329,2)</f>
        <v>6131.89</v>
      </c>
      <c r="P329" s="11">
        <f t="shared" si="302"/>
        <v>6007.78</v>
      </c>
      <c r="Q329" s="11">
        <f t="shared" si="302"/>
        <v>63.02</v>
      </c>
      <c r="R329" s="11">
        <f t="shared" si="302"/>
        <v>3.87</v>
      </c>
      <c r="S329" s="11">
        <f t="shared" si="302"/>
        <v>61.09</v>
      </c>
      <c r="T329" s="11">
        <f t="shared" si="302"/>
        <v>0</v>
      </c>
      <c r="U329" s="11">
        <f>AH329</f>
        <v>4.8371399999999998</v>
      </c>
      <c r="V329" s="11">
        <f>AI329</f>
        <v>0</v>
      </c>
      <c r="W329" s="11">
        <f>ROUND(AJ329,2)</f>
        <v>0</v>
      </c>
      <c r="X329" s="11">
        <f>ROUND(AK329,2)</f>
        <v>58.46</v>
      </c>
      <c r="Y329" s="11">
        <f>ROUND(AL329,2)</f>
        <v>29.88</v>
      </c>
      <c r="Z329" s="11"/>
      <c r="AA329" s="11"/>
      <c r="AB329" s="11">
        <f>ROUND(SUMIF(AA314:AA327,"=57014138",O314:O327),2)</f>
        <v>6131.89</v>
      </c>
      <c r="AC329" s="11">
        <f>ROUND(SUMIF(AA314:AA327,"=57014138",P314:P327),2)</f>
        <v>6007.78</v>
      </c>
      <c r="AD329" s="11">
        <f>ROUND(SUMIF(AA314:AA327,"=57014138",Q314:Q327),2)</f>
        <v>63.02</v>
      </c>
      <c r="AE329" s="11">
        <f>ROUND(SUMIF(AA314:AA327,"=57014138",R314:R327),2)</f>
        <v>3.87</v>
      </c>
      <c r="AF329" s="11">
        <f>ROUND(SUMIF(AA314:AA327,"=57014138",S314:S327),2)</f>
        <v>61.09</v>
      </c>
      <c r="AG329" s="11">
        <f>ROUND(SUMIF(AA314:AA327,"=57014138",T314:T327),2)</f>
        <v>0</v>
      </c>
      <c r="AH329" s="11">
        <f>SUMIF(AA314:AA327,"=57014138",U314:U327)</f>
        <v>4.8371399999999998</v>
      </c>
      <c r="AI329" s="11">
        <f>SUMIF(AA314:AA327,"=57014138",V314:V327)</f>
        <v>0</v>
      </c>
      <c r="AJ329" s="11">
        <f>ROUND(SUMIF(AA314:AA327,"=57014138",W314:W327),2)</f>
        <v>0</v>
      </c>
      <c r="AK329" s="11">
        <f>ROUND(SUMIF(AA314:AA327,"=57014138",X314:X327),2)</f>
        <v>58.46</v>
      </c>
      <c r="AL329" s="11">
        <f>ROUND(SUMIF(AA314:AA327,"=57014138",Y314:Y327),2)</f>
        <v>29.88</v>
      </c>
      <c r="AM329" s="11"/>
      <c r="AN329" s="11"/>
      <c r="AO329" s="11">
        <f t="shared" ref="AO329:BD329" si="303">ROUND(BX329,2)</f>
        <v>0</v>
      </c>
      <c r="AP329" s="11">
        <f t="shared" si="303"/>
        <v>0</v>
      </c>
      <c r="AQ329" s="11">
        <f t="shared" si="303"/>
        <v>0</v>
      </c>
      <c r="AR329" s="11">
        <f t="shared" si="303"/>
        <v>6220.23</v>
      </c>
      <c r="AS329" s="11">
        <f t="shared" si="303"/>
        <v>787.63</v>
      </c>
      <c r="AT329" s="11">
        <f t="shared" si="303"/>
        <v>5432.6</v>
      </c>
      <c r="AU329" s="11">
        <f t="shared" si="303"/>
        <v>0</v>
      </c>
      <c r="AV329" s="11">
        <f t="shared" si="303"/>
        <v>6007.78</v>
      </c>
      <c r="AW329" s="11">
        <f t="shared" si="303"/>
        <v>6007.78</v>
      </c>
      <c r="AX329" s="11">
        <f t="shared" si="303"/>
        <v>0</v>
      </c>
      <c r="AY329" s="11">
        <f t="shared" si="303"/>
        <v>6007.78</v>
      </c>
      <c r="AZ329" s="11">
        <f t="shared" si="303"/>
        <v>0</v>
      </c>
      <c r="BA329" s="11">
        <f t="shared" si="303"/>
        <v>0</v>
      </c>
      <c r="BB329" s="11">
        <f t="shared" si="303"/>
        <v>0</v>
      </c>
      <c r="BC329" s="11">
        <f t="shared" si="303"/>
        <v>0</v>
      </c>
      <c r="BD329" s="11">
        <f t="shared" si="303"/>
        <v>0</v>
      </c>
      <c r="BE329" s="11"/>
      <c r="BF329" s="11"/>
      <c r="BG329" s="11"/>
      <c r="BH329" s="11"/>
      <c r="BI329" s="11"/>
      <c r="BJ329" s="11"/>
      <c r="BK329" s="11"/>
      <c r="BL329" s="11"/>
      <c r="BM329" s="11"/>
      <c r="BN329" s="11"/>
      <c r="BO329" s="11"/>
      <c r="BP329" s="11"/>
      <c r="BQ329" s="11"/>
      <c r="BR329" s="11"/>
      <c r="BS329" s="11"/>
      <c r="BT329" s="11"/>
      <c r="BU329" s="11"/>
      <c r="BV329" s="11"/>
      <c r="BW329" s="11"/>
      <c r="BX329" s="11">
        <f>ROUND(SUMIF(AA314:AA327,"=57014138",FQ314:FQ327),2)</f>
        <v>0</v>
      </c>
      <c r="BY329" s="11">
        <f>ROUND(SUMIF(AA314:AA327,"=57014138",FR314:FR327),2)</f>
        <v>0</v>
      </c>
      <c r="BZ329" s="11">
        <f>ROUND(SUMIF(AA314:AA327,"=57014138",GL314:GL327),2)</f>
        <v>0</v>
      </c>
      <c r="CA329" s="11">
        <f>ROUND(SUMIF(AA314:AA327,"=57014138",GM314:GM327),2)</f>
        <v>6220.23</v>
      </c>
      <c r="CB329" s="11">
        <f>ROUND(SUMIF(AA314:AA327,"=57014138",GN314:GN327),2)</f>
        <v>787.63</v>
      </c>
      <c r="CC329" s="11">
        <f>ROUND(SUMIF(AA314:AA327,"=57014138",GO314:GO327),2)</f>
        <v>5432.6</v>
      </c>
      <c r="CD329" s="11">
        <f>ROUND(SUMIF(AA314:AA327,"=57014138",GP314:GP327),2)</f>
        <v>0</v>
      </c>
      <c r="CE329" s="11">
        <f>AC329-BX329</f>
        <v>6007.78</v>
      </c>
      <c r="CF329" s="11">
        <f>AC329-BY329</f>
        <v>6007.78</v>
      </c>
      <c r="CG329" s="11">
        <f>BX329-BZ329</f>
        <v>0</v>
      </c>
      <c r="CH329" s="11">
        <f>AC329-BX329-BY329+BZ329</f>
        <v>6007.78</v>
      </c>
      <c r="CI329" s="11">
        <f>BY329-BZ329</f>
        <v>0</v>
      </c>
      <c r="CJ329" s="11">
        <f>ROUND(SUMIF(AA314:AA327,"=57014138",GX314:GX327),2)</f>
        <v>0</v>
      </c>
      <c r="CK329" s="11">
        <f>ROUND(SUMIF(AA314:AA327,"=57014138",GY314:GY327),2)</f>
        <v>0</v>
      </c>
      <c r="CL329" s="11">
        <f>ROUND(SUMIF(AA314:AA327,"=57014138",GZ314:GZ327),2)</f>
        <v>0</v>
      </c>
      <c r="CM329" s="11">
        <f>ROUND(SUMIF(AA314:AA327,"=57014138",HD314:HD327),2)</f>
        <v>0</v>
      </c>
      <c r="CN329" s="11"/>
      <c r="CO329" s="11"/>
      <c r="CP329" s="11"/>
      <c r="CQ329" s="11"/>
      <c r="CR329" s="11"/>
      <c r="CS329" s="11"/>
      <c r="CT329" s="11"/>
      <c r="CU329" s="11"/>
      <c r="CV329" s="11"/>
      <c r="CW329" s="11"/>
      <c r="CX329" s="11"/>
      <c r="CY329" s="11"/>
      <c r="CZ329" s="11"/>
      <c r="DA329" s="11"/>
      <c r="DB329" s="11"/>
      <c r="DC329" s="11"/>
      <c r="DD329" s="11"/>
      <c r="DE329" s="11"/>
      <c r="DF329" s="11"/>
      <c r="DG329" s="12">
        <f t="shared" ref="DG329:DL329" si="304">ROUND(DT329,2)</f>
        <v>40559.74</v>
      </c>
      <c r="DH329" s="12">
        <f t="shared" si="304"/>
        <v>36250.79</v>
      </c>
      <c r="DI329" s="12">
        <f t="shared" si="304"/>
        <v>866.53</v>
      </c>
      <c r="DJ329" s="12">
        <f t="shared" si="304"/>
        <v>218.07</v>
      </c>
      <c r="DK329" s="12">
        <f t="shared" si="304"/>
        <v>3442.42</v>
      </c>
      <c r="DL329" s="12">
        <f t="shared" si="304"/>
        <v>0</v>
      </c>
      <c r="DM329" s="12">
        <f>DZ329</f>
        <v>4.8371399999999998</v>
      </c>
      <c r="DN329" s="12">
        <f>EA329</f>
        <v>0</v>
      </c>
      <c r="DO329" s="12">
        <f>ROUND(EB329,2)</f>
        <v>0</v>
      </c>
      <c r="DP329" s="12">
        <f>ROUND(EC329,2)</f>
        <v>3294.44</v>
      </c>
      <c r="DQ329" s="12">
        <f>ROUND(ED329,2)</f>
        <v>1683.83</v>
      </c>
      <c r="DR329" s="12"/>
      <c r="DS329" s="12"/>
      <c r="DT329" s="12">
        <f>ROUND(SUMIF(AA314:AA327,"=57014140",O314:O327),2)</f>
        <v>40559.74</v>
      </c>
      <c r="DU329" s="12">
        <f>ROUND(SUMIF(AA314:AA327,"=57014140",P314:P327),2)</f>
        <v>36250.79</v>
      </c>
      <c r="DV329" s="12">
        <f>ROUND(SUMIF(AA314:AA327,"=57014140",Q314:Q327),2)</f>
        <v>866.53</v>
      </c>
      <c r="DW329" s="12">
        <f>ROUND(SUMIF(AA314:AA327,"=57014140",R314:R327),2)</f>
        <v>218.07</v>
      </c>
      <c r="DX329" s="12">
        <f>ROUND(SUMIF(AA314:AA327,"=57014140",S314:S327),2)</f>
        <v>3442.42</v>
      </c>
      <c r="DY329" s="12">
        <f>ROUND(SUMIF(AA314:AA327,"=57014140",T314:T327),2)</f>
        <v>0</v>
      </c>
      <c r="DZ329" s="12">
        <f>SUMIF(AA314:AA327,"=57014140",U314:U327)</f>
        <v>4.8371399999999998</v>
      </c>
      <c r="EA329" s="12">
        <f>SUMIF(AA314:AA327,"=57014140",V314:V327)</f>
        <v>0</v>
      </c>
      <c r="EB329" s="12">
        <f>ROUND(SUMIF(AA314:AA327,"=57014140",W314:W327),2)</f>
        <v>0</v>
      </c>
      <c r="EC329" s="12">
        <f>ROUND(SUMIF(AA314:AA327,"=57014140",X314:X327),2)</f>
        <v>3294.44</v>
      </c>
      <c r="ED329" s="12">
        <f>ROUND(SUMIF(AA314:AA327,"=57014140",Y314:Y327),2)</f>
        <v>1683.83</v>
      </c>
      <c r="EE329" s="12"/>
      <c r="EF329" s="12"/>
      <c r="EG329" s="12">
        <f t="shared" ref="EG329:EV329" si="305">ROUND(FP329,2)</f>
        <v>0</v>
      </c>
      <c r="EH329" s="12">
        <f t="shared" si="305"/>
        <v>0</v>
      </c>
      <c r="EI329" s="12">
        <f t="shared" si="305"/>
        <v>0</v>
      </c>
      <c r="EJ329" s="12">
        <f t="shared" si="305"/>
        <v>45538.01</v>
      </c>
      <c r="EK329" s="12">
        <f t="shared" si="305"/>
        <v>7750.27</v>
      </c>
      <c r="EL329" s="12">
        <f t="shared" si="305"/>
        <v>37787.74</v>
      </c>
      <c r="EM329" s="12">
        <f t="shared" si="305"/>
        <v>0</v>
      </c>
      <c r="EN329" s="12">
        <f t="shared" si="305"/>
        <v>36250.79</v>
      </c>
      <c r="EO329" s="12">
        <f t="shared" si="305"/>
        <v>36250.79</v>
      </c>
      <c r="EP329" s="12">
        <f t="shared" si="305"/>
        <v>0</v>
      </c>
      <c r="EQ329" s="12">
        <f t="shared" si="305"/>
        <v>36250.79</v>
      </c>
      <c r="ER329" s="12">
        <f t="shared" si="305"/>
        <v>0</v>
      </c>
      <c r="ES329" s="12">
        <f t="shared" si="305"/>
        <v>0</v>
      </c>
      <c r="ET329" s="12">
        <f t="shared" si="305"/>
        <v>0</v>
      </c>
      <c r="EU329" s="12">
        <f t="shared" si="305"/>
        <v>0</v>
      </c>
      <c r="EV329" s="12">
        <f t="shared" si="305"/>
        <v>0</v>
      </c>
      <c r="EW329" s="12"/>
      <c r="EX329" s="12"/>
      <c r="EY329" s="12"/>
      <c r="EZ329" s="12"/>
      <c r="FA329" s="12"/>
      <c r="FB329" s="12"/>
      <c r="FC329" s="12"/>
      <c r="FD329" s="12"/>
      <c r="FE329" s="12"/>
      <c r="FF329" s="12"/>
      <c r="FG329" s="12"/>
      <c r="FH329" s="12"/>
      <c r="FI329" s="12"/>
      <c r="FJ329" s="12"/>
      <c r="FK329" s="12"/>
      <c r="FL329" s="12"/>
      <c r="FM329" s="12"/>
      <c r="FN329" s="12"/>
      <c r="FO329" s="12"/>
      <c r="FP329" s="12">
        <f>ROUND(SUMIF(AA314:AA327,"=57014140",FQ314:FQ327),2)</f>
        <v>0</v>
      </c>
      <c r="FQ329" s="12">
        <f>ROUND(SUMIF(AA314:AA327,"=57014140",FR314:FR327),2)</f>
        <v>0</v>
      </c>
      <c r="FR329" s="12">
        <f>ROUND(SUMIF(AA314:AA327,"=57014140",GL314:GL327),2)</f>
        <v>0</v>
      </c>
      <c r="FS329" s="12">
        <f>ROUND(SUMIF(AA314:AA327,"=57014140",GM314:GM327),2)</f>
        <v>45538.01</v>
      </c>
      <c r="FT329" s="12">
        <f>ROUND(SUMIF(AA314:AA327,"=57014140",GN314:GN327),2)</f>
        <v>7750.27</v>
      </c>
      <c r="FU329" s="12">
        <f>ROUND(SUMIF(AA314:AA327,"=57014140",GO314:GO327),2)</f>
        <v>37787.74</v>
      </c>
      <c r="FV329" s="12">
        <f>ROUND(SUMIF(AA314:AA327,"=57014140",GP314:GP327),2)</f>
        <v>0</v>
      </c>
      <c r="FW329" s="12">
        <f>DU329-FP329</f>
        <v>36250.79</v>
      </c>
      <c r="FX329" s="12">
        <f>DU329-FQ329</f>
        <v>36250.79</v>
      </c>
      <c r="FY329" s="12">
        <f>FP329-FR329</f>
        <v>0</v>
      </c>
      <c r="FZ329" s="12">
        <f>DU329-FP329-FQ329+FR329</f>
        <v>36250.79</v>
      </c>
      <c r="GA329" s="12">
        <f>FQ329-FR329</f>
        <v>0</v>
      </c>
      <c r="GB329" s="12">
        <f>ROUND(SUMIF(AA314:AA327,"=57014140",GX314:GX327),2)</f>
        <v>0</v>
      </c>
      <c r="GC329" s="12">
        <f>ROUND(SUMIF(AA314:AA327,"=57014140",GY314:GY327),2)</f>
        <v>0</v>
      </c>
      <c r="GD329" s="12">
        <f>ROUND(SUMIF(AA314:AA327,"=57014140",GZ314:GZ327),2)</f>
        <v>0</v>
      </c>
      <c r="GE329" s="12">
        <f>ROUND(SUMIF(AA314:AA327,"=57014140",HD314:HD327),2)</f>
        <v>0</v>
      </c>
      <c r="GF329" s="12"/>
      <c r="GG329" s="12"/>
      <c r="GH329" s="12"/>
      <c r="GI329" s="12"/>
      <c r="GJ329" s="12"/>
      <c r="GK329" s="12"/>
      <c r="GL329" s="12"/>
      <c r="GM329" s="12"/>
      <c r="GN329" s="12"/>
      <c r="GO329" s="12"/>
      <c r="GP329" s="12"/>
      <c r="GQ329" s="12"/>
      <c r="GR329" s="12"/>
      <c r="GS329" s="12"/>
      <c r="GT329" s="12"/>
      <c r="GU329" s="12"/>
      <c r="GV329" s="12"/>
      <c r="GW329" s="12"/>
      <c r="GX329" s="12">
        <v>0</v>
      </c>
    </row>
    <row r="331" spans="1:255" ht="13" x14ac:dyDescent="0.3">
      <c r="A331" s="13">
        <v>50</v>
      </c>
      <c r="B331" s="13">
        <v>0</v>
      </c>
      <c r="C331" s="13">
        <v>0</v>
      </c>
      <c r="D331" s="13">
        <v>1</v>
      </c>
      <c r="E331" s="13">
        <v>201</v>
      </c>
      <c r="F331" s="13">
        <f>ROUND(Source!O329,O331)</f>
        <v>6131.89</v>
      </c>
      <c r="G331" s="13" t="s">
        <v>92</v>
      </c>
      <c r="H331" s="13" t="s">
        <v>93</v>
      </c>
      <c r="I331" s="13"/>
      <c r="J331" s="13"/>
      <c r="K331" s="13">
        <v>201</v>
      </c>
      <c r="L331" s="13">
        <v>1</v>
      </c>
      <c r="M331" s="13">
        <v>3</v>
      </c>
      <c r="N331" s="13" t="s">
        <v>3</v>
      </c>
      <c r="O331" s="13">
        <v>2</v>
      </c>
      <c r="P331" s="13">
        <f>ROUND(Source!DG329,O331)</f>
        <v>40559.74</v>
      </c>
      <c r="Q331" s="13"/>
      <c r="R331" s="13"/>
      <c r="S331" s="13"/>
      <c r="T331" s="13"/>
      <c r="U331" s="13"/>
      <c r="V331" s="13"/>
      <c r="W331" s="13">
        <v>6131.89</v>
      </c>
      <c r="X331" s="13">
        <v>1</v>
      </c>
      <c r="Y331" s="13">
        <v>6131.89</v>
      </c>
      <c r="Z331" s="13">
        <v>40559.74</v>
      </c>
      <c r="AA331" s="13">
        <v>1</v>
      </c>
      <c r="AB331" s="13">
        <v>40559.74</v>
      </c>
    </row>
    <row r="332" spans="1:255" ht="13" x14ac:dyDescent="0.3">
      <c r="A332" s="13">
        <v>50</v>
      </c>
      <c r="B332" s="13">
        <v>0</v>
      </c>
      <c r="C332" s="13">
        <v>0</v>
      </c>
      <c r="D332" s="13">
        <v>1</v>
      </c>
      <c r="E332" s="13">
        <v>202</v>
      </c>
      <c r="F332" s="13">
        <f>ROUND(Source!P329,O332)</f>
        <v>6007.78</v>
      </c>
      <c r="G332" s="13" t="s">
        <v>94</v>
      </c>
      <c r="H332" s="13" t="s">
        <v>95</v>
      </c>
      <c r="I332" s="13"/>
      <c r="J332" s="13"/>
      <c r="K332" s="13">
        <v>202</v>
      </c>
      <c r="L332" s="13">
        <v>2</v>
      </c>
      <c r="M332" s="13">
        <v>3</v>
      </c>
      <c r="N332" s="13" t="s">
        <v>3</v>
      </c>
      <c r="O332" s="13">
        <v>2</v>
      </c>
      <c r="P332" s="13">
        <f>ROUND(Source!DH329,O332)</f>
        <v>36250.79</v>
      </c>
      <c r="Q332" s="13"/>
      <c r="R332" s="13"/>
      <c r="S332" s="13"/>
      <c r="T332" s="13"/>
      <c r="U332" s="13"/>
      <c r="V332" s="13"/>
      <c r="W332" s="13">
        <v>6007.78</v>
      </c>
      <c r="X332" s="13">
        <v>1</v>
      </c>
      <c r="Y332" s="13">
        <v>6007.78</v>
      </c>
      <c r="Z332" s="13">
        <v>36250.79</v>
      </c>
      <c r="AA332" s="13">
        <v>1</v>
      </c>
      <c r="AB332" s="13">
        <v>36250.79</v>
      </c>
    </row>
    <row r="333" spans="1:255" ht="13" x14ac:dyDescent="0.3">
      <c r="A333" s="13">
        <v>50</v>
      </c>
      <c r="B333" s="13">
        <v>0</v>
      </c>
      <c r="C333" s="13">
        <v>0</v>
      </c>
      <c r="D333" s="13">
        <v>1</v>
      </c>
      <c r="E333" s="13">
        <v>222</v>
      </c>
      <c r="F333" s="13">
        <f>ROUND(Source!AO329,O333)</f>
        <v>0</v>
      </c>
      <c r="G333" s="13" t="s">
        <v>96</v>
      </c>
      <c r="H333" s="13" t="s">
        <v>97</v>
      </c>
      <c r="I333" s="13"/>
      <c r="J333" s="13"/>
      <c r="K333" s="13">
        <v>222</v>
      </c>
      <c r="L333" s="13">
        <v>3</v>
      </c>
      <c r="M333" s="13">
        <v>3</v>
      </c>
      <c r="N333" s="13" t="s">
        <v>3</v>
      </c>
      <c r="O333" s="13">
        <v>2</v>
      </c>
      <c r="P333" s="13">
        <f>ROUND(Source!EG329,O333)</f>
        <v>0</v>
      </c>
      <c r="Q333" s="13"/>
      <c r="R333" s="13"/>
      <c r="S333" s="13"/>
      <c r="T333" s="13"/>
      <c r="U333" s="13"/>
      <c r="V333" s="13"/>
      <c r="W333" s="13">
        <v>0</v>
      </c>
      <c r="X333" s="13">
        <v>1</v>
      </c>
      <c r="Y333" s="13">
        <v>0</v>
      </c>
      <c r="Z333" s="13">
        <v>0</v>
      </c>
      <c r="AA333" s="13">
        <v>1</v>
      </c>
      <c r="AB333" s="13">
        <v>0</v>
      </c>
    </row>
    <row r="334" spans="1:255" ht="13" x14ac:dyDescent="0.3">
      <c r="A334" s="13">
        <v>50</v>
      </c>
      <c r="B334" s="13">
        <v>0</v>
      </c>
      <c r="C334" s="13">
        <v>0</v>
      </c>
      <c r="D334" s="13">
        <v>1</v>
      </c>
      <c r="E334" s="13">
        <v>225</v>
      </c>
      <c r="F334" s="13">
        <f>ROUND(Source!AV329,O334)</f>
        <v>6007.78</v>
      </c>
      <c r="G334" s="13" t="s">
        <v>98</v>
      </c>
      <c r="H334" s="13" t="s">
        <v>99</v>
      </c>
      <c r="I334" s="13"/>
      <c r="J334" s="13"/>
      <c r="K334" s="13">
        <v>225</v>
      </c>
      <c r="L334" s="13">
        <v>4</v>
      </c>
      <c r="M334" s="13">
        <v>3</v>
      </c>
      <c r="N334" s="13" t="s">
        <v>3</v>
      </c>
      <c r="O334" s="13">
        <v>2</v>
      </c>
      <c r="P334" s="13">
        <f>ROUND(Source!EN329,O334)</f>
        <v>36250.79</v>
      </c>
      <c r="Q334" s="13"/>
      <c r="R334" s="13"/>
      <c r="S334" s="13"/>
      <c r="T334" s="13"/>
      <c r="U334" s="13"/>
      <c r="V334" s="13"/>
      <c r="W334" s="13">
        <v>6007.78</v>
      </c>
      <c r="X334" s="13">
        <v>1</v>
      </c>
      <c r="Y334" s="13">
        <v>6007.78</v>
      </c>
      <c r="Z334" s="13">
        <v>36250.79</v>
      </c>
      <c r="AA334" s="13">
        <v>1</v>
      </c>
      <c r="AB334" s="13">
        <v>36250.79</v>
      </c>
    </row>
    <row r="335" spans="1:255" ht="13" x14ac:dyDescent="0.3">
      <c r="A335" s="13">
        <v>50</v>
      </c>
      <c r="B335" s="13">
        <v>0</v>
      </c>
      <c r="C335" s="13">
        <v>0</v>
      </c>
      <c r="D335" s="13">
        <v>1</v>
      </c>
      <c r="E335" s="13">
        <v>226</v>
      </c>
      <c r="F335" s="13">
        <f>ROUND(Source!AW329,O335)</f>
        <v>6007.78</v>
      </c>
      <c r="G335" s="13" t="s">
        <v>100</v>
      </c>
      <c r="H335" s="13" t="s">
        <v>101</v>
      </c>
      <c r="I335" s="13"/>
      <c r="J335" s="13"/>
      <c r="K335" s="13">
        <v>226</v>
      </c>
      <c r="L335" s="13">
        <v>5</v>
      </c>
      <c r="M335" s="13">
        <v>3</v>
      </c>
      <c r="N335" s="13" t="s">
        <v>3</v>
      </c>
      <c r="O335" s="13">
        <v>2</v>
      </c>
      <c r="P335" s="13">
        <f>ROUND(Source!EO329,O335)</f>
        <v>36250.79</v>
      </c>
      <c r="Q335" s="13"/>
      <c r="R335" s="13"/>
      <c r="S335" s="13"/>
      <c r="T335" s="13"/>
      <c r="U335" s="13"/>
      <c r="V335" s="13"/>
      <c r="W335" s="13">
        <v>6007.78</v>
      </c>
      <c r="X335" s="13">
        <v>1</v>
      </c>
      <c r="Y335" s="13">
        <v>6007.78</v>
      </c>
      <c r="Z335" s="13">
        <v>36250.79</v>
      </c>
      <c r="AA335" s="13">
        <v>1</v>
      </c>
      <c r="AB335" s="13">
        <v>36250.79</v>
      </c>
    </row>
    <row r="336" spans="1:255" ht="13" x14ac:dyDescent="0.3">
      <c r="A336" s="13">
        <v>50</v>
      </c>
      <c r="B336" s="13">
        <v>0</v>
      </c>
      <c r="C336" s="13">
        <v>0</v>
      </c>
      <c r="D336" s="13">
        <v>1</v>
      </c>
      <c r="E336" s="13">
        <v>227</v>
      </c>
      <c r="F336" s="13">
        <f>ROUND(Source!AX329,O336)</f>
        <v>0</v>
      </c>
      <c r="G336" s="13" t="s">
        <v>102</v>
      </c>
      <c r="H336" s="13" t="s">
        <v>103</v>
      </c>
      <c r="I336" s="13"/>
      <c r="J336" s="13"/>
      <c r="K336" s="13">
        <v>227</v>
      </c>
      <c r="L336" s="13">
        <v>6</v>
      </c>
      <c r="M336" s="13">
        <v>3</v>
      </c>
      <c r="N336" s="13" t="s">
        <v>3</v>
      </c>
      <c r="O336" s="13">
        <v>2</v>
      </c>
      <c r="P336" s="13">
        <f>ROUND(Source!EP329,O336)</f>
        <v>0</v>
      </c>
      <c r="Q336" s="13"/>
      <c r="R336" s="13"/>
      <c r="S336" s="13"/>
      <c r="T336" s="13"/>
      <c r="U336" s="13"/>
      <c r="V336" s="13"/>
      <c r="W336" s="13">
        <v>0</v>
      </c>
      <c r="X336" s="13">
        <v>1</v>
      </c>
      <c r="Y336" s="13">
        <v>0</v>
      </c>
      <c r="Z336" s="13">
        <v>0</v>
      </c>
      <c r="AA336" s="13">
        <v>1</v>
      </c>
      <c r="AB336" s="13">
        <v>0</v>
      </c>
    </row>
    <row r="337" spans="1:28" ht="13" x14ac:dyDescent="0.3">
      <c r="A337" s="13">
        <v>50</v>
      </c>
      <c r="B337" s="13">
        <v>0</v>
      </c>
      <c r="C337" s="13">
        <v>0</v>
      </c>
      <c r="D337" s="13">
        <v>1</v>
      </c>
      <c r="E337" s="13">
        <v>228</v>
      </c>
      <c r="F337" s="13">
        <f>ROUND(Source!AY329,O337)</f>
        <v>6007.78</v>
      </c>
      <c r="G337" s="13" t="s">
        <v>104</v>
      </c>
      <c r="H337" s="13" t="s">
        <v>105</v>
      </c>
      <c r="I337" s="13"/>
      <c r="J337" s="13"/>
      <c r="K337" s="13">
        <v>228</v>
      </c>
      <c r="L337" s="13">
        <v>7</v>
      </c>
      <c r="M337" s="13">
        <v>3</v>
      </c>
      <c r="N337" s="13" t="s">
        <v>3</v>
      </c>
      <c r="O337" s="13">
        <v>2</v>
      </c>
      <c r="P337" s="13">
        <f>ROUND(Source!EQ329,O337)</f>
        <v>36250.79</v>
      </c>
      <c r="Q337" s="13"/>
      <c r="R337" s="13"/>
      <c r="S337" s="13"/>
      <c r="T337" s="13"/>
      <c r="U337" s="13"/>
      <c r="V337" s="13"/>
      <c r="W337" s="13">
        <v>6007.78</v>
      </c>
      <c r="X337" s="13">
        <v>1</v>
      </c>
      <c r="Y337" s="13">
        <v>6007.78</v>
      </c>
      <c r="Z337" s="13">
        <v>36250.79</v>
      </c>
      <c r="AA337" s="13">
        <v>1</v>
      </c>
      <c r="AB337" s="13">
        <v>36250.79</v>
      </c>
    </row>
    <row r="338" spans="1:28" ht="13" x14ac:dyDescent="0.3">
      <c r="A338" s="13">
        <v>50</v>
      </c>
      <c r="B338" s="13">
        <v>0</v>
      </c>
      <c r="C338" s="13">
        <v>0</v>
      </c>
      <c r="D338" s="13">
        <v>1</v>
      </c>
      <c r="E338" s="13">
        <v>216</v>
      </c>
      <c r="F338" s="13">
        <f>ROUND(Source!AP329,O338)</f>
        <v>0</v>
      </c>
      <c r="G338" s="13" t="s">
        <v>106</v>
      </c>
      <c r="H338" s="13" t="s">
        <v>107</v>
      </c>
      <c r="I338" s="13"/>
      <c r="J338" s="13"/>
      <c r="K338" s="13">
        <v>216</v>
      </c>
      <c r="L338" s="13">
        <v>8</v>
      </c>
      <c r="M338" s="13">
        <v>3</v>
      </c>
      <c r="N338" s="13" t="s">
        <v>3</v>
      </c>
      <c r="O338" s="13">
        <v>2</v>
      </c>
      <c r="P338" s="13">
        <f>ROUND(Source!EH329,O338)</f>
        <v>0</v>
      </c>
      <c r="Q338" s="13"/>
      <c r="R338" s="13"/>
      <c r="S338" s="13"/>
      <c r="T338" s="13"/>
      <c r="U338" s="13"/>
      <c r="V338" s="13"/>
      <c r="W338" s="13">
        <v>0</v>
      </c>
      <c r="X338" s="13">
        <v>1</v>
      </c>
      <c r="Y338" s="13">
        <v>0</v>
      </c>
      <c r="Z338" s="13">
        <v>0</v>
      </c>
      <c r="AA338" s="13">
        <v>1</v>
      </c>
      <c r="AB338" s="13">
        <v>0</v>
      </c>
    </row>
    <row r="339" spans="1:28" ht="13" x14ac:dyDescent="0.3">
      <c r="A339" s="13">
        <v>50</v>
      </c>
      <c r="B339" s="13">
        <v>0</v>
      </c>
      <c r="C339" s="13">
        <v>0</v>
      </c>
      <c r="D339" s="13">
        <v>1</v>
      </c>
      <c r="E339" s="13">
        <v>223</v>
      </c>
      <c r="F339" s="13">
        <f>ROUND(Source!AQ329,O339)</f>
        <v>0</v>
      </c>
      <c r="G339" s="13" t="s">
        <v>108</v>
      </c>
      <c r="H339" s="13" t="s">
        <v>109</v>
      </c>
      <c r="I339" s="13"/>
      <c r="J339" s="13"/>
      <c r="K339" s="13">
        <v>223</v>
      </c>
      <c r="L339" s="13">
        <v>9</v>
      </c>
      <c r="M339" s="13">
        <v>3</v>
      </c>
      <c r="N339" s="13" t="s">
        <v>3</v>
      </c>
      <c r="O339" s="13">
        <v>2</v>
      </c>
      <c r="P339" s="13">
        <f>ROUND(Source!EI329,O339)</f>
        <v>0</v>
      </c>
      <c r="Q339" s="13"/>
      <c r="R339" s="13"/>
      <c r="S339" s="13"/>
      <c r="T339" s="13"/>
      <c r="U339" s="13"/>
      <c r="V339" s="13"/>
      <c r="W339" s="13">
        <v>0</v>
      </c>
      <c r="X339" s="13">
        <v>1</v>
      </c>
      <c r="Y339" s="13">
        <v>0</v>
      </c>
      <c r="Z339" s="13">
        <v>0</v>
      </c>
      <c r="AA339" s="13">
        <v>1</v>
      </c>
      <c r="AB339" s="13">
        <v>0</v>
      </c>
    </row>
    <row r="340" spans="1:28" ht="13" x14ac:dyDescent="0.3">
      <c r="A340" s="13">
        <v>50</v>
      </c>
      <c r="B340" s="13">
        <v>0</v>
      </c>
      <c r="C340" s="13">
        <v>0</v>
      </c>
      <c r="D340" s="13">
        <v>1</v>
      </c>
      <c r="E340" s="13">
        <v>229</v>
      </c>
      <c r="F340" s="13">
        <f>ROUND(Source!AZ329,O340)</f>
        <v>0</v>
      </c>
      <c r="G340" s="13" t="s">
        <v>110</v>
      </c>
      <c r="H340" s="13" t="s">
        <v>111</v>
      </c>
      <c r="I340" s="13"/>
      <c r="J340" s="13"/>
      <c r="K340" s="13">
        <v>229</v>
      </c>
      <c r="L340" s="13">
        <v>10</v>
      </c>
      <c r="M340" s="13">
        <v>3</v>
      </c>
      <c r="N340" s="13" t="s">
        <v>3</v>
      </c>
      <c r="O340" s="13">
        <v>2</v>
      </c>
      <c r="P340" s="13">
        <f>ROUND(Source!ER329,O340)</f>
        <v>0</v>
      </c>
      <c r="Q340" s="13"/>
      <c r="R340" s="13"/>
      <c r="S340" s="13"/>
      <c r="T340" s="13"/>
      <c r="U340" s="13"/>
      <c r="V340" s="13"/>
      <c r="W340" s="13">
        <v>0</v>
      </c>
      <c r="X340" s="13">
        <v>1</v>
      </c>
      <c r="Y340" s="13">
        <v>0</v>
      </c>
      <c r="Z340" s="13">
        <v>0</v>
      </c>
      <c r="AA340" s="13">
        <v>1</v>
      </c>
      <c r="AB340" s="13">
        <v>0</v>
      </c>
    </row>
    <row r="341" spans="1:28" ht="13" x14ac:dyDescent="0.3">
      <c r="A341" s="13">
        <v>50</v>
      </c>
      <c r="B341" s="13">
        <v>0</v>
      </c>
      <c r="C341" s="13">
        <v>0</v>
      </c>
      <c r="D341" s="13">
        <v>1</v>
      </c>
      <c r="E341" s="13">
        <v>203</v>
      </c>
      <c r="F341" s="13">
        <f>ROUND(Source!Q329,O341)</f>
        <v>63.02</v>
      </c>
      <c r="G341" s="13" t="s">
        <v>112</v>
      </c>
      <c r="H341" s="13" t="s">
        <v>113</v>
      </c>
      <c r="I341" s="13"/>
      <c r="J341" s="13"/>
      <c r="K341" s="13">
        <v>203</v>
      </c>
      <c r="L341" s="13">
        <v>11</v>
      </c>
      <c r="M341" s="13">
        <v>3</v>
      </c>
      <c r="N341" s="13" t="s">
        <v>3</v>
      </c>
      <c r="O341" s="13">
        <v>2</v>
      </c>
      <c r="P341" s="13">
        <f>ROUND(Source!DI329,O341)</f>
        <v>866.53</v>
      </c>
      <c r="Q341" s="13"/>
      <c r="R341" s="13"/>
      <c r="S341" s="13"/>
      <c r="T341" s="13"/>
      <c r="U341" s="13"/>
      <c r="V341" s="13"/>
      <c r="W341" s="13">
        <v>63.02</v>
      </c>
      <c r="X341" s="13">
        <v>1</v>
      </c>
      <c r="Y341" s="13">
        <v>63.02</v>
      </c>
      <c r="Z341" s="13">
        <v>866.53</v>
      </c>
      <c r="AA341" s="13">
        <v>1</v>
      </c>
      <c r="AB341" s="13">
        <v>866.53</v>
      </c>
    </row>
    <row r="342" spans="1:28" ht="13" x14ac:dyDescent="0.3">
      <c r="A342" s="13">
        <v>50</v>
      </c>
      <c r="B342" s="13">
        <v>0</v>
      </c>
      <c r="C342" s="13">
        <v>0</v>
      </c>
      <c r="D342" s="13">
        <v>1</v>
      </c>
      <c r="E342" s="13">
        <v>231</v>
      </c>
      <c r="F342" s="13">
        <f>ROUND(Source!BB329,O342)</f>
        <v>0</v>
      </c>
      <c r="G342" s="13" t="s">
        <v>114</v>
      </c>
      <c r="H342" s="13" t="s">
        <v>115</v>
      </c>
      <c r="I342" s="13"/>
      <c r="J342" s="13"/>
      <c r="K342" s="13">
        <v>231</v>
      </c>
      <c r="L342" s="13">
        <v>12</v>
      </c>
      <c r="M342" s="13">
        <v>3</v>
      </c>
      <c r="N342" s="13" t="s">
        <v>3</v>
      </c>
      <c r="O342" s="13">
        <v>2</v>
      </c>
      <c r="P342" s="13">
        <f>ROUND(Source!ET329,O342)</f>
        <v>0</v>
      </c>
      <c r="Q342" s="13"/>
      <c r="R342" s="13"/>
      <c r="S342" s="13"/>
      <c r="T342" s="13"/>
      <c r="U342" s="13"/>
      <c r="V342" s="13"/>
      <c r="W342" s="13">
        <v>0</v>
      </c>
      <c r="X342" s="13">
        <v>1</v>
      </c>
      <c r="Y342" s="13">
        <v>0</v>
      </c>
      <c r="Z342" s="13">
        <v>0</v>
      </c>
      <c r="AA342" s="13">
        <v>1</v>
      </c>
      <c r="AB342" s="13">
        <v>0</v>
      </c>
    </row>
    <row r="343" spans="1:28" ht="13" x14ac:dyDescent="0.3">
      <c r="A343" s="13">
        <v>50</v>
      </c>
      <c r="B343" s="13">
        <v>0</v>
      </c>
      <c r="C343" s="13">
        <v>0</v>
      </c>
      <c r="D343" s="13">
        <v>1</v>
      </c>
      <c r="E343" s="13">
        <v>204</v>
      </c>
      <c r="F343" s="13">
        <f>ROUND(Source!R329,O343)</f>
        <v>3.87</v>
      </c>
      <c r="G343" s="13" t="s">
        <v>116</v>
      </c>
      <c r="H343" s="13" t="s">
        <v>117</v>
      </c>
      <c r="I343" s="13"/>
      <c r="J343" s="13"/>
      <c r="K343" s="13">
        <v>204</v>
      </c>
      <c r="L343" s="13">
        <v>13</v>
      </c>
      <c r="M343" s="13">
        <v>3</v>
      </c>
      <c r="N343" s="13" t="s">
        <v>3</v>
      </c>
      <c r="O343" s="13">
        <v>2</v>
      </c>
      <c r="P343" s="13">
        <f>ROUND(Source!DJ329,O343)</f>
        <v>218.07</v>
      </c>
      <c r="Q343" s="13"/>
      <c r="R343" s="13"/>
      <c r="S343" s="13"/>
      <c r="T343" s="13"/>
      <c r="U343" s="13"/>
      <c r="V343" s="13"/>
      <c r="W343" s="13">
        <v>3.87</v>
      </c>
      <c r="X343" s="13">
        <v>1</v>
      </c>
      <c r="Y343" s="13">
        <v>3.87</v>
      </c>
      <c r="Z343" s="13">
        <v>218.07</v>
      </c>
      <c r="AA343" s="13">
        <v>1</v>
      </c>
      <c r="AB343" s="13">
        <v>218.07</v>
      </c>
    </row>
    <row r="344" spans="1:28" ht="13" x14ac:dyDescent="0.3">
      <c r="A344" s="13">
        <v>50</v>
      </c>
      <c r="B344" s="13">
        <v>0</v>
      </c>
      <c r="C344" s="13">
        <v>0</v>
      </c>
      <c r="D344" s="13">
        <v>1</v>
      </c>
      <c r="E344" s="13">
        <v>205</v>
      </c>
      <c r="F344" s="13">
        <f>ROUND(Source!S329,O344)</f>
        <v>61.09</v>
      </c>
      <c r="G344" s="13" t="s">
        <v>118</v>
      </c>
      <c r="H344" s="13" t="s">
        <v>119</v>
      </c>
      <c r="I344" s="13"/>
      <c r="J344" s="13"/>
      <c r="K344" s="13">
        <v>205</v>
      </c>
      <c r="L344" s="13">
        <v>14</v>
      </c>
      <c r="M344" s="13">
        <v>3</v>
      </c>
      <c r="N344" s="13" t="s">
        <v>3</v>
      </c>
      <c r="O344" s="13">
        <v>2</v>
      </c>
      <c r="P344" s="13">
        <f>ROUND(Source!DK329,O344)</f>
        <v>3442.42</v>
      </c>
      <c r="Q344" s="13"/>
      <c r="R344" s="13"/>
      <c r="S344" s="13"/>
      <c r="T344" s="13"/>
      <c r="U344" s="13"/>
      <c r="V344" s="13"/>
      <c r="W344" s="13">
        <v>61.09</v>
      </c>
      <c r="X344" s="13">
        <v>1</v>
      </c>
      <c r="Y344" s="13">
        <v>61.09</v>
      </c>
      <c r="Z344" s="13">
        <v>3442.42</v>
      </c>
      <c r="AA344" s="13">
        <v>1</v>
      </c>
      <c r="AB344" s="13">
        <v>3442.42</v>
      </c>
    </row>
    <row r="345" spans="1:28" ht="13" x14ac:dyDescent="0.3">
      <c r="A345" s="13">
        <v>50</v>
      </c>
      <c r="B345" s="13">
        <v>0</v>
      </c>
      <c r="C345" s="13">
        <v>0</v>
      </c>
      <c r="D345" s="13">
        <v>1</v>
      </c>
      <c r="E345" s="13">
        <v>232</v>
      </c>
      <c r="F345" s="13">
        <f>ROUND(Source!BC329,O345)</f>
        <v>0</v>
      </c>
      <c r="G345" s="13" t="s">
        <v>120</v>
      </c>
      <c r="H345" s="13" t="s">
        <v>121</v>
      </c>
      <c r="I345" s="13"/>
      <c r="J345" s="13"/>
      <c r="K345" s="13">
        <v>232</v>
      </c>
      <c r="L345" s="13">
        <v>15</v>
      </c>
      <c r="M345" s="13">
        <v>3</v>
      </c>
      <c r="N345" s="13" t="s">
        <v>3</v>
      </c>
      <c r="O345" s="13">
        <v>2</v>
      </c>
      <c r="P345" s="13">
        <f>ROUND(Source!EU329,O345)</f>
        <v>0</v>
      </c>
      <c r="Q345" s="13"/>
      <c r="R345" s="13"/>
      <c r="S345" s="13"/>
      <c r="T345" s="13"/>
      <c r="U345" s="13"/>
      <c r="V345" s="13"/>
      <c r="W345" s="13">
        <v>0</v>
      </c>
      <c r="X345" s="13">
        <v>1</v>
      </c>
      <c r="Y345" s="13">
        <v>0</v>
      </c>
      <c r="Z345" s="13">
        <v>0</v>
      </c>
      <c r="AA345" s="13">
        <v>1</v>
      </c>
      <c r="AB345" s="13">
        <v>0</v>
      </c>
    </row>
    <row r="346" spans="1:28" ht="13" x14ac:dyDescent="0.3">
      <c r="A346" s="13">
        <v>50</v>
      </c>
      <c r="B346" s="13">
        <v>0</v>
      </c>
      <c r="C346" s="13">
        <v>0</v>
      </c>
      <c r="D346" s="13">
        <v>1</v>
      </c>
      <c r="E346" s="13">
        <v>214</v>
      </c>
      <c r="F346" s="13">
        <f>ROUND(Source!AS329,O346)</f>
        <v>787.63</v>
      </c>
      <c r="G346" s="13" t="s">
        <v>122</v>
      </c>
      <c r="H346" s="13" t="s">
        <v>123</v>
      </c>
      <c r="I346" s="13"/>
      <c r="J346" s="13"/>
      <c r="K346" s="13">
        <v>214</v>
      </c>
      <c r="L346" s="13">
        <v>16</v>
      </c>
      <c r="M346" s="13">
        <v>3</v>
      </c>
      <c r="N346" s="13" t="s">
        <v>3</v>
      </c>
      <c r="O346" s="13">
        <v>2</v>
      </c>
      <c r="P346" s="13">
        <f>ROUND(Source!EK329,O346)</f>
        <v>7750.27</v>
      </c>
      <c r="Q346" s="13"/>
      <c r="R346" s="13"/>
      <c r="S346" s="13"/>
      <c r="T346" s="13"/>
      <c r="U346" s="13"/>
      <c r="V346" s="13"/>
      <c r="W346" s="13">
        <v>787.63</v>
      </c>
      <c r="X346" s="13">
        <v>1</v>
      </c>
      <c r="Y346" s="13">
        <v>787.63</v>
      </c>
      <c r="Z346" s="13">
        <v>7750.27</v>
      </c>
      <c r="AA346" s="13">
        <v>1</v>
      </c>
      <c r="AB346" s="13">
        <v>7750.27</v>
      </c>
    </row>
    <row r="347" spans="1:28" ht="13" x14ac:dyDescent="0.3">
      <c r="A347" s="13">
        <v>50</v>
      </c>
      <c r="B347" s="13">
        <v>0</v>
      </c>
      <c r="C347" s="13">
        <v>0</v>
      </c>
      <c r="D347" s="13">
        <v>1</v>
      </c>
      <c r="E347" s="13">
        <v>215</v>
      </c>
      <c r="F347" s="13">
        <f>ROUND(Source!AT329,O347)</f>
        <v>5432.6</v>
      </c>
      <c r="G347" s="13" t="s">
        <v>124</v>
      </c>
      <c r="H347" s="13" t="s">
        <v>125</v>
      </c>
      <c r="I347" s="13"/>
      <c r="J347" s="13"/>
      <c r="K347" s="13">
        <v>215</v>
      </c>
      <c r="L347" s="13">
        <v>17</v>
      </c>
      <c r="M347" s="13">
        <v>3</v>
      </c>
      <c r="N347" s="13" t="s">
        <v>3</v>
      </c>
      <c r="O347" s="13">
        <v>2</v>
      </c>
      <c r="P347" s="13">
        <f>ROUND(Source!EL329,O347)</f>
        <v>37787.74</v>
      </c>
      <c r="Q347" s="13"/>
      <c r="R347" s="13"/>
      <c r="S347" s="13"/>
      <c r="T347" s="13"/>
      <c r="U347" s="13"/>
      <c r="V347" s="13"/>
      <c r="W347" s="13">
        <v>5432.6</v>
      </c>
      <c r="X347" s="13">
        <v>1</v>
      </c>
      <c r="Y347" s="13">
        <v>5432.6</v>
      </c>
      <c r="Z347" s="13">
        <v>37787.74</v>
      </c>
      <c r="AA347" s="13">
        <v>1</v>
      </c>
      <c r="AB347" s="13">
        <v>37787.74</v>
      </c>
    </row>
    <row r="348" spans="1:28" ht="13" x14ac:dyDescent="0.3">
      <c r="A348" s="13">
        <v>50</v>
      </c>
      <c r="B348" s="13">
        <v>0</v>
      </c>
      <c r="C348" s="13">
        <v>0</v>
      </c>
      <c r="D348" s="13">
        <v>1</v>
      </c>
      <c r="E348" s="13">
        <v>217</v>
      </c>
      <c r="F348" s="13">
        <f>ROUND(Source!AU329,O348)</f>
        <v>0</v>
      </c>
      <c r="G348" s="13" t="s">
        <v>126</v>
      </c>
      <c r="H348" s="13" t="s">
        <v>127</v>
      </c>
      <c r="I348" s="13"/>
      <c r="J348" s="13"/>
      <c r="K348" s="13">
        <v>217</v>
      </c>
      <c r="L348" s="13">
        <v>18</v>
      </c>
      <c r="M348" s="13">
        <v>3</v>
      </c>
      <c r="N348" s="13" t="s">
        <v>3</v>
      </c>
      <c r="O348" s="13">
        <v>2</v>
      </c>
      <c r="P348" s="13">
        <f>ROUND(Source!EM329,O348)</f>
        <v>0</v>
      </c>
      <c r="Q348" s="13"/>
      <c r="R348" s="13"/>
      <c r="S348" s="13"/>
      <c r="T348" s="13"/>
      <c r="U348" s="13"/>
      <c r="V348" s="13"/>
      <c r="W348" s="13">
        <v>0</v>
      </c>
      <c r="X348" s="13">
        <v>1</v>
      </c>
      <c r="Y348" s="13">
        <v>0</v>
      </c>
      <c r="Z348" s="13">
        <v>0</v>
      </c>
      <c r="AA348" s="13">
        <v>1</v>
      </c>
      <c r="AB348" s="13">
        <v>0</v>
      </c>
    </row>
    <row r="349" spans="1:28" ht="13" x14ac:dyDescent="0.3">
      <c r="A349" s="13">
        <v>50</v>
      </c>
      <c r="B349" s="13">
        <v>0</v>
      </c>
      <c r="C349" s="13">
        <v>0</v>
      </c>
      <c r="D349" s="13">
        <v>1</v>
      </c>
      <c r="E349" s="13">
        <v>230</v>
      </c>
      <c r="F349" s="13">
        <f>ROUND(Source!BA329,O349)</f>
        <v>0</v>
      </c>
      <c r="G349" s="13" t="s">
        <v>128</v>
      </c>
      <c r="H349" s="13" t="s">
        <v>129</v>
      </c>
      <c r="I349" s="13"/>
      <c r="J349" s="13"/>
      <c r="K349" s="13">
        <v>230</v>
      </c>
      <c r="L349" s="13">
        <v>19</v>
      </c>
      <c r="M349" s="13">
        <v>3</v>
      </c>
      <c r="N349" s="13" t="s">
        <v>3</v>
      </c>
      <c r="O349" s="13">
        <v>2</v>
      </c>
      <c r="P349" s="13">
        <f>ROUND(Source!ES329,O349)</f>
        <v>0</v>
      </c>
      <c r="Q349" s="13"/>
      <c r="R349" s="13"/>
      <c r="S349" s="13"/>
      <c r="T349" s="13"/>
      <c r="U349" s="13"/>
      <c r="V349" s="13"/>
      <c r="W349" s="13">
        <v>0</v>
      </c>
      <c r="X349" s="13">
        <v>1</v>
      </c>
      <c r="Y349" s="13">
        <v>0</v>
      </c>
      <c r="Z349" s="13">
        <v>0</v>
      </c>
      <c r="AA349" s="13">
        <v>1</v>
      </c>
      <c r="AB349" s="13">
        <v>0</v>
      </c>
    </row>
    <row r="350" spans="1:28" ht="13" x14ac:dyDescent="0.3">
      <c r="A350" s="13">
        <v>50</v>
      </c>
      <c r="B350" s="13">
        <v>0</v>
      </c>
      <c r="C350" s="13">
        <v>0</v>
      </c>
      <c r="D350" s="13">
        <v>1</v>
      </c>
      <c r="E350" s="13">
        <v>206</v>
      </c>
      <c r="F350" s="13">
        <f>ROUND(Source!T329,O350)</f>
        <v>0</v>
      </c>
      <c r="G350" s="13" t="s">
        <v>130</v>
      </c>
      <c r="H350" s="13" t="s">
        <v>131</v>
      </c>
      <c r="I350" s="13"/>
      <c r="J350" s="13"/>
      <c r="K350" s="13">
        <v>206</v>
      </c>
      <c r="L350" s="13">
        <v>20</v>
      </c>
      <c r="M350" s="13">
        <v>3</v>
      </c>
      <c r="N350" s="13" t="s">
        <v>3</v>
      </c>
      <c r="O350" s="13">
        <v>2</v>
      </c>
      <c r="P350" s="13">
        <f>ROUND(Source!DL329,O350)</f>
        <v>0</v>
      </c>
      <c r="Q350" s="13"/>
      <c r="R350" s="13"/>
      <c r="S350" s="13"/>
      <c r="T350" s="13"/>
      <c r="U350" s="13"/>
      <c r="V350" s="13"/>
      <c r="W350" s="13">
        <v>0</v>
      </c>
      <c r="X350" s="13">
        <v>1</v>
      </c>
      <c r="Y350" s="13">
        <v>0</v>
      </c>
      <c r="Z350" s="13">
        <v>0</v>
      </c>
      <c r="AA350" s="13">
        <v>1</v>
      </c>
      <c r="AB350" s="13">
        <v>0</v>
      </c>
    </row>
    <row r="351" spans="1:28" ht="13" x14ac:dyDescent="0.3">
      <c r="A351" s="13">
        <v>50</v>
      </c>
      <c r="B351" s="13">
        <v>0</v>
      </c>
      <c r="C351" s="13">
        <v>0</v>
      </c>
      <c r="D351" s="13">
        <v>1</v>
      </c>
      <c r="E351" s="13">
        <v>207</v>
      </c>
      <c r="F351" s="13">
        <f>Source!U329</f>
        <v>4.8371399999999998</v>
      </c>
      <c r="G351" s="13" t="s">
        <v>132</v>
      </c>
      <c r="H351" s="13" t="s">
        <v>133</v>
      </c>
      <c r="I351" s="13"/>
      <c r="J351" s="13"/>
      <c r="K351" s="13">
        <v>207</v>
      </c>
      <c r="L351" s="13">
        <v>21</v>
      </c>
      <c r="M351" s="13">
        <v>3</v>
      </c>
      <c r="N351" s="13" t="s">
        <v>3</v>
      </c>
      <c r="O351" s="13">
        <v>-1</v>
      </c>
      <c r="P351" s="13">
        <f>Source!DM329</f>
        <v>4.8371399999999998</v>
      </c>
      <c r="Q351" s="13"/>
      <c r="R351" s="13"/>
      <c r="S351" s="13"/>
      <c r="T351" s="13"/>
      <c r="U351" s="13"/>
      <c r="V351" s="13"/>
      <c r="W351" s="13">
        <v>4.8371399999999998</v>
      </c>
      <c r="X351" s="13">
        <v>1</v>
      </c>
      <c r="Y351" s="13">
        <v>4.8371399999999998</v>
      </c>
      <c r="Z351" s="13">
        <v>4.8371399999999998</v>
      </c>
      <c r="AA351" s="13">
        <v>1</v>
      </c>
      <c r="AB351" s="13">
        <v>4.8371399999999998</v>
      </c>
    </row>
    <row r="352" spans="1:28" ht="13" x14ac:dyDescent="0.3">
      <c r="A352" s="13">
        <v>50</v>
      </c>
      <c r="B352" s="13">
        <v>0</v>
      </c>
      <c r="C352" s="13">
        <v>0</v>
      </c>
      <c r="D352" s="13">
        <v>1</v>
      </c>
      <c r="E352" s="13">
        <v>208</v>
      </c>
      <c r="F352" s="13">
        <f>Source!V329</f>
        <v>0</v>
      </c>
      <c r="G352" s="13" t="s">
        <v>134</v>
      </c>
      <c r="H352" s="13" t="s">
        <v>135</v>
      </c>
      <c r="I352" s="13"/>
      <c r="J352" s="13"/>
      <c r="K352" s="13">
        <v>208</v>
      </c>
      <c r="L352" s="13">
        <v>22</v>
      </c>
      <c r="M352" s="13">
        <v>3</v>
      </c>
      <c r="N352" s="13" t="s">
        <v>3</v>
      </c>
      <c r="O352" s="13">
        <v>-1</v>
      </c>
      <c r="P352" s="13">
        <f>Source!DN329</f>
        <v>0</v>
      </c>
      <c r="Q352" s="13"/>
      <c r="R352" s="13"/>
      <c r="S352" s="13"/>
      <c r="T352" s="13"/>
      <c r="U352" s="13"/>
      <c r="V352" s="13"/>
      <c r="W352" s="13">
        <v>0</v>
      </c>
      <c r="X352" s="13">
        <v>1</v>
      </c>
      <c r="Y352" s="13">
        <v>0</v>
      </c>
      <c r="Z352" s="13">
        <v>0</v>
      </c>
      <c r="AA352" s="13">
        <v>1</v>
      </c>
      <c r="AB352" s="13">
        <v>0</v>
      </c>
    </row>
    <row r="353" spans="1:206" ht="13" x14ac:dyDescent="0.3">
      <c r="A353" s="13">
        <v>50</v>
      </c>
      <c r="B353" s="13">
        <v>0</v>
      </c>
      <c r="C353" s="13">
        <v>0</v>
      </c>
      <c r="D353" s="13">
        <v>1</v>
      </c>
      <c r="E353" s="13">
        <v>209</v>
      </c>
      <c r="F353" s="13">
        <f>ROUND(Source!W329,O353)</f>
        <v>0</v>
      </c>
      <c r="G353" s="13" t="s">
        <v>136</v>
      </c>
      <c r="H353" s="13" t="s">
        <v>137</v>
      </c>
      <c r="I353" s="13"/>
      <c r="J353" s="13"/>
      <c r="K353" s="13">
        <v>209</v>
      </c>
      <c r="L353" s="13">
        <v>23</v>
      </c>
      <c r="M353" s="13">
        <v>3</v>
      </c>
      <c r="N353" s="13" t="s">
        <v>3</v>
      </c>
      <c r="O353" s="13">
        <v>2</v>
      </c>
      <c r="P353" s="13">
        <f>ROUND(Source!DO329,O353)</f>
        <v>0</v>
      </c>
      <c r="Q353" s="13"/>
      <c r="R353" s="13"/>
      <c r="S353" s="13"/>
      <c r="T353" s="13"/>
      <c r="U353" s="13"/>
      <c r="V353" s="13"/>
      <c r="W353" s="13">
        <v>0</v>
      </c>
      <c r="X353" s="13">
        <v>1</v>
      </c>
      <c r="Y353" s="13">
        <v>0</v>
      </c>
      <c r="Z353" s="13">
        <v>0</v>
      </c>
      <c r="AA353" s="13">
        <v>1</v>
      </c>
      <c r="AB353" s="13">
        <v>0</v>
      </c>
    </row>
    <row r="354" spans="1:206" ht="13" x14ac:dyDescent="0.3">
      <c r="A354" s="13">
        <v>50</v>
      </c>
      <c r="B354" s="13">
        <v>0</v>
      </c>
      <c r="C354" s="13">
        <v>0</v>
      </c>
      <c r="D354" s="13">
        <v>1</v>
      </c>
      <c r="E354" s="13">
        <v>233</v>
      </c>
      <c r="F354" s="13">
        <f>ROUND(Source!BD329,O354)</f>
        <v>0</v>
      </c>
      <c r="G354" s="13" t="s">
        <v>138</v>
      </c>
      <c r="H354" s="13" t="s">
        <v>139</v>
      </c>
      <c r="I354" s="13"/>
      <c r="J354" s="13"/>
      <c r="K354" s="13">
        <v>233</v>
      </c>
      <c r="L354" s="13">
        <v>24</v>
      </c>
      <c r="M354" s="13">
        <v>3</v>
      </c>
      <c r="N354" s="13" t="s">
        <v>3</v>
      </c>
      <c r="O354" s="13">
        <v>2</v>
      </c>
      <c r="P354" s="13">
        <f>ROUND(Source!EV329,O354)</f>
        <v>0</v>
      </c>
      <c r="Q354" s="13"/>
      <c r="R354" s="13"/>
      <c r="S354" s="13"/>
      <c r="T354" s="13"/>
      <c r="U354" s="13"/>
      <c r="V354" s="13"/>
      <c r="W354" s="13">
        <v>0</v>
      </c>
      <c r="X354" s="13">
        <v>1</v>
      </c>
      <c r="Y354" s="13">
        <v>0</v>
      </c>
      <c r="Z354" s="13">
        <v>0</v>
      </c>
      <c r="AA354" s="13">
        <v>1</v>
      </c>
      <c r="AB354" s="13">
        <v>0</v>
      </c>
    </row>
    <row r="355" spans="1:206" ht="13" x14ac:dyDescent="0.3">
      <c r="A355" s="13">
        <v>50</v>
      </c>
      <c r="B355" s="13">
        <v>0</v>
      </c>
      <c r="C355" s="13">
        <v>0</v>
      </c>
      <c r="D355" s="13">
        <v>1</v>
      </c>
      <c r="E355" s="13">
        <v>210</v>
      </c>
      <c r="F355" s="13">
        <f>ROUND(Source!X329,O355)</f>
        <v>58.46</v>
      </c>
      <c r="G355" s="13" t="s">
        <v>140</v>
      </c>
      <c r="H355" s="13" t="s">
        <v>141</v>
      </c>
      <c r="I355" s="13"/>
      <c r="J355" s="13"/>
      <c r="K355" s="13">
        <v>210</v>
      </c>
      <c r="L355" s="13">
        <v>25</v>
      </c>
      <c r="M355" s="13">
        <v>3</v>
      </c>
      <c r="N355" s="13" t="s">
        <v>3</v>
      </c>
      <c r="O355" s="13">
        <v>2</v>
      </c>
      <c r="P355" s="13">
        <f>ROUND(Source!DP329,O355)</f>
        <v>3294.44</v>
      </c>
      <c r="Q355" s="13"/>
      <c r="R355" s="13"/>
      <c r="S355" s="13"/>
      <c r="T355" s="13"/>
      <c r="U355" s="13"/>
      <c r="V355" s="13"/>
      <c r="W355" s="13">
        <v>58.46</v>
      </c>
      <c r="X355" s="13">
        <v>1</v>
      </c>
      <c r="Y355" s="13">
        <v>58.46</v>
      </c>
      <c r="Z355" s="13">
        <v>3294.44</v>
      </c>
      <c r="AA355" s="13">
        <v>1</v>
      </c>
      <c r="AB355" s="13">
        <v>3294.44</v>
      </c>
    </row>
    <row r="356" spans="1:206" ht="13" x14ac:dyDescent="0.3">
      <c r="A356" s="13">
        <v>50</v>
      </c>
      <c r="B356" s="13">
        <v>0</v>
      </c>
      <c r="C356" s="13">
        <v>0</v>
      </c>
      <c r="D356" s="13">
        <v>1</v>
      </c>
      <c r="E356" s="13">
        <v>211</v>
      </c>
      <c r="F356" s="13">
        <f>ROUND(Source!Y329,O356)</f>
        <v>29.88</v>
      </c>
      <c r="G356" s="13" t="s">
        <v>142</v>
      </c>
      <c r="H356" s="13" t="s">
        <v>143</v>
      </c>
      <c r="I356" s="13"/>
      <c r="J356" s="13"/>
      <c r="K356" s="13">
        <v>211</v>
      </c>
      <c r="L356" s="13">
        <v>26</v>
      </c>
      <c r="M356" s="13">
        <v>3</v>
      </c>
      <c r="N356" s="13" t="s">
        <v>3</v>
      </c>
      <c r="O356" s="13">
        <v>2</v>
      </c>
      <c r="P356" s="13">
        <f>ROUND(Source!DQ329,O356)</f>
        <v>1683.83</v>
      </c>
      <c r="Q356" s="13"/>
      <c r="R356" s="13"/>
      <c r="S356" s="13"/>
      <c r="T356" s="13"/>
      <c r="U356" s="13"/>
      <c r="V356" s="13"/>
      <c r="W356" s="13">
        <v>29.88</v>
      </c>
      <c r="X356" s="13">
        <v>1</v>
      </c>
      <c r="Y356" s="13">
        <v>29.88</v>
      </c>
      <c r="Z356" s="13">
        <v>1683.83</v>
      </c>
      <c r="AA356" s="13">
        <v>1</v>
      </c>
      <c r="AB356" s="13">
        <v>1683.83</v>
      </c>
    </row>
    <row r="357" spans="1:206" ht="13" x14ac:dyDescent="0.3">
      <c r="A357" s="13">
        <v>50</v>
      </c>
      <c r="B357" s="13">
        <v>0</v>
      </c>
      <c r="C357" s="13">
        <v>0</v>
      </c>
      <c r="D357" s="13">
        <v>1</v>
      </c>
      <c r="E357" s="13">
        <v>224</v>
      </c>
      <c r="F357" s="13">
        <f>ROUND(Source!AR329,O357)</f>
        <v>6220.23</v>
      </c>
      <c r="G357" s="13" t="s">
        <v>144</v>
      </c>
      <c r="H357" s="13" t="s">
        <v>145</v>
      </c>
      <c r="I357" s="13"/>
      <c r="J357" s="13"/>
      <c r="K357" s="13">
        <v>224</v>
      </c>
      <c r="L357" s="13">
        <v>27</v>
      </c>
      <c r="M357" s="13">
        <v>3</v>
      </c>
      <c r="N357" s="13" t="s">
        <v>3</v>
      </c>
      <c r="O357" s="13">
        <v>2</v>
      </c>
      <c r="P357" s="13">
        <f>ROUND(Source!EJ329,O357)</f>
        <v>45538.01</v>
      </c>
      <c r="Q357" s="13"/>
      <c r="R357" s="13"/>
      <c r="S357" s="13"/>
      <c r="T357" s="13"/>
      <c r="U357" s="13"/>
      <c r="V357" s="13"/>
      <c r="W357" s="13">
        <v>6220.23</v>
      </c>
      <c r="X357" s="13">
        <v>1</v>
      </c>
      <c r="Y357" s="13">
        <v>6220.23</v>
      </c>
      <c r="Z357" s="13">
        <v>45538.01</v>
      </c>
      <c r="AA357" s="13">
        <v>1</v>
      </c>
      <c r="AB357" s="13">
        <v>45538.01</v>
      </c>
    </row>
    <row r="359" spans="1:206" ht="13" x14ac:dyDescent="0.3">
      <c r="A359" s="11">
        <v>51</v>
      </c>
      <c r="B359" s="11">
        <f>B20</f>
        <v>1</v>
      </c>
      <c r="C359" s="11">
        <f>A20</f>
        <v>3</v>
      </c>
      <c r="D359" s="11">
        <f>ROW(A20)</f>
        <v>20</v>
      </c>
      <c r="E359" s="11"/>
      <c r="F359" s="11" t="str">
        <f>IF(F20&lt;&gt;"",F20,"")</f>
        <v>02-01-09</v>
      </c>
      <c r="G359" s="11" t="str">
        <f>IF(G20&lt;&gt;"",G20,"")</f>
        <v>Система оповещения и управления эвакуацией</v>
      </c>
      <c r="H359" s="11">
        <v>0</v>
      </c>
      <c r="I359" s="11"/>
      <c r="J359" s="11"/>
      <c r="K359" s="11"/>
      <c r="L359" s="11"/>
      <c r="M359" s="11"/>
      <c r="N359" s="11"/>
      <c r="O359" s="11">
        <f t="shared" ref="O359:T359" si="306">ROUND(O53+O152+O233+O280+O329+AB359,2)</f>
        <v>352494.46</v>
      </c>
      <c r="P359" s="11">
        <f t="shared" si="306"/>
        <v>309995.38</v>
      </c>
      <c r="Q359" s="11">
        <f t="shared" si="306"/>
        <v>857.25</v>
      </c>
      <c r="R359" s="11">
        <f t="shared" si="306"/>
        <v>37.51</v>
      </c>
      <c r="S359" s="11">
        <f t="shared" si="306"/>
        <v>41641.83</v>
      </c>
      <c r="T359" s="11">
        <f t="shared" si="306"/>
        <v>0</v>
      </c>
      <c r="U359" s="11">
        <f>U53+U152+U233+U280+U329+AH359</f>
        <v>3479.8297069199998</v>
      </c>
      <c r="V359" s="11">
        <f>V53+V152+V233+V280+V329+AI359</f>
        <v>0</v>
      </c>
      <c r="W359" s="11">
        <f>ROUND(W53+W152+W233+W280+W329+AJ359,2)</f>
        <v>0</v>
      </c>
      <c r="X359" s="11">
        <f>ROUND(X53+X152+X233+X280+X329+AK359,2)</f>
        <v>37982.15</v>
      </c>
      <c r="Y359" s="11">
        <f>ROUND(Y53+Y152+Y233+Y280+Y329+AL359,2)</f>
        <v>19757.62</v>
      </c>
      <c r="Z359" s="11"/>
      <c r="AA359" s="11"/>
      <c r="AB359" s="11"/>
      <c r="AC359" s="11"/>
      <c r="AD359" s="11"/>
      <c r="AE359" s="11"/>
      <c r="AF359" s="11"/>
      <c r="AG359" s="11"/>
      <c r="AH359" s="11"/>
      <c r="AI359" s="11"/>
      <c r="AJ359" s="11"/>
      <c r="AK359" s="11"/>
      <c r="AL359" s="11"/>
      <c r="AM359" s="11"/>
      <c r="AN359" s="11"/>
      <c r="AO359" s="11">
        <f t="shared" ref="AO359:BD359" si="307">ROUND(AO53+AO152+AO233+AO280+AO329+BX359,2)</f>
        <v>0</v>
      </c>
      <c r="AP359" s="11">
        <f t="shared" si="307"/>
        <v>176513.96</v>
      </c>
      <c r="AQ359" s="11">
        <f t="shared" si="307"/>
        <v>0</v>
      </c>
      <c r="AR359" s="11">
        <f t="shared" si="307"/>
        <v>410234.23</v>
      </c>
      <c r="AS359" s="11">
        <f t="shared" si="307"/>
        <v>880.07</v>
      </c>
      <c r="AT359" s="11">
        <f t="shared" si="307"/>
        <v>232840.2</v>
      </c>
      <c r="AU359" s="11">
        <f t="shared" si="307"/>
        <v>0</v>
      </c>
      <c r="AV359" s="11">
        <f t="shared" si="307"/>
        <v>309995.38</v>
      </c>
      <c r="AW359" s="11">
        <f t="shared" si="307"/>
        <v>133481.42000000001</v>
      </c>
      <c r="AX359" s="11">
        <f t="shared" si="307"/>
        <v>0</v>
      </c>
      <c r="AY359" s="11">
        <f t="shared" si="307"/>
        <v>133481.42000000001</v>
      </c>
      <c r="AZ359" s="11">
        <f t="shared" si="307"/>
        <v>176513.96</v>
      </c>
      <c r="BA359" s="11">
        <f t="shared" si="307"/>
        <v>0</v>
      </c>
      <c r="BB359" s="11">
        <f t="shared" si="307"/>
        <v>0</v>
      </c>
      <c r="BC359" s="11">
        <f t="shared" si="307"/>
        <v>0</v>
      </c>
      <c r="BD359" s="11">
        <f t="shared" si="307"/>
        <v>0</v>
      </c>
      <c r="BE359" s="11"/>
      <c r="BF359" s="11"/>
      <c r="BG359" s="11"/>
      <c r="BH359" s="11"/>
      <c r="BI359" s="11"/>
      <c r="BJ359" s="11"/>
      <c r="BK359" s="11"/>
      <c r="BL359" s="11"/>
      <c r="BM359" s="11"/>
      <c r="BN359" s="11"/>
      <c r="BO359" s="11"/>
      <c r="BP359" s="11"/>
      <c r="BQ359" s="11"/>
      <c r="BR359" s="11"/>
      <c r="BS359" s="11"/>
      <c r="BT359" s="11"/>
      <c r="BU359" s="11"/>
      <c r="BV359" s="11"/>
      <c r="BW359" s="11"/>
      <c r="BX359" s="11"/>
      <c r="BY359" s="11"/>
      <c r="BZ359" s="11"/>
      <c r="CA359" s="11"/>
      <c r="CB359" s="11"/>
      <c r="CC359" s="11"/>
      <c r="CD359" s="11"/>
      <c r="CE359" s="11"/>
      <c r="CF359" s="11"/>
      <c r="CG359" s="11"/>
      <c r="CH359" s="11"/>
      <c r="CI359" s="11"/>
      <c r="CJ359" s="11"/>
      <c r="CK359" s="11"/>
      <c r="CL359" s="11"/>
      <c r="CM359" s="11"/>
      <c r="CN359" s="11"/>
      <c r="CO359" s="11"/>
      <c r="CP359" s="11"/>
      <c r="CQ359" s="11"/>
      <c r="CR359" s="11"/>
      <c r="CS359" s="11"/>
      <c r="CT359" s="11"/>
      <c r="CU359" s="11"/>
      <c r="CV359" s="11"/>
      <c r="CW359" s="11"/>
      <c r="CX359" s="11"/>
      <c r="CY359" s="11"/>
      <c r="CZ359" s="11"/>
      <c r="DA359" s="11"/>
      <c r="DB359" s="11"/>
      <c r="DC359" s="11"/>
      <c r="DD359" s="11"/>
      <c r="DE359" s="11"/>
      <c r="DF359" s="11"/>
      <c r="DG359" s="12">
        <f t="shared" ref="DG359:DL359" si="308">ROUND(DG53+DG152+DG233+DG280+DG329+DT359,2)</f>
        <v>5371197.4199999999</v>
      </c>
      <c r="DH359" s="12">
        <f t="shared" si="308"/>
        <v>3014364.79</v>
      </c>
      <c r="DI359" s="12">
        <f t="shared" si="308"/>
        <v>10315.51</v>
      </c>
      <c r="DJ359" s="12">
        <f t="shared" si="308"/>
        <v>2113.6799999999998</v>
      </c>
      <c r="DK359" s="12">
        <f t="shared" si="308"/>
        <v>2346517.12</v>
      </c>
      <c r="DL359" s="12">
        <f t="shared" si="308"/>
        <v>0</v>
      </c>
      <c r="DM359" s="12">
        <f>DM53+DM152+DM233+DM280+DM329+DZ359</f>
        <v>3479.8297069199998</v>
      </c>
      <c r="DN359" s="12">
        <f>DN53+DN152+DN233+DN280+DN329+EA359</f>
        <v>0</v>
      </c>
      <c r="DO359" s="12">
        <f>ROUND(DO53+DO152+DO233+DO280+DO329+EB359,2)</f>
        <v>0</v>
      </c>
      <c r="DP359" s="12">
        <f>ROUND(DP53+DP152+DP233+DP280+DP329+EC359,2)</f>
        <v>2140293.7799999998</v>
      </c>
      <c r="DQ359" s="12">
        <f>ROUND(DQ53+DQ152+DQ233+DQ280+DQ329+ED359,2)</f>
        <v>1113342.6399999999</v>
      </c>
      <c r="DR359" s="12"/>
      <c r="DS359" s="12"/>
      <c r="DT359" s="12"/>
      <c r="DU359" s="12"/>
      <c r="DV359" s="12"/>
      <c r="DW359" s="12"/>
      <c r="DX359" s="12"/>
      <c r="DY359" s="12"/>
      <c r="DZ359" s="12"/>
      <c r="EA359" s="12"/>
      <c r="EB359" s="12"/>
      <c r="EC359" s="12"/>
      <c r="ED359" s="12"/>
      <c r="EE359" s="12"/>
      <c r="EF359" s="12"/>
      <c r="EG359" s="12">
        <f t="shared" ref="EG359:EV359" si="309">ROUND(EG53+EG152+EG233+EG280+EG329+FP359,2)</f>
        <v>0</v>
      </c>
      <c r="EH359" s="12">
        <f t="shared" si="309"/>
        <v>1317644.1499999999</v>
      </c>
      <c r="EI359" s="12">
        <f t="shared" si="309"/>
        <v>0</v>
      </c>
      <c r="EJ359" s="12">
        <f t="shared" si="309"/>
        <v>8624833.8399999999</v>
      </c>
      <c r="EK359" s="12">
        <f t="shared" si="309"/>
        <v>12919.6</v>
      </c>
      <c r="EL359" s="12">
        <f t="shared" si="309"/>
        <v>7294270.0899999999</v>
      </c>
      <c r="EM359" s="12">
        <f t="shared" si="309"/>
        <v>0</v>
      </c>
      <c r="EN359" s="12">
        <f t="shared" si="309"/>
        <v>3014364.79</v>
      </c>
      <c r="EO359" s="12">
        <f t="shared" si="309"/>
        <v>1696720.64</v>
      </c>
      <c r="EP359" s="12">
        <f t="shared" si="309"/>
        <v>0</v>
      </c>
      <c r="EQ359" s="12">
        <f t="shared" si="309"/>
        <v>1696720.64</v>
      </c>
      <c r="ER359" s="12">
        <f t="shared" si="309"/>
        <v>1317644.1499999999</v>
      </c>
      <c r="ES359" s="12">
        <f t="shared" si="309"/>
        <v>0</v>
      </c>
      <c r="ET359" s="12">
        <f t="shared" si="309"/>
        <v>0</v>
      </c>
      <c r="EU359" s="12">
        <f t="shared" si="309"/>
        <v>0</v>
      </c>
      <c r="EV359" s="12">
        <f t="shared" si="309"/>
        <v>0</v>
      </c>
      <c r="EW359" s="12"/>
      <c r="EX359" s="12"/>
      <c r="EY359" s="12"/>
      <c r="EZ359" s="12"/>
      <c r="FA359" s="12"/>
      <c r="FB359" s="12"/>
      <c r="FC359" s="12"/>
      <c r="FD359" s="12"/>
      <c r="FE359" s="12"/>
      <c r="FF359" s="12"/>
      <c r="FG359" s="12"/>
      <c r="FH359" s="12"/>
      <c r="FI359" s="12"/>
      <c r="FJ359" s="12"/>
      <c r="FK359" s="12"/>
      <c r="FL359" s="12"/>
      <c r="FM359" s="12"/>
      <c r="FN359" s="12"/>
      <c r="FO359" s="12"/>
      <c r="FP359" s="12"/>
      <c r="FQ359" s="12"/>
      <c r="FR359" s="12"/>
      <c r="FS359" s="12"/>
      <c r="FT359" s="12"/>
      <c r="FU359" s="12"/>
      <c r="FV359" s="12"/>
      <c r="FW359" s="12"/>
      <c r="FX359" s="12"/>
      <c r="FY359" s="12"/>
      <c r="FZ359" s="12"/>
      <c r="GA359" s="12"/>
      <c r="GB359" s="12"/>
      <c r="GC359" s="12"/>
      <c r="GD359" s="12"/>
      <c r="GE359" s="12"/>
      <c r="GF359" s="12"/>
      <c r="GG359" s="12"/>
      <c r="GH359" s="12"/>
      <c r="GI359" s="12"/>
      <c r="GJ359" s="12"/>
      <c r="GK359" s="12"/>
      <c r="GL359" s="12"/>
      <c r="GM359" s="12"/>
      <c r="GN359" s="12"/>
      <c r="GO359" s="12"/>
      <c r="GP359" s="12"/>
      <c r="GQ359" s="12"/>
      <c r="GR359" s="12"/>
      <c r="GS359" s="12"/>
      <c r="GT359" s="12"/>
      <c r="GU359" s="12"/>
      <c r="GV359" s="12"/>
      <c r="GW359" s="12"/>
      <c r="GX359" s="12">
        <v>0</v>
      </c>
    </row>
    <row r="361" spans="1:206" ht="13" x14ac:dyDescent="0.3">
      <c r="A361" s="13">
        <v>50</v>
      </c>
      <c r="B361" s="13">
        <v>0</v>
      </c>
      <c r="C361" s="13">
        <v>0</v>
      </c>
      <c r="D361" s="13">
        <v>1</v>
      </c>
      <c r="E361" s="13">
        <v>201</v>
      </c>
      <c r="F361" s="13">
        <f>ROUND(Source!O359,O361)</f>
        <v>352494.46</v>
      </c>
      <c r="G361" s="13" t="s">
        <v>92</v>
      </c>
      <c r="H361" s="13" t="s">
        <v>93</v>
      </c>
      <c r="I361" s="13"/>
      <c r="J361" s="13"/>
      <c r="K361" s="13">
        <v>201</v>
      </c>
      <c r="L361" s="13">
        <v>1</v>
      </c>
      <c r="M361" s="13">
        <v>3</v>
      </c>
      <c r="N361" s="13" t="s">
        <v>3</v>
      </c>
      <c r="O361" s="13">
        <v>2</v>
      </c>
      <c r="P361" s="13">
        <f>ROUND(Source!DG359,O361)</f>
        <v>5371197.4199999999</v>
      </c>
      <c r="Q361" s="13"/>
      <c r="R361" s="13"/>
      <c r="S361" s="13"/>
      <c r="T361" s="13"/>
      <c r="U361" s="13"/>
      <c r="V361" s="13"/>
      <c r="W361" s="13">
        <v>352494.46</v>
      </c>
      <c r="X361" s="13">
        <v>1</v>
      </c>
      <c r="Y361" s="13">
        <v>352494.46</v>
      </c>
      <c r="Z361" s="13">
        <v>5371197.4199999999</v>
      </c>
      <c r="AA361" s="13">
        <v>1</v>
      </c>
      <c r="AB361" s="13">
        <v>5371197.4199999999</v>
      </c>
    </row>
    <row r="362" spans="1:206" ht="13" x14ac:dyDescent="0.3">
      <c r="A362" s="13">
        <v>50</v>
      </c>
      <c r="B362" s="13">
        <v>0</v>
      </c>
      <c r="C362" s="13">
        <v>0</v>
      </c>
      <c r="D362" s="13">
        <v>1</v>
      </c>
      <c r="E362" s="13">
        <v>202</v>
      </c>
      <c r="F362" s="13">
        <f>ROUND(Source!P359,O362)</f>
        <v>309995.38</v>
      </c>
      <c r="G362" s="13" t="s">
        <v>94</v>
      </c>
      <c r="H362" s="13" t="s">
        <v>95</v>
      </c>
      <c r="I362" s="13"/>
      <c r="J362" s="13"/>
      <c r="K362" s="13">
        <v>202</v>
      </c>
      <c r="L362" s="13">
        <v>2</v>
      </c>
      <c r="M362" s="13">
        <v>3</v>
      </c>
      <c r="N362" s="13" t="s">
        <v>3</v>
      </c>
      <c r="O362" s="13">
        <v>2</v>
      </c>
      <c r="P362" s="13">
        <f>ROUND(Source!DH359,O362)</f>
        <v>3014364.79</v>
      </c>
      <c r="Q362" s="13"/>
      <c r="R362" s="13"/>
      <c r="S362" s="13"/>
      <c r="T362" s="13"/>
      <c r="U362" s="13"/>
      <c r="V362" s="13"/>
      <c r="W362" s="13">
        <v>309995.38</v>
      </c>
      <c r="X362" s="13">
        <v>1</v>
      </c>
      <c r="Y362" s="13">
        <v>309995.38</v>
      </c>
      <c r="Z362" s="13">
        <v>3014364.79</v>
      </c>
      <c r="AA362" s="13">
        <v>1</v>
      </c>
      <c r="AB362" s="13">
        <v>3014364.79</v>
      </c>
    </row>
    <row r="363" spans="1:206" ht="13" x14ac:dyDescent="0.3">
      <c r="A363" s="13">
        <v>50</v>
      </c>
      <c r="B363" s="13">
        <v>0</v>
      </c>
      <c r="C363" s="13">
        <v>0</v>
      </c>
      <c r="D363" s="13">
        <v>1</v>
      </c>
      <c r="E363" s="13">
        <v>222</v>
      </c>
      <c r="F363" s="13">
        <f>ROUND(Source!AO359,O363)</f>
        <v>0</v>
      </c>
      <c r="G363" s="13" t="s">
        <v>96</v>
      </c>
      <c r="H363" s="13" t="s">
        <v>97</v>
      </c>
      <c r="I363" s="13"/>
      <c r="J363" s="13"/>
      <c r="K363" s="13">
        <v>222</v>
      </c>
      <c r="L363" s="13">
        <v>3</v>
      </c>
      <c r="M363" s="13">
        <v>3</v>
      </c>
      <c r="N363" s="13" t="s">
        <v>3</v>
      </c>
      <c r="O363" s="13">
        <v>2</v>
      </c>
      <c r="P363" s="13">
        <f>ROUND(Source!EG359,O363)</f>
        <v>0</v>
      </c>
      <c r="Q363" s="13"/>
      <c r="R363" s="13"/>
      <c r="S363" s="13"/>
      <c r="T363" s="13"/>
      <c r="U363" s="13"/>
      <c r="V363" s="13"/>
      <c r="W363" s="13">
        <v>0</v>
      </c>
      <c r="X363" s="13">
        <v>1</v>
      </c>
      <c r="Y363" s="13">
        <v>0</v>
      </c>
      <c r="Z363" s="13">
        <v>0</v>
      </c>
      <c r="AA363" s="13">
        <v>1</v>
      </c>
      <c r="AB363" s="13">
        <v>0</v>
      </c>
    </row>
    <row r="364" spans="1:206" ht="13" x14ac:dyDescent="0.3">
      <c r="A364" s="13">
        <v>50</v>
      </c>
      <c r="B364" s="13">
        <v>0</v>
      </c>
      <c r="C364" s="13">
        <v>0</v>
      </c>
      <c r="D364" s="13">
        <v>1</v>
      </c>
      <c r="E364" s="13">
        <v>225</v>
      </c>
      <c r="F364" s="13">
        <f>ROUND(Source!AV359,O364)</f>
        <v>309995.38</v>
      </c>
      <c r="G364" s="13" t="s">
        <v>98</v>
      </c>
      <c r="H364" s="13" t="s">
        <v>99</v>
      </c>
      <c r="I364" s="13"/>
      <c r="J364" s="13"/>
      <c r="K364" s="13">
        <v>225</v>
      </c>
      <c r="L364" s="13">
        <v>4</v>
      </c>
      <c r="M364" s="13">
        <v>3</v>
      </c>
      <c r="N364" s="13" t="s">
        <v>3</v>
      </c>
      <c r="O364" s="13">
        <v>2</v>
      </c>
      <c r="P364" s="13">
        <f>ROUND(Source!EN359,O364)</f>
        <v>3014364.79</v>
      </c>
      <c r="Q364" s="13"/>
      <c r="R364" s="13"/>
      <c r="S364" s="13"/>
      <c r="T364" s="13"/>
      <c r="U364" s="13"/>
      <c r="V364" s="13"/>
      <c r="W364" s="13">
        <v>309995.38</v>
      </c>
      <c r="X364" s="13">
        <v>1</v>
      </c>
      <c r="Y364" s="13">
        <v>309995.38</v>
      </c>
      <c r="Z364" s="13">
        <v>3014364.79</v>
      </c>
      <c r="AA364" s="13">
        <v>1</v>
      </c>
      <c r="AB364" s="13">
        <v>3014364.79</v>
      </c>
    </row>
    <row r="365" spans="1:206" ht="13" x14ac:dyDescent="0.3">
      <c r="A365" s="13">
        <v>50</v>
      </c>
      <c r="B365" s="13">
        <v>0</v>
      </c>
      <c r="C365" s="13">
        <v>0</v>
      </c>
      <c r="D365" s="13">
        <v>1</v>
      </c>
      <c r="E365" s="13">
        <v>226</v>
      </c>
      <c r="F365" s="13">
        <f>ROUND(Source!AW359,O365)</f>
        <v>133481.42000000001</v>
      </c>
      <c r="G365" s="13" t="s">
        <v>100</v>
      </c>
      <c r="H365" s="13" t="s">
        <v>101</v>
      </c>
      <c r="I365" s="13"/>
      <c r="J365" s="13"/>
      <c r="K365" s="13">
        <v>226</v>
      </c>
      <c r="L365" s="13">
        <v>5</v>
      </c>
      <c r="M365" s="13">
        <v>3</v>
      </c>
      <c r="N365" s="13" t="s">
        <v>3</v>
      </c>
      <c r="O365" s="13">
        <v>2</v>
      </c>
      <c r="P365" s="13">
        <f>ROUND(Source!EO359,O365)</f>
        <v>1696720.64</v>
      </c>
      <c r="Q365" s="13"/>
      <c r="R365" s="13"/>
      <c r="S365" s="13"/>
      <c r="T365" s="13"/>
      <c r="U365" s="13"/>
      <c r="V365" s="13"/>
      <c r="W365" s="13">
        <v>133481.42000000001</v>
      </c>
      <c r="X365" s="13">
        <v>1</v>
      </c>
      <c r="Y365" s="13">
        <v>133481.42000000001</v>
      </c>
      <c r="Z365" s="13">
        <v>1696720.64</v>
      </c>
      <c r="AA365" s="13">
        <v>1</v>
      </c>
      <c r="AB365" s="13">
        <v>1696720.64</v>
      </c>
    </row>
    <row r="366" spans="1:206" ht="13" x14ac:dyDescent="0.3">
      <c r="A366" s="13">
        <v>50</v>
      </c>
      <c r="B366" s="13">
        <v>0</v>
      </c>
      <c r="C366" s="13">
        <v>0</v>
      </c>
      <c r="D366" s="13">
        <v>1</v>
      </c>
      <c r="E366" s="13">
        <v>227</v>
      </c>
      <c r="F366" s="13">
        <f>ROUND(Source!AX359,O366)</f>
        <v>0</v>
      </c>
      <c r="G366" s="13" t="s">
        <v>102</v>
      </c>
      <c r="H366" s="13" t="s">
        <v>103</v>
      </c>
      <c r="I366" s="13"/>
      <c r="J366" s="13"/>
      <c r="K366" s="13">
        <v>227</v>
      </c>
      <c r="L366" s="13">
        <v>6</v>
      </c>
      <c r="M366" s="13">
        <v>3</v>
      </c>
      <c r="N366" s="13" t="s">
        <v>3</v>
      </c>
      <c r="O366" s="13">
        <v>2</v>
      </c>
      <c r="P366" s="13">
        <f>ROUND(Source!EP359,O366)</f>
        <v>0</v>
      </c>
      <c r="Q366" s="13"/>
      <c r="R366" s="13"/>
      <c r="S366" s="13"/>
      <c r="T366" s="13"/>
      <c r="U366" s="13"/>
      <c r="V366" s="13"/>
      <c r="W366" s="13">
        <v>0</v>
      </c>
      <c r="X366" s="13">
        <v>1</v>
      </c>
      <c r="Y366" s="13">
        <v>0</v>
      </c>
      <c r="Z366" s="13">
        <v>0</v>
      </c>
      <c r="AA366" s="13">
        <v>1</v>
      </c>
      <c r="AB366" s="13">
        <v>0</v>
      </c>
    </row>
    <row r="367" spans="1:206" ht="13" x14ac:dyDescent="0.3">
      <c r="A367" s="13">
        <v>50</v>
      </c>
      <c r="B367" s="13">
        <v>0</v>
      </c>
      <c r="C367" s="13">
        <v>0</v>
      </c>
      <c r="D367" s="13">
        <v>1</v>
      </c>
      <c r="E367" s="13">
        <v>228</v>
      </c>
      <c r="F367" s="13">
        <f>ROUND(Source!AY359,O367)</f>
        <v>133481.42000000001</v>
      </c>
      <c r="G367" s="13" t="s">
        <v>104</v>
      </c>
      <c r="H367" s="13" t="s">
        <v>105</v>
      </c>
      <c r="I367" s="13"/>
      <c r="J367" s="13"/>
      <c r="K367" s="13">
        <v>228</v>
      </c>
      <c r="L367" s="13">
        <v>7</v>
      </c>
      <c r="M367" s="13">
        <v>3</v>
      </c>
      <c r="N367" s="13" t="s">
        <v>3</v>
      </c>
      <c r="O367" s="13">
        <v>2</v>
      </c>
      <c r="P367" s="13">
        <f>ROUND(Source!EQ359,O367)</f>
        <v>1696720.64</v>
      </c>
      <c r="Q367" s="13"/>
      <c r="R367" s="13"/>
      <c r="S367" s="13"/>
      <c r="T367" s="13"/>
      <c r="U367" s="13"/>
      <c r="V367" s="13"/>
      <c r="W367" s="13">
        <v>133481.42000000001</v>
      </c>
      <c r="X367" s="13">
        <v>1</v>
      </c>
      <c r="Y367" s="13">
        <v>133481.42000000001</v>
      </c>
      <c r="Z367" s="13">
        <v>1696720.64</v>
      </c>
      <c r="AA367" s="13">
        <v>1</v>
      </c>
      <c r="AB367" s="13">
        <v>1696720.64</v>
      </c>
    </row>
    <row r="368" spans="1:206" ht="13" x14ac:dyDescent="0.3">
      <c r="A368" s="13">
        <v>50</v>
      </c>
      <c r="B368" s="13">
        <v>0</v>
      </c>
      <c r="C368" s="13">
        <v>0</v>
      </c>
      <c r="D368" s="13">
        <v>1</v>
      </c>
      <c r="E368" s="13">
        <v>216</v>
      </c>
      <c r="F368" s="13">
        <f>ROUND(Source!AP359,O368)</f>
        <v>176513.96</v>
      </c>
      <c r="G368" s="13" t="s">
        <v>106</v>
      </c>
      <c r="H368" s="13" t="s">
        <v>107</v>
      </c>
      <c r="I368" s="13"/>
      <c r="J368" s="13"/>
      <c r="K368" s="13">
        <v>216</v>
      </c>
      <c r="L368" s="13">
        <v>8</v>
      </c>
      <c r="M368" s="13">
        <v>3</v>
      </c>
      <c r="N368" s="13" t="s">
        <v>3</v>
      </c>
      <c r="O368" s="13">
        <v>2</v>
      </c>
      <c r="P368" s="13">
        <f>ROUND(Source!EH359,O368)</f>
        <v>1317644.1499999999</v>
      </c>
      <c r="Q368" s="13"/>
      <c r="R368" s="13"/>
      <c r="S368" s="13"/>
      <c r="T368" s="13"/>
      <c r="U368" s="13"/>
      <c r="V368" s="13"/>
      <c r="W368" s="13">
        <v>176513.96</v>
      </c>
      <c r="X368" s="13">
        <v>1</v>
      </c>
      <c r="Y368" s="13">
        <v>176513.96</v>
      </c>
      <c r="Z368" s="13">
        <v>1317644.1499999999</v>
      </c>
      <c r="AA368" s="13">
        <v>1</v>
      </c>
      <c r="AB368" s="13">
        <v>1317644.1499999999</v>
      </c>
    </row>
    <row r="369" spans="1:28" ht="13" x14ac:dyDescent="0.3">
      <c r="A369" s="13">
        <v>50</v>
      </c>
      <c r="B369" s="13">
        <v>0</v>
      </c>
      <c r="C369" s="13">
        <v>0</v>
      </c>
      <c r="D369" s="13">
        <v>1</v>
      </c>
      <c r="E369" s="13">
        <v>223</v>
      </c>
      <c r="F369" s="13">
        <f>ROUND(Source!AQ359,O369)</f>
        <v>0</v>
      </c>
      <c r="G369" s="13" t="s">
        <v>108</v>
      </c>
      <c r="H369" s="13" t="s">
        <v>109</v>
      </c>
      <c r="I369" s="13"/>
      <c r="J369" s="13"/>
      <c r="K369" s="13">
        <v>223</v>
      </c>
      <c r="L369" s="13">
        <v>9</v>
      </c>
      <c r="M369" s="13">
        <v>3</v>
      </c>
      <c r="N369" s="13" t="s">
        <v>3</v>
      </c>
      <c r="O369" s="13">
        <v>2</v>
      </c>
      <c r="P369" s="13">
        <f>ROUND(Source!EI359,O369)</f>
        <v>0</v>
      </c>
      <c r="Q369" s="13"/>
      <c r="R369" s="13"/>
      <c r="S369" s="13"/>
      <c r="T369" s="13"/>
      <c r="U369" s="13"/>
      <c r="V369" s="13"/>
      <c r="W369" s="13">
        <v>0</v>
      </c>
      <c r="X369" s="13">
        <v>1</v>
      </c>
      <c r="Y369" s="13">
        <v>0</v>
      </c>
      <c r="Z369" s="13">
        <v>0</v>
      </c>
      <c r="AA369" s="13">
        <v>1</v>
      </c>
      <c r="AB369" s="13">
        <v>0</v>
      </c>
    </row>
    <row r="370" spans="1:28" ht="13" x14ac:dyDescent="0.3">
      <c r="A370" s="13">
        <v>50</v>
      </c>
      <c r="B370" s="13">
        <v>0</v>
      </c>
      <c r="C370" s="13">
        <v>0</v>
      </c>
      <c r="D370" s="13">
        <v>1</v>
      </c>
      <c r="E370" s="13">
        <v>229</v>
      </c>
      <c r="F370" s="13">
        <f>ROUND(Source!AZ359,O370)</f>
        <v>176513.96</v>
      </c>
      <c r="G370" s="13" t="s">
        <v>110</v>
      </c>
      <c r="H370" s="13" t="s">
        <v>111</v>
      </c>
      <c r="I370" s="13"/>
      <c r="J370" s="13"/>
      <c r="K370" s="13">
        <v>229</v>
      </c>
      <c r="L370" s="13">
        <v>10</v>
      </c>
      <c r="M370" s="13">
        <v>3</v>
      </c>
      <c r="N370" s="13" t="s">
        <v>3</v>
      </c>
      <c r="O370" s="13">
        <v>2</v>
      </c>
      <c r="P370" s="13">
        <f>ROUND(Source!ER359,O370)</f>
        <v>1317644.1499999999</v>
      </c>
      <c r="Q370" s="13"/>
      <c r="R370" s="13"/>
      <c r="S370" s="13"/>
      <c r="T370" s="13"/>
      <c r="U370" s="13"/>
      <c r="V370" s="13"/>
      <c r="W370" s="13">
        <v>176513.96</v>
      </c>
      <c r="X370" s="13">
        <v>1</v>
      </c>
      <c r="Y370" s="13">
        <v>176513.96</v>
      </c>
      <c r="Z370" s="13">
        <v>1317644.1499999999</v>
      </c>
      <c r="AA370" s="13">
        <v>1</v>
      </c>
      <c r="AB370" s="13">
        <v>1317644.1499999999</v>
      </c>
    </row>
    <row r="371" spans="1:28" ht="13" x14ac:dyDescent="0.3">
      <c r="A371" s="13">
        <v>50</v>
      </c>
      <c r="B371" s="13">
        <v>0</v>
      </c>
      <c r="C371" s="13">
        <v>0</v>
      </c>
      <c r="D371" s="13">
        <v>1</v>
      </c>
      <c r="E371" s="13">
        <v>203</v>
      </c>
      <c r="F371" s="13">
        <f>ROUND(Source!Q359,O371)</f>
        <v>857.25</v>
      </c>
      <c r="G371" s="13" t="s">
        <v>112</v>
      </c>
      <c r="H371" s="13" t="s">
        <v>113</v>
      </c>
      <c r="I371" s="13"/>
      <c r="J371" s="13"/>
      <c r="K371" s="13">
        <v>203</v>
      </c>
      <c r="L371" s="13">
        <v>11</v>
      </c>
      <c r="M371" s="13">
        <v>3</v>
      </c>
      <c r="N371" s="13" t="s">
        <v>3</v>
      </c>
      <c r="O371" s="13">
        <v>2</v>
      </c>
      <c r="P371" s="13">
        <f>ROUND(Source!DI359,O371)</f>
        <v>10315.51</v>
      </c>
      <c r="Q371" s="13"/>
      <c r="R371" s="13"/>
      <c r="S371" s="13"/>
      <c r="T371" s="13"/>
      <c r="U371" s="13"/>
      <c r="V371" s="13"/>
      <c r="W371" s="13">
        <v>857.25</v>
      </c>
      <c r="X371" s="13">
        <v>1</v>
      </c>
      <c r="Y371" s="13">
        <v>857.25</v>
      </c>
      <c r="Z371" s="13">
        <v>10315.51</v>
      </c>
      <c r="AA371" s="13">
        <v>1</v>
      </c>
      <c r="AB371" s="13">
        <v>10315.51</v>
      </c>
    </row>
    <row r="372" spans="1:28" ht="13" x14ac:dyDescent="0.3">
      <c r="A372" s="13">
        <v>50</v>
      </c>
      <c r="B372" s="13">
        <v>0</v>
      </c>
      <c r="C372" s="13">
        <v>0</v>
      </c>
      <c r="D372" s="13">
        <v>1</v>
      </c>
      <c r="E372" s="13">
        <v>231</v>
      </c>
      <c r="F372" s="13">
        <f>ROUND(Source!BB359,O372)</f>
        <v>0</v>
      </c>
      <c r="G372" s="13" t="s">
        <v>114</v>
      </c>
      <c r="H372" s="13" t="s">
        <v>115</v>
      </c>
      <c r="I372" s="13"/>
      <c r="J372" s="13"/>
      <c r="K372" s="13">
        <v>231</v>
      </c>
      <c r="L372" s="13">
        <v>12</v>
      </c>
      <c r="M372" s="13">
        <v>3</v>
      </c>
      <c r="N372" s="13" t="s">
        <v>3</v>
      </c>
      <c r="O372" s="13">
        <v>2</v>
      </c>
      <c r="P372" s="13">
        <f>ROUND(Source!ET359,O372)</f>
        <v>0</v>
      </c>
      <c r="Q372" s="13"/>
      <c r="R372" s="13"/>
      <c r="S372" s="13"/>
      <c r="T372" s="13"/>
      <c r="U372" s="13"/>
      <c r="V372" s="13"/>
      <c r="W372" s="13">
        <v>0</v>
      </c>
      <c r="X372" s="13">
        <v>1</v>
      </c>
      <c r="Y372" s="13">
        <v>0</v>
      </c>
      <c r="Z372" s="13">
        <v>0</v>
      </c>
      <c r="AA372" s="13">
        <v>1</v>
      </c>
      <c r="AB372" s="13">
        <v>0</v>
      </c>
    </row>
    <row r="373" spans="1:28" ht="13" x14ac:dyDescent="0.3">
      <c r="A373" s="13">
        <v>50</v>
      </c>
      <c r="B373" s="13">
        <v>0</v>
      </c>
      <c r="C373" s="13">
        <v>0</v>
      </c>
      <c r="D373" s="13">
        <v>1</v>
      </c>
      <c r="E373" s="13">
        <v>204</v>
      </c>
      <c r="F373" s="13">
        <f>ROUND(Source!R359,O373)</f>
        <v>37.51</v>
      </c>
      <c r="G373" s="13" t="s">
        <v>116</v>
      </c>
      <c r="H373" s="13" t="s">
        <v>117</v>
      </c>
      <c r="I373" s="13"/>
      <c r="J373" s="13"/>
      <c r="K373" s="13">
        <v>204</v>
      </c>
      <c r="L373" s="13">
        <v>13</v>
      </c>
      <c r="M373" s="13">
        <v>3</v>
      </c>
      <c r="N373" s="13" t="s">
        <v>3</v>
      </c>
      <c r="O373" s="13">
        <v>2</v>
      </c>
      <c r="P373" s="13">
        <f>ROUND(Source!DJ359,O373)</f>
        <v>2113.6799999999998</v>
      </c>
      <c r="Q373" s="13"/>
      <c r="R373" s="13"/>
      <c r="S373" s="13"/>
      <c r="T373" s="13"/>
      <c r="U373" s="13"/>
      <c r="V373" s="13"/>
      <c r="W373" s="13">
        <v>37.51</v>
      </c>
      <c r="X373" s="13">
        <v>1</v>
      </c>
      <c r="Y373" s="13">
        <v>37.51</v>
      </c>
      <c r="Z373" s="13">
        <v>2113.6799999999998</v>
      </c>
      <c r="AA373" s="13">
        <v>1</v>
      </c>
      <c r="AB373" s="13">
        <v>2113.6799999999998</v>
      </c>
    </row>
    <row r="374" spans="1:28" ht="13" x14ac:dyDescent="0.3">
      <c r="A374" s="13">
        <v>50</v>
      </c>
      <c r="B374" s="13">
        <v>0</v>
      </c>
      <c r="C374" s="13">
        <v>0</v>
      </c>
      <c r="D374" s="13">
        <v>1</v>
      </c>
      <c r="E374" s="13">
        <v>205</v>
      </c>
      <c r="F374" s="13">
        <f>ROUND(Source!S359,O374)</f>
        <v>41641.83</v>
      </c>
      <c r="G374" s="13" t="s">
        <v>118</v>
      </c>
      <c r="H374" s="13" t="s">
        <v>119</v>
      </c>
      <c r="I374" s="13"/>
      <c r="J374" s="13"/>
      <c r="K374" s="13">
        <v>205</v>
      </c>
      <c r="L374" s="13">
        <v>14</v>
      </c>
      <c r="M374" s="13">
        <v>3</v>
      </c>
      <c r="N374" s="13" t="s">
        <v>3</v>
      </c>
      <c r="O374" s="13">
        <v>2</v>
      </c>
      <c r="P374" s="13">
        <f>ROUND(Source!DK359,O374)</f>
        <v>2346517.12</v>
      </c>
      <c r="Q374" s="13"/>
      <c r="R374" s="13"/>
      <c r="S374" s="13"/>
      <c r="T374" s="13"/>
      <c r="U374" s="13"/>
      <c r="V374" s="13"/>
      <c r="W374" s="13">
        <v>41641.83</v>
      </c>
      <c r="X374" s="13">
        <v>1</v>
      </c>
      <c r="Y374" s="13">
        <v>41641.83</v>
      </c>
      <c r="Z374" s="13">
        <v>2346517.12</v>
      </c>
      <c r="AA374" s="13">
        <v>1</v>
      </c>
      <c r="AB374" s="13">
        <v>2346517.12</v>
      </c>
    </row>
    <row r="375" spans="1:28" ht="13" x14ac:dyDescent="0.3">
      <c r="A375" s="13">
        <v>50</v>
      </c>
      <c r="B375" s="13">
        <v>0</v>
      </c>
      <c r="C375" s="13">
        <v>0</v>
      </c>
      <c r="D375" s="13">
        <v>1</v>
      </c>
      <c r="E375" s="13">
        <v>232</v>
      </c>
      <c r="F375" s="13">
        <f>ROUND(Source!BC359,O375)</f>
        <v>0</v>
      </c>
      <c r="G375" s="13" t="s">
        <v>120</v>
      </c>
      <c r="H375" s="13" t="s">
        <v>121</v>
      </c>
      <c r="I375" s="13"/>
      <c r="J375" s="13"/>
      <c r="K375" s="13">
        <v>232</v>
      </c>
      <c r="L375" s="13">
        <v>15</v>
      </c>
      <c r="M375" s="13">
        <v>3</v>
      </c>
      <c r="N375" s="13" t="s">
        <v>3</v>
      </c>
      <c r="O375" s="13">
        <v>2</v>
      </c>
      <c r="P375" s="13">
        <f>ROUND(Source!EU359,O375)</f>
        <v>0</v>
      </c>
      <c r="Q375" s="13"/>
      <c r="R375" s="13"/>
      <c r="S375" s="13"/>
      <c r="T375" s="13"/>
      <c r="U375" s="13"/>
      <c r="V375" s="13"/>
      <c r="W375" s="13">
        <v>0</v>
      </c>
      <c r="X375" s="13">
        <v>1</v>
      </c>
      <c r="Y375" s="13">
        <v>0</v>
      </c>
      <c r="Z375" s="13">
        <v>0</v>
      </c>
      <c r="AA375" s="13">
        <v>1</v>
      </c>
      <c r="AB375" s="13">
        <v>0</v>
      </c>
    </row>
    <row r="376" spans="1:28" ht="13" x14ac:dyDescent="0.3">
      <c r="A376" s="13">
        <v>50</v>
      </c>
      <c r="B376" s="13">
        <v>0</v>
      </c>
      <c r="C376" s="13">
        <v>0</v>
      </c>
      <c r="D376" s="13">
        <v>1</v>
      </c>
      <c r="E376" s="13">
        <v>214</v>
      </c>
      <c r="F376" s="13">
        <f>ROUND(Source!AS359,O376)</f>
        <v>880.07</v>
      </c>
      <c r="G376" s="13" t="s">
        <v>122</v>
      </c>
      <c r="H376" s="13" t="s">
        <v>123</v>
      </c>
      <c r="I376" s="13"/>
      <c r="J376" s="13"/>
      <c r="K376" s="13">
        <v>214</v>
      </c>
      <c r="L376" s="13">
        <v>16</v>
      </c>
      <c r="M376" s="13">
        <v>3</v>
      </c>
      <c r="N376" s="13" t="s">
        <v>3</v>
      </c>
      <c r="O376" s="13">
        <v>2</v>
      </c>
      <c r="P376" s="13">
        <f>ROUND(Source!EK359,O376)</f>
        <v>12919.6</v>
      </c>
      <c r="Q376" s="13"/>
      <c r="R376" s="13"/>
      <c r="S376" s="13"/>
      <c r="T376" s="13"/>
      <c r="U376" s="13"/>
      <c r="V376" s="13"/>
      <c r="W376" s="13">
        <v>880.07</v>
      </c>
      <c r="X376" s="13">
        <v>1</v>
      </c>
      <c r="Y376" s="13">
        <v>880.07</v>
      </c>
      <c r="Z376" s="13">
        <v>12919.6</v>
      </c>
      <c r="AA376" s="13">
        <v>1</v>
      </c>
      <c r="AB376" s="13">
        <v>12919.6</v>
      </c>
    </row>
    <row r="377" spans="1:28" ht="13" x14ac:dyDescent="0.3">
      <c r="A377" s="13">
        <v>50</v>
      </c>
      <c r="B377" s="13">
        <v>0</v>
      </c>
      <c r="C377" s="13">
        <v>0</v>
      </c>
      <c r="D377" s="13">
        <v>1</v>
      </c>
      <c r="E377" s="13">
        <v>215</v>
      </c>
      <c r="F377" s="13">
        <f>ROUND(Source!AT359,O377)</f>
        <v>232840.2</v>
      </c>
      <c r="G377" s="13" t="s">
        <v>124</v>
      </c>
      <c r="H377" s="13" t="s">
        <v>125</v>
      </c>
      <c r="I377" s="13"/>
      <c r="J377" s="13"/>
      <c r="K377" s="13">
        <v>215</v>
      </c>
      <c r="L377" s="13">
        <v>17</v>
      </c>
      <c r="M377" s="13">
        <v>3</v>
      </c>
      <c r="N377" s="13" t="s">
        <v>3</v>
      </c>
      <c r="O377" s="13">
        <v>2</v>
      </c>
      <c r="P377" s="13">
        <f>ROUND(Source!EL359,O377)</f>
        <v>7294270.0899999999</v>
      </c>
      <c r="Q377" s="13"/>
      <c r="R377" s="13"/>
      <c r="S377" s="13"/>
      <c r="T377" s="13"/>
      <c r="U377" s="13"/>
      <c r="V377" s="13"/>
      <c r="W377" s="13">
        <v>232840.2</v>
      </c>
      <c r="X377" s="13">
        <v>1</v>
      </c>
      <c r="Y377" s="13">
        <v>232840.2</v>
      </c>
      <c r="Z377" s="13">
        <v>7294270.0899999999</v>
      </c>
      <c r="AA377" s="13">
        <v>1</v>
      </c>
      <c r="AB377" s="13">
        <v>7294270.0899999999</v>
      </c>
    </row>
    <row r="378" spans="1:28" ht="13" x14ac:dyDescent="0.3">
      <c r="A378" s="13">
        <v>50</v>
      </c>
      <c r="B378" s="13">
        <v>0</v>
      </c>
      <c r="C378" s="13">
        <v>0</v>
      </c>
      <c r="D378" s="13">
        <v>1</v>
      </c>
      <c r="E378" s="13">
        <v>217</v>
      </c>
      <c r="F378" s="13">
        <f>ROUND(Source!AU359,O378)</f>
        <v>0</v>
      </c>
      <c r="G378" s="13" t="s">
        <v>126</v>
      </c>
      <c r="H378" s="13" t="s">
        <v>127</v>
      </c>
      <c r="I378" s="13"/>
      <c r="J378" s="13"/>
      <c r="K378" s="13">
        <v>217</v>
      </c>
      <c r="L378" s="13">
        <v>18</v>
      </c>
      <c r="M378" s="13">
        <v>3</v>
      </c>
      <c r="N378" s="13" t="s">
        <v>3</v>
      </c>
      <c r="O378" s="13">
        <v>2</v>
      </c>
      <c r="P378" s="13">
        <f>ROUND(Source!EM359,O378)</f>
        <v>0</v>
      </c>
      <c r="Q378" s="13"/>
      <c r="R378" s="13"/>
      <c r="S378" s="13"/>
      <c r="T378" s="13"/>
      <c r="U378" s="13"/>
      <c r="V378" s="13"/>
      <c r="W378" s="13">
        <v>0</v>
      </c>
      <c r="X378" s="13">
        <v>1</v>
      </c>
      <c r="Y378" s="13">
        <v>0</v>
      </c>
      <c r="Z378" s="13">
        <v>0</v>
      </c>
      <c r="AA378" s="13">
        <v>1</v>
      </c>
      <c r="AB378" s="13">
        <v>0</v>
      </c>
    </row>
    <row r="379" spans="1:28" ht="13" x14ac:dyDescent="0.3">
      <c r="A379" s="13">
        <v>50</v>
      </c>
      <c r="B379" s="13">
        <v>0</v>
      </c>
      <c r="C379" s="13">
        <v>0</v>
      </c>
      <c r="D379" s="13">
        <v>1</v>
      </c>
      <c r="E379" s="13">
        <v>230</v>
      </c>
      <c r="F379" s="13">
        <f>ROUND(Source!BA359,O379)</f>
        <v>0</v>
      </c>
      <c r="G379" s="13" t="s">
        <v>128</v>
      </c>
      <c r="H379" s="13" t="s">
        <v>129</v>
      </c>
      <c r="I379" s="13"/>
      <c r="J379" s="13"/>
      <c r="K379" s="13">
        <v>230</v>
      </c>
      <c r="L379" s="13">
        <v>19</v>
      </c>
      <c r="M379" s="13">
        <v>3</v>
      </c>
      <c r="N379" s="13" t="s">
        <v>3</v>
      </c>
      <c r="O379" s="13">
        <v>2</v>
      </c>
      <c r="P379" s="13">
        <f>ROUND(Source!ES359,O379)</f>
        <v>0</v>
      </c>
      <c r="Q379" s="13"/>
      <c r="R379" s="13"/>
      <c r="S379" s="13"/>
      <c r="T379" s="13"/>
      <c r="U379" s="13"/>
      <c r="V379" s="13"/>
      <c r="W379" s="13">
        <v>0</v>
      </c>
      <c r="X379" s="13">
        <v>1</v>
      </c>
      <c r="Y379" s="13">
        <v>0</v>
      </c>
      <c r="Z379" s="13">
        <v>0</v>
      </c>
      <c r="AA379" s="13">
        <v>1</v>
      </c>
      <c r="AB379" s="13">
        <v>0</v>
      </c>
    </row>
    <row r="380" spans="1:28" ht="13" x14ac:dyDescent="0.3">
      <c r="A380" s="13">
        <v>50</v>
      </c>
      <c r="B380" s="13">
        <v>0</v>
      </c>
      <c r="C380" s="13">
        <v>0</v>
      </c>
      <c r="D380" s="13">
        <v>1</v>
      </c>
      <c r="E380" s="13">
        <v>206</v>
      </c>
      <c r="F380" s="13">
        <f>ROUND(Source!T359,O380)</f>
        <v>0</v>
      </c>
      <c r="G380" s="13" t="s">
        <v>130</v>
      </c>
      <c r="H380" s="13" t="s">
        <v>131</v>
      </c>
      <c r="I380" s="13"/>
      <c r="J380" s="13"/>
      <c r="K380" s="13">
        <v>206</v>
      </c>
      <c r="L380" s="13">
        <v>20</v>
      </c>
      <c r="M380" s="13">
        <v>3</v>
      </c>
      <c r="N380" s="13" t="s">
        <v>3</v>
      </c>
      <c r="O380" s="13">
        <v>2</v>
      </c>
      <c r="P380" s="13">
        <f>ROUND(Source!DL359,O380)</f>
        <v>0</v>
      </c>
      <c r="Q380" s="13"/>
      <c r="R380" s="13"/>
      <c r="S380" s="13"/>
      <c r="T380" s="13"/>
      <c r="U380" s="13"/>
      <c r="V380" s="13"/>
      <c r="W380" s="13">
        <v>0</v>
      </c>
      <c r="X380" s="13">
        <v>1</v>
      </c>
      <c r="Y380" s="13">
        <v>0</v>
      </c>
      <c r="Z380" s="13">
        <v>0</v>
      </c>
      <c r="AA380" s="13">
        <v>1</v>
      </c>
      <c r="AB380" s="13">
        <v>0</v>
      </c>
    </row>
    <row r="381" spans="1:28" ht="13" x14ac:dyDescent="0.3">
      <c r="A381" s="13">
        <v>50</v>
      </c>
      <c r="B381" s="13">
        <v>0</v>
      </c>
      <c r="C381" s="13">
        <v>0</v>
      </c>
      <c r="D381" s="13">
        <v>1</v>
      </c>
      <c r="E381" s="13">
        <v>207</v>
      </c>
      <c r="F381" s="13">
        <f>Source!U359</f>
        <v>3479.8297069199998</v>
      </c>
      <c r="G381" s="13" t="s">
        <v>132</v>
      </c>
      <c r="H381" s="13" t="s">
        <v>133</v>
      </c>
      <c r="I381" s="13"/>
      <c r="J381" s="13"/>
      <c r="K381" s="13">
        <v>207</v>
      </c>
      <c r="L381" s="13">
        <v>21</v>
      </c>
      <c r="M381" s="13">
        <v>3</v>
      </c>
      <c r="N381" s="13" t="s">
        <v>3</v>
      </c>
      <c r="O381" s="13">
        <v>-1</v>
      </c>
      <c r="P381" s="13">
        <f>Source!DM359</f>
        <v>3479.8297069199998</v>
      </c>
      <c r="Q381" s="13"/>
      <c r="R381" s="13"/>
      <c r="S381" s="13"/>
      <c r="T381" s="13"/>
      <c r="U381" s="13"/>
      <c r="V381" s="13"/>
      <c r="W381" s="13">
        <v>3479.8297069200003</v>
      </c>
      <c r="X381" s="13">
        <v>1</v>
      </c>
      <c r="Y381" s="13">
        <v>3479.8297069200003</v>
      </c>
      <c r="Z381" s="13">
        <v>3479.8297069200003</v>
      </c>
      <c r="AA381" s="13">
        <v>1</v>
      </c>
      <c r="AB381" s="13">
        <v>3479.8297069200003</v>
      </c>
    </row>
    <row r="382" spans="1:28" ht="13" x14ac:dyDescent="0.3">
      <c r="A382" s="13">
        <v>50</v>
      </c>
      <c r="B382" s="13">
        <v>0</v>
      </c>
      <c r="C382" s="13">
        <v>0</v>
      </c>
      <c r="D382" s="13">
        <v>1</v>
      </c>
      <c r="E382" s="13">
        <v>208</v>
      </c>
      <c r="F382" s="13">
        <f>Source!V359</f>
        <v>0</v>
      </c>
      <c r="G382" s="13" t="s">
        <v>134</v>
      </c>
      <c r="H382" s="13" t="s">
        <v>135</v>
      </c>
      <c r="I382" s="13"/>
      <c r="J382" s="13"/>
      <c r="K382" s="13">
        <v>208</v>
      </c>
      <c r="L382" s="13">
        <v>22</v>
      </c>
      <c r="M382" s="13">
        <v>3</v>
      </c>
      <c r="N382" s="13" t="s">
        <v>3</v>
      </c>
      <c r="O382" s="13">
        <v>-1</v>
      </c>
      <c r="P382" s="13">
        <f>Source!DN359</f>
        <v>0</v>
      </c>
      <c r="Q382" s="13"/>
      <c r="R382" s="13"/>
      <c r="S382" s="13"/>
      <c r="T382" s="13"/>
      <c r="U382" s="13"/>
      <c r="V382" s="13"/>
      <c r="W382" s="13">
        <v>0</v>
      </c>
      <c r="X382" s="13">
        <v>1</v>
      </c>
      <c r="Y382" s="13">
        <v>0</v>
      </c>
      <c r="Z382" s="13">
        <v>0</v>
      </c>
      <c r="AA382" s="13">
        <v>1</v>
      </c>
      <c r="AB382" s="13">
        <v>0</v>
      </c>
    </row>
    <row r="383" spans="1:28" ht="13" x14ac:dyDescent="0.3">
      <c r="A383" s="13">
        <v>50</v>
      </c>
      <c r="B383" s="13">
        <v>0</v>
      </c>
      <c r="C383" s="13">
        <v>0</v>
      </c>
      <c r="D383" s="13">
        <v>1</v>
      </c>
      <c r="E383" s="13">
        <v>209</v>
      </c>
      <c r="F383" s="13">
        <f>ROUND(Source!W359,O383)</f>
        <v>0</v>
      </c>
      <c r="G383" s="13" t="s">
        <v>136</v>
      </c>
      <c r="H383" s="13" t="s">
        <v>137</v>
      </c>
      <c r="I383" s="13"/>
      <c r="J383" s="13"/>
      <c r="K383" s="13">
        <v>209</v>
      </c>
      <c r="L383" s="13">
        <v>23</v>
      </c>
      <c r="M383" s="13">
        <v>3</v>
      </c>
      <c r="N383" s="13" t="s">
        <v>3</v>
      </c>
      <c r="O383" s="13">
        <v>2</v>
      </c>
      <c r="P383" s="13">
        <f>ROUND(Source!DO359,O383)</f>
        <v>0</v>
      </c>
      <c r="Q383" s="13"/>
      <c r="R383" s="13"/>
      <c r="S383" s="13"/>
      <c r="T383" s="13"/>
      <c r="U383" s="13"/>
      <c r="V383" s="13"/>
      <c r="W383" s="13">
        <v>0</v>
      </c>
      <c r="X383" s="13">
        <v>1</v>
      </c>
      <c r="Y383" s="13">
        <v>0</v>
      </c>
      <c r="Z383" s="13">
        <v>0</v>
      </c>
      <c r="AA383" s="13">
        <v>1</v>
      </c>
      <c r="AB383" s="13">
        <v>0</v>
      </c>
    </row>
    <row r="384" spans="1:28" ht="13" x14ac:dyDescent="0.3">
      <c r="A384" s="13">
        <v>50</v>
      </c>
      <c r="B384" s="13">
        <v>0</v>
      </c>
      <c r="C384" s="13">
        <v>0</v>
      </c>
      <c r="D384" s="13">
        <v>1</v>
      </c>
      <c r="E384" s="13">
        <v>233</v>
      </c>
      <c r="F384" s="13">
        <f>ROUND(Source!BD359,O384)</f>
        <v>0</v>
      </c>
      <c r="G384" s="13" t="s">
        <v>138</v>
      </c>
      <c r="H384" s="13" t="s">
        <v>139</v>
      </c>
      <c r="I384" s="13"/>
      <c r="J384" s="13"/>
      <c r="K384" s="13">
        <v>233</v>
      </c>
      <c r="L384" s="13">
        <v>24</v>
      </c>
      <c r="M384" s="13">
        <v>3</v>
      </c>
      <c r="N384" s="13" t="s">
        <v>3</v>
      </c>
      <c r="O384" s="13">
        <v>2</v>
      </c>
      <c r="P384" s="13">
        <f>ROUND(Source!EV359,O384)</f>
        <v>0</v>
      </c>
      <c r="Q384" s="13"/>
      <c r="R384" s="13"/>
      <c r="S384" s="13"/>
      <c r="T384" s="13"/>
      <c r="U384" s="13"/>
      <c r="V384" s="13"/>
      <c r="W384" s="13">
        <v>0</v>
      </c>
      <c r="X384" s="13">
        <v>1</v>
      </c>
      <c r="Y384" s="13">
        <v>0</v>
      </c>
      <c r="Z384" s="13">
        <v>0</v>
      </c>
      <c r="AA384" s="13">
        <v>1</v>
      </c>
      <c r="AB384" s="13">
        <v>0</v>
      </c>
    </row>
    <row r="385" spans="1:206" ht="13" x14ac:dyDescent="0.3">
      <c r="A385" s="13">
        <v>50</v>
      </c>
      <c r="B385" s="13">
        <v>0</v>
      </c>
      <c r="C385" s="13">
        <v>0</v>
      </c>
      <c r="D385" s="13">
        <v>1</v>
      </c>
      <c r="E385" s="13">
        <v>210</v>
      </c>
      <c r="F385" s="13">
        <f>ROUND(Source!X359,O385)</f>
        <v>37982.15</v>
      </c>
      <c r="G385" s="13" t="s">
        <v>140</v>
      </c>
      <c r="H385" s="13" t="s">
        <v>141</v>
      </c>
      <c r="I385" s="13"/>
      <c r="J385" s="13"/>
      <c r="K385" s="13">
        <v>210</v>
      </c>
      <c r="L385" s="13">
        <v>25</v>
      </c>
      <c r="M385" s="13">
        <v>3</v>
      </c>
      <c r="N385" s="13" t="s">
        <v>3</v>
      </c>
      <c r="O385" s="13">
        <v>2</v>
      </c>
      <c r="P385" s="13">
        <f>ROUND(Source!DP359,O385)</f>
        <v>2140293.7799999998</v>
      </c>
      <c r="Q385" s="13"/>
      <c r="R385" s="13"/>
      <c r="S385" s="13"/>
      <c r="T385" s="13"/>
      <c r="U385" s="13"/>
      <c r="V385" s="13"/>
      <c r="W385" s="13">
        <v>37982.15</v>
      </c>
      <c r="X385" s="13">
        <v>1</v>
      </c>
      <c r="Y385" s="13">
        <v>37982.15</v>
      </c>
      <c r="Z385" s="13">
        <v>2140293.7799999998</v>
      </c>
      <c r="AA385" s="13">
        <v>1</v>
      </c>
      <c r="AB385" s="13">
        <v>2140293.7799999998</v>
      </c>
    </row>
    <row r="386" spans="1:206" ht="13" x14ac:dyDescent="0.3">
      <c r="A386" s="13">
        <v>50</v>
      </c>
      <c r="B386" s="13">
        <v>0</v>
      </c>
      <c r="C386" s="13">
        <v>0</v>
      </c>
      <c r="D386" s="13">
        <v>1</v>
      </c>
      <c r="E386" s="13">
        <v>211</v>
      </c>
      <c r="F386" s="13">
        <f>ROUND(Source!Y359,O386)</f>
        <v>19757.62</v>
      </c>
      <c r="G386" s="13" t="s">
        <v>142</v>
      </c>
      <c r="H386" s="13" t="s">
        <v>143</v>
      </c>
      <c r="I386" s="13"/>
      <c r="J386" s="13"/>
      <c r="K386" s="13">
        <v>211</v>
      </c>
      <c r="L386" s="13">
        <v>26</v>
      </c>
      <c r="M386" s="13">
        <v>3</v>
      </c>
      <c r="N386" s="13" t="s">
        <v>3</v>
      </c>
      <c r="O386" s="13">
        <v>2</v>
      </c>
      <c r="P386" s="13">
        <f>ROUND(Source!DQ359,O386)</f>
        <v>1113342.6399999999</v>
      </c>
      <c r="Q386" s="13"/>
      <c r="R386" s="13"/>
      <c r="S386" s="13"/>
      <c r="T386" s="13"/>
      <c r="U386" s="13"/>
      <c r="V386" s="13"/>
      <c r="W386" s="13">
        <v>19757.62</v>
      </c>
      <c r="X386" s="13">
        <v>1</v>
      </c>
      <c r="Y386" s="13">
        <v>19757.62</v>
      </c>
      <c r="Z386" s="13">
        <v>1113342.6399999999</v>
      </c>
      <c r="AA386" s="13">
        <v>1</v>
      </c>
      <c r="AB386" s="13">
        <v>1113342.6399999999</v>
      </c>
    </row>
    <row r="387" spans="1:206" ht="13" x14ac:dyDescent="0.3">
      <c r="A387" s="13">
        <v>50</v>
      </c>
      <c r="B387" s="13">
        <v>0</v>
      </c>
      <c r="C387" s="13">
        <v>0</v>
      </c>
      <c r="D387" s="13">
        <v>1</v>
      </c>
      <c r="E387" s="13">
        <v>224</v>
      </c>
      <c r="F387" s="13">
        <f>ROUND(Source!AR359,O387)</f>
        <v>410234.23</v>
      </c>
      <c r="G387" s="13" t="s">
        <v>144</v>
      </c>
      <c r="H387" s="13" t="s">
        <v>145</v>
      </c>
      <c r="I387" s="13"/>
      <c r="J387" s="13"/>
      <c r="K387" s="13">
        <v>224</v>
      </c>
      <c r="L387" s="13">
        <v>27</v>
      </c>
      <c r="M387" s="13">
        <v>3</v>
      </c>
      <c r="N387" s="13" t="s">
        <v>3</v>
      </c>
      <c r="O387" s="13">
        <v>2</v>
      </c>
      <c r="P387" s="13">
        <f>ROUND(Source!EJ359,O387)</f>
        <v>8624833.8399999999</v>
      </c>
      <c r="Q387" s="13"/>
      <c r="R387" s="13"/>
      <c r="S387" s="13"/>
      <c r="T387" s="13"/>
      <c r="U387" s="13"/>
      <c r="V387" s="13"/>
      <c r="W387" s="13">
        <v>410234.23</v>
      </c>
      <c r="X387" s="13">
        <v>1</v>
      </c>
      <c r="Y387" s="13">
        <v>410234.23</v>
      </c>
      <c r="Z387" s="13">
        <v>8624833.8399999999</v>
      </c>
      <c r="AA387" s="13">
        <v>1</v>
      </c>
      <c r="AB387" s="13">
        <v>8624833.8399999999</v>
      </c>
    </row>
    <row r="389" spans="1:206" ht="13" x14ac:dyDescent="0.3">
      <c r="A389" s="11">
        <v>51</v>
      </c>
      <c r="B389" s="11">
        <f>B12</f>
        <v>428</v>
      </c>
      <c r="C389" s="11">
        <f>A12</f>
        <v>1</v>
      </c>
      <c r="D389" s="11">
        <f>ROW(A12)</f>
        <v>12</v>
      </c>
      <c r="E389" s="11"/>
      <c r="F389" s="11" t="str">
        <f>IF(F12&lt;&gt;"",F12,"")</f>
        <v>02-01-09</v>
      </c>
      <c r="G389" s="11" t="str">
        <f>IF(G12&lt;&gt;"",G12,"")</f>
        <v>02-01-09 СОУЭ 20.07</v>
      </c>
      <c r="H389" s="11">
        <v>0</v>
      </c>
      <c r="I389" s="11"/>
      <c r="J389" s="11"/>
      <c r="K389" s="11"/>
      <c r="L389" s="11"/>
      <c r="M389" s="11"/>
      <c r="N389" s="11"/>
      <c r="O389" s="11">
        <f t="shared" ref="O389:T389" si="310">ROUND(O359,2)</f>
        <v>352494.46</v>
      </c>
      <c r="P389" s="11">
        <f t="shared" si="310"/>
        <v>309995.38</v>
      </c>
      <c r="Q389" s="11">
        <f t="shared" si="310"/>
        <v>857.25</v>
      </c>
      <c r="R389" s="11">
        <f t="shared" si="310"/>
        <v>37.51</v>
      </c>
      <c r="S389" s="11">
        <f t="shared" si="310"/>
        <v>41641.83</v>
      </c>
      <c r="T389" s="11">
        <f t="shared" si="310"/>
        <v>0</v>
      </c>
      <c r="U389" s="11">
        <f>U359</f>
        <v>3479.8297069199998</v>
      </c>
      <c r="V389" s="11">
        <f>V359</f>
        <v>0</v>
      </c>
      <c r="W389" s="11">
        <f>ROUND(W359,2)</f>
        <v>0</v>
      </c>
      <c r="X389" s="11">
        <f>ROUND(X359,2)</f>
        <v>37982.15</v>
      </c>
      <c r="Y389" s="11">
        <f>ROUND(Y359,2)</f>
        <v>19757.62</v>
      </c>
      <c r="Z389" s="11"/>
      <c r="AA389" s="11"/>
      <c r="AB389" s="11"/>
      <c r="AC389" s="11"/>
      <c r="AD389" s="11"/>
      <c r="AE389" s="11"/>
      <c r="AF389" s="11"/>
      <c r="AG389" s="11"/>
      <c r="AH389" s="11"/>
      <c r="AI389" s="11"/>
      <c r="AJ389" s="11"/>
      <c r="AK389" s="11"/>
      <c r="AL389" s="11"/>
      <c r="AM389" s="11"/>
      <c r="AN389" s="11"/>
      <c r="AO389" s="11">
        <f t="shared" ref="AO389:BD389" si="311">ROUND(AO359,2)</f>
        <v>0</v>
      </c>
      <c r="AP389" s="11">
        <f t="shared" si="311"/>
        <v>176513.96</v>
      </c>
      <c r="AQ389" s="11">
        <f t="shared" si="311"/>
        <v>0</v>
      </c>
      <c r="AR389" s="11">
        <f t="shared" si="311"/>
        <v>410234.23</v>
      </c>
      <c r="AS389" s="11">
        <f t="shared" si="311"/>
        <v>880.07</v>
      </c>
      <c r="AT389" s="11">
        <f t="shared" si="311"/>
        <v>232840.2</v>
      </c>
      <c r="AU389" s="11">
        <f t="shared" si="311"/>
        <v>0</v>
      </c>
      <c r="AV389" s="11">
        <f t="shared" si="311"/>
        <v>309995.38</v>
      </c>
      <c r="AW389" s="11">
        <f t="shared" si="311"/>
        <v>133481.42000000001</v>
      </c>
      <c r="AX389" s="11">
        <f t="shared" si="311"/>
        <v>0</v>
      </c>
      <c r="AY389" s="11">
        <f t="shared" si="311"/>
        <v>133481.42000000001</v>
      </c>
      <c r="AZ389" s="11">
        <f t="shared" si="311"/>
        <v>176513.96</v>
      </c>
      <c r="BA389" s="11">
        <f t="shared" si="311"/>
        <v>0</v>
      </c>
      <c r="BB389" s="11">
        <f t="shared" si="311"/>
        <v>0</v>
      </c>
      <c r="BC389" s="11">
        <f t="shared" si="311"/>
        <v>0</v>
      </c>
      <c r="BD389" s="11">
        <f t="shared" si="311"/>
        <v>0</v>
      </c>
      <c r="BE389" s="11"/>
      <c r="BF389" s="11"/>
      <c r="BG389" s="11"/>
      <c r="BH389" s="11"/>
      <c r="BI389" s="11"/>
      <c r="BJ389" s="11"/>
      <c r="BK389" s="11"/>
      <c r="BL389" s="11"/>
      <c r="BM389" s="11"/>
      <c r="BN389" s="11"/>
      <c r="BO389" s="11"/>
      <c r="BP389" s="11"/>
      <c r="BQ389" s="11"/>
      <c r="BR389" s="11"/>
      <c r="BS389" s="11"/>
      <c r="BT389" s="11"/>
      <c r="BU389" s="11"/>
      <c r="BV389" s="11"/>
      <c r="BW389" s="11"/>
      <c r="BX389" s="11"/>
      <c r="BY389" s="11"/>
      <c r="BZ389" s="11"/>
      <c r="CA389" s="11"/>
      <c r="CB389" s="11"/>
      <c r="CC389" s="11"/>
      <c r="CD389" s="11"/>
      <c r="CE389" s="11"/>
      <c r="CF389" s="11"/>
      <c r="CG389" s="11"/>
      <c r="CH389" s="11"/>
      <c r="CI389" s="11"/>
      <c r="CJ389" s="11"/>
      <c r="CK389" s="11"/>
      <c r="CL389" s="11"/>
      <c r="CM389" s="11"/>
      <c r="CN389" s="11"/>
      <c r="CO389" s="11"/>
      <c r="CP389" s="11"/>
      <c r="CQ389" s="11"/>
      <c r="CR389" s="11"/>
      <c r="CS389" s="11"/>
      <c r="CT389" s="11"/>
      <c r="CU389" s="11"/>
      <c r="CV389" s="11"/>
      <c r="CW389" s="11"/>
      <c r="CX389" s="11"/>
      <c r="CY389" s="11"/>
      <c r="CZ389" s="11"/>
      <c r="DA389" s="11"/>
      <c r="DB389" s="11"/>
      <c r="DC389" s="11"/>
      <c r="DD389" s="11"/>
      <c r="DE389" s="11"/>
      <c r="DF389" s="11"/>
      <c r="DG389" s="12">
        <f t="shared" ref="DG389:DL389" si="312">ROUND(DG359,2)</f>
        <v>5371197.4199999999</v>
      </c>
      <c r="DH389" s="12">
        <f t="shared" si="312"/>
        <v>3014364.79</v>
      </c>
      <c r="DI389" s="12">
        <f t="shared" si="312"/>
        <v>10315.51</v>
      </c>
      <c r="DJ389" s="12">
        <f t="shared" si="312"/>
        <v>2113.6799999999998</v>
      </c>
      <c r="DK389" s="12">
        <f t="shared" si="312"/>
        <v>2346517.12</v>
      </c>
      <c r="DL389" s="12">
        <f t="shared" si="312"/>
        <v>0</v>
      </c>
      <c r="DM389" s="12">
        <f>DM359</f>
        <v>3479.8297069199998</v>
      </c>
      <c r="DN389" s="12">
        <f>DN359</f>
        <v>0</v>
      </c>
      <c r="DO389" s="12">
        <f>ROUND(DO359,2)</f>
        <v>0</v>
      </c>
      <c r="DP389" s="12">
        <f>ROUND(DP359,2)</f>
        <v>2140293.7799999998</v>
      </c>
      <c r="DQ389" s="12">
        <f>ROUND(DQ359,2)</f>
        <v>1113342.6399999999</v>
      </c>
      <c r="DR389" s="12"/>
      <c r="DS389" s="12"/>
      <c r="DT389" s="12"/>
      <c r="DU389" s="12"/>
      <c r="DV389" s="12"/>
      <c r="DW389" s="12"/>
      <c r="DX389" s="12"/>
      <c r="DY389" s="12"/>
      <c r="DZ389" s="12"/>
      <c r="EA389" s="12"/>
      <c r="EB389" s="12"/>
      <c r="EC389" s="12"/>
      <c r="ED389" s="12"/>
      <c r="EE389" s="12"/>
      <c r="EF389" s="12"/>
      <c r="EG389" s="12">
        <f t="shared" ref="EG389:EV389" si="313">ROUND(EG359,2)</f>
        <v>0</v>
      </c>
      <c r="EH389" s="12">
        <f t="shared" si="313"/>
        <v>1317644.1499999999</v>
      </c>
      <c r="EI389" s="12">
        <f t="shared" si="313"/>
        <v>0</v>
      </c>
      <c r="EJ389" s="12">
        <f t="shared" si="313"/>
        <v>8624833.8399999999</v>
      </c>
      <c r="EK389" s="12">
        <f t="shared" si="313"/>
        <v>12919.6</v>
      </c>
      <c r="EL389" s="12">
        <f t="shared" si="313"/>
        <v>7294270.0899999999</v>
      </c>
      <c r="EM389" s="12">
        <f t="shared" si="313"/>
        <v>0</v>
      </c>
      <c r="EN389" s="12">
        <f t="shared" si="313"/>
        <v>3014364.79</v>
      </c>
      <c r="EO389" s="12">
        <f t="shared" si="313"/>
        <v>1696720.64</v>
      </c>
      <c r="EP389" s="12">
        <f t="shared" si="313"/>
        <v>0</v>
      </c>
      <c r="EQ389" s="12">
        <f t="shared" si="313"/>
        <v>1696720.64</v>
      </c>
      <c r="ER389" s="12">
        <f t="shared" si="313"/>
        <v>1317644.1499999999</v>
      </c>
      <c r="ES389" s="12">
        <f t="shared" si="313"/>
        <v>0</v>
      </c>
      <c r="ET389" s="12">
        <f t="shared" si="313"/>
        <v>0</v>
      </c>
      <c r="EU389" s="12">
        <f t="shared" si="313"/>
        <v>0</v>
      </c>
      <c r="EV389" s="12">
        <f t="shared" si="313"/>
        <v>0</v>
      </c>
      <c r="EW389" s="12"/>
      <c r="EX389" s="12"/>
      <c r="EY389" s="12"/>
      <c r="EZ389" s="12"/>
      <c r="FA389" s="12"/>
      <c r="FB389" s="12"/>
      <c r="FC389" s="12"/>
      <c r="FD389" s="12"/>
      <c r="FE389" s="12"/>
      <c r="FF389" s="12"/>
      <c r="FG389" s="12"/>
      <c r="FH389" s="12"/>
      <c r="FI389" s="12"/>
      <c r="FJ389" s="12"/>
      <c r="FK389" s="12"/>
      <c r="FL389" s="12"/>
      <c r="FM389" s="12"/>
      <c r="FN389" s="12"/>
      <c r="FO389" s="12"/>
      <c r="FP389" s="12"/>
      <c r="FQ389" s="12"/>
      <c r="FR389" s="12"/>
      <c r="FS389" s="12"/>
      <c r="FT389" s="12"/>
      <c r="FU389" s="12"/>
      <c r="FV389" s="12"/>
      <c r="FW389" s="12"/>
      <c r="FX389" s="12"/>
      <c r="FY389" s="12"/>
      <c r="FZ389" s="12"/>
      <c r="GA389" s="12"/>
      <c r="GB389" s="12"/>
      <c r="GC389" s="12"/>
      <c r="GD389" s="12"/>
      <c r="GE389" s="12"/>
      <c r="GF389" s="12"/>
      <c r="GG389" s="12"/>
      <c r="GH389" s="12"/>
      <c r="GI389" s="12"/>
      <c r="GJ389" s="12"/>
      <c r="GK389" s="12"/>
      <c r="GL389" s="12"/>
      <c r="GM389" s="12"/>
      <c r="GN389" s="12"/>
      <c r="GO389" s="12"/>
      <c r="GP389" s="12"/>
      <c r="GQ389" s="12"/>
      <c r="GR389" s="12"/>
      <c r="GS389" s="12"/>
      <c r="GT389" s="12"/>
      <c r="GU389" s="12"/>
      <c r="GV389" s="12"/>
      <c r="GW389" s="12"/>
      <c r="GX389" s="12">
        <v>0</v>
      </c>
    </row>
    <row r="391" spans="1:206" ht="13" x14ac:dyDescent="0.3">
      <c r="A391" s="13">
        <v>50</v>
      </c>
      <c r="B391" s="13">
        <v>0</v>
      </c>
      <c r="C391" s="13">
        <v>0</v>
      </c>
      <c r="D391" s="13">
        <v>1</v>
      </c>
      <c r="E391" s="13">
        <v>201</v>
      </c>
      <c r="F391" s="13">
        <f>ROUND(Source!O389,O391)</f>
        <v>352494.46</v>
      </c>
      <c r="G391" s="13" t="s">
        <v>92</v>
      </c>
      <c r="H391" s="13" t="s">
        <v>93</v>
      </c>
      <c r="I391" s="13"/>
      <c r="J391" s="13"/>
      <c r="K391" s="13">
        <v>201</v>
      </c>
      <c r="L391" s="13">
        <v>1</v>
      </c>
      <c r="M391" s="13">
        <v>3</v>
      </c>
      <c r="N391" s="13" t="s">
        <v>3</v>
      </c>
      <c r="O391" s="13">
        <v>2</v>
      </c>
      <c r="P391" s="13">
        <f>ROUND(Source!DG389,O391)</f>
        <v>5371197.4199999999</v>
      </c>
      <c r="Q391" s="13"/>
      <c r="R391" s="13"/>
      <c r="S391" s="13"/>
      <c r="T391" s="13"/>
      <c r="U391" s="13"/>
      <c r="V391" s="13"/>
      <c r="W391" s="13">
        <v>352494.46</v>
      </c>
      <c r="X391" s="13">
        <v>1</v>
      </c>
      <c r="Y391" s="13">
        <v>352494.46</v>
      </c>
      <c r="Z391" s="13">
        <v>5371197.4199999999</v>
      </c>
      <c r="AA391" s="13">
        <v>1</v>
      </c>
      <c r="AB391" s="13">
        <v>5371197.4199999999</v>
      </c>
    </row>
    <row r="392" spans="1:206" ht="13" x14ac:dyDescent="0.3">
      <c r="A392" s="13">
        <v>50</v>
      </c>
      <c r="B392" s="13">
        <v>0</v>
      </c>
      <c r="C392" s="13">
        <v>0</v>
      </c>
      <c r="D392" s="13">
        <v>1</v>
      </c>
      <c r="E392" s="13">
        <v>202</v>
      </c>
      <c r="F392" s="13">
        <f>ROUND(Source!P389,O392)</f>
        <v>309995.38</v>
      </c>
      <c r="G392" s="13" t="s">
        <v>94</v>
      </c>
      <c r="H392" s="13" t="s">
        <v>95</v>
      </c>
      <c r="I392" s="13"/>
      <c r="J392" s="13"/>
      <c r="K392" s="13">
        <v>202</v>
      </c>
      <c r="L392" s="13">
        <v>2</v>
      </c>
      <c r="M392" s="13">
        <v>3</v>
      </c>
      <c r="N392" s="13" t="s">
        <v>3</v>
      </c>
      <c r="O392" s="13">
        <v>2</v>
      </c>
      <c r="P392" s="13">
        <f>ROUND(Source!DH389,O392)</f>
        <v>3014364.79</v>
      </c>
      <c r="Q392" s="13"/>
      <c r="R392" s="13"/>
      <c r="S392" s="13"/>
      <c r="T392" s="13"/>
      <c r="U392" s="13"/>
      <c r="V392" s="13"/>
      <c r="W392" s="13">
        <v>309995.38</v>
      </c>
      <c r="X392" s="13">
        <v>1</v>
      </c>
      <c r="Y392" s="13">
        <v>309995.38</v>
      </c>
      <c r="Z392" s="13">
        <v>3014364.79</v>
      </c>
      <c r="AA392" s="13">
        <v>1</v>
      </c>
      <c r="AB392" s="13">
        <v>3014364.79</v>
      </c>
    </row>
    <row r="393" spans="1:206" ht="13" x14ac:dyDescent="0.3">
      <c r="A393" s="13">
        <v>50</v>
      </c>
      <c r="B393" s="13">
        <v>0</v>
      </c>
      <c r="C393" s="13">
        <v>0</v>
      </c>
      <c r="D393" s="13">
        <v>1</v>
      </c>
      <c r="E393" s="13">
        <v>222</v>
      </c>
      <c r="F393" s="13">
        <f>ROUND(Source!AO389,O393)</f>
        <v>0</v>
      </c>
      <c r="G393" s="13" t="s">
        <v>96</v>
      </c>
      <c r="H393" s="13" t="s">
        <v>97</v>
      </c>
      <c r="I393" s="13"/>
      <c r="J393" s="13"/>
      <c r="K393" s="13">
        <v>222</v>
      </c>
      <c r="L393" s="13">
        <v>3</v>
      </c>
      <c r="M393" s="13">
        <v>3</v>
      </c>
      <c r="N393" s="13" t="s">
        <v>3</v>
      </c>
      <c r="O393" s="13">
        <v>2</v>
      </c>
      <c r="P393" s="13">
        <f>ROUND(Source!EG389,O393)</f>
        <v>0</v>
      </c>
      <c r="Q393" s="13"/>
      <c r="R393" s="13"/>
      <c r="S393" s="13"/>
      <c r="T393" s="13"/>
      <c r="U393" s="13"/>
      <c r="V393" s="13"/>
      <c r="W393" s="13">
        <v>0</v>
      </c>
      <c r="X393" s="13">
        <v>1</v>
      </c>
      <c r="Y393" s="13">
        <v>0</v>
      </c>
      <c r="Z393" s="13">
        <v>0</v>
      </c>
      <c r="AA393" s="13">
        <v>1</v>
      </c>
      <c r="AB393" s="13">
        <v>0</v>
      </c>
    </row>
    <row r="394" spans="1:206" ht="13" x14ac:dyDescent="0.3">
      <c r="A394" s="13">
        <v>50</v>
      </c>
      <c r="B394" s="13">
        <v>0</v>
      </c>
      <c r="C394" s="13">
        <v>0</v>
      </c>
      <c r="D394" s="13">
        <v>1</v>
      </c>
      <c r="E394" s="13">
        <v>225</v>
      </c>
      <c r="F394" s="13">
        <f>ROUND(Source!AV389,O394)</f>
        <v>309995.38</v>
      </c>
      <c r="G394" s="13" t="s">
        <v>98</v>
      </c>
      <c r="H394" s="13" t="s">
        <v>99</v>
      </c>
      <c r="I394" s="13"/>
      <c r="J394" s="13"/>
      <c r="K394" s="13">
        <v>225</v>
      </c>
      <c r="L394" s="13">
        <v>4</v>
      </c>
      <c r="M394" s="13">
        <v>3</v>
      </c>
      <c r="N394" s="13" t="s">
        <v>3</v>
      </c>
      <c r="O394" s="13">
        <v>2</v>
      </c>
      <c r="P394" s="13">
        <f>ROUND(Source!EN389,O394)</f>
        <v>3014364.79</v>
      </c>
      <c r="Q394" s="13"/>
      <c r="R394" s="13"/>
      <c r="S394" s="13"/>
      <c r="T394" s="13"/>
      <c r="U394" s="13"/>
      <c r="V394" s="13"/>
      <c r="W394" s="13">
        <v>309995.38</v>
      </c>
      <c r="X394" s="13">
        <v>1</v>
      </c>
      <c r="Y394" s="13">
        <v>309995.38</v>
      </c>
      <c r="Z394" s="13">
        <v>3014364.79</v>
      </c>
      <c r="AA394" s="13">
        <v>1</v>
      </c>
      <c r="AB394" s="13">
        <v>3014364.79</v>
      </c>
    </row>
    <row r="395" spans="1:206" ht="13" x14ac:dyDescent="0.3">
      <c r="A395" s="13">
        <v>50</v>
      </c>
      <c r="B395" s="13">
        <v>0</v>
      </c>
      <c r="C395" s="13">
        <v>0</v>
      </c>
      <c r="D395" s="13">
        <v>1</v>
      </c>
      <c r="E395" s="13">
        <v>226</v>
      </c>
      <c r="F395" s="13">
        <f>ROUND(Source!AW389,O395)</f>
        <v>133481.42000000001</v>
      </c>
      <c r="G395" s="13" t="s">
        <v>100</v>
      </c>
      <c r="H395" s="13" t="s">
        <v>101</v>
      </c>
      <c r="I395" s="13"/>
      <c r="J395" s="13"/>
      <c r="K395" s="13">
        <v>226</v>
      </c>
      <c r="L395" s="13">
        <v>5</v>
      </c>
      <c r="M395" s="13">
        <v>3</v>
      </c>
      <c r="N395" s="13" t="s">
        <v>3</v>
      </c>
      <c r="O395" s="13">
        <v>2</v>
      </c>
      <c r="P395" s="13">
        <f>ROUND(Source!EO389,O395)</f>
        <v>1696720.64</v>
      </c>
      <c r="Q395" s="13"/>
      <c r="R395" s="13"/>
      <c r="S395" s="13"/>
      <c r="T395" s="13"/>
      <c r="U395" s="13"/>
      <c r="V395" s="13"/>
      <c r="W395" s="13">
        <v>133481.42000000001</v>
      </c>
      <c r="X395" s="13">
        <v>1</v>
      </c>
      <c r="Y395" s="13">
        <v>133481.42000000001</v>
      </c>
      <c r="Z395" s="13">
        <v>1696720.64</v>
      </c>
      <c r="AA395" s="13">
        <v>1</v>
      </c>
      <c r="AB395" s="13">
        <v>1696720.64</v>
      </c>
    </row>
    <row r="396" spans="1:206" ht="13" x14ac:dyDescent="0.3">
      <c r="A396" s="13">
        <v>50</v>
      </c>
      <c r="B396" s="13">
        <v>0</v>
      </c>
      <c r="C396" s="13">
        <v>0</v>
      </c>
      <c r="D396" s="13">
        <v>1</v>
      </c>
      <c r="E396" s="13">
        <v>227</v>
      </c>
      <c r="F396" s="13">
        <f>ROUND(Source!AX389,O396)</f>
        <v>0</v>
      </c>
      <c r="G396" s="13" t="s">
        <v>102</v>
      </c>
      <c r="H396" s="13" t="s">
        <v>103</v>
      </c>
      <c r="I396" s="13"/>
      <c r="J396" s="13"/>
      <c r="K396" s="13">
        <v>227</v>
      </c>
      <c r="L396" s="13">
        <v>6</v>
      </c>
      <c r="M396" s="13">
        <v>3</v>
      </c>
      <c r="N396" s="13" t="s">
        <v>3</v>
      </c>
      <c r="O396" s="13">
        <v>2</v>
      </c>
      <c r="P396" s="13">
        <f>ROUND(Source!EP389,O396)</f>
        <v>0</v>
      </c>
      <c r="Q396" s="13"/>
      <c r="R396" s="13"/>
      <c r="S396" s="13"/>
      <c r="T396" s="13"/>
      <c r="U396" s="13"/>
      <c r="V396" s="13"/>
      <c r="W396" s="13">
        <v>0</v>
      </c>
      <c r="X396" s="13">
        <v>1</v>
      </c>
      <c r="Y396" s="13">
        <v>0</v>
      </c>
      <c r="Z396" s="13">
        <v>0</v>
      </c>
      <c r="AA396" s="13">
        <v>1</v>
      </c>
      <c r="AB396" s="13">
        <v>0</v>
      </c>
    </row>
    <row r="397" spans="1:206" ht="13" x14ac:dyDescent="0.3">
      <c r="A397" s="13">
        <v>50</v>
      </c>
      <c r="B397" s="13">
        <v>0</v>
      </c>
      <c r="C397" s="13">
        <v>0</v>
      </c>
      <c r="D397" s="13">
        <v>1</v>
      </c>
      <c r="E397" s="13">
        <v>228</v>
      </c>
      <c r="F397" s="13">
        <f>ROUND(Source!AY389,O397)</f>
        <v>133481.42000000001</v>
      </c>
      <c r="G397" s="13" t="s">
        <v>104</v>
      </c>
      <c r="H397" s="13" t="s">
        <v>105</v>
      </c>
      <c r="I397" s="13"/>
      <c r="J397" s="13"/>
      <c r="K397" s="13">
        <v>228</v>
      </c>
      <c r="L397" s="13">
        <v>7</v>
      </c>
      <c r="M397" s="13">
        <v>3</v>
      </c>
      <c r="N397" s="13" t="s">
        <v>3</v>
      </c>
      <c r="O397" s="13">
        <v>2</v>
      </c>
      <c r="P397" s="13">
        <f>ROUND(Source!EQ389,O397)</f>
        <v>1696720.64</v>
      </c>
      <c r="Q397" s="13"/>
      <c r="R397" s="13"/>
      <c r="S397" s="13"/>
      <c r="T397" s="13"/>
      <c r="U397" s="13"/>
      <c r="V397" s="13"/>
      <c r="W397" s="13">
        <v>133481.42000000001</v>
      </c>
      <c r="X397" s="13">
        <v>1</v>
      </c>
      <c r="Y397" s="13">
        <v>133481.42000000001</v>
      </c>
      <c r="Z397" s="13">
        <v>1696720.64</v>
      </c>
      <c r="AA397" s="13">
        <v>1</v>
      </c>
      <c r="AB397" s="13">
        <v>1696720.64</v>
      </c>
    </row>
    <row r="398" spans="1:206" ht="13" x14ac:dyDescent="0.3">
      <c r="A398" s="13">
        <v>50</v>
      </c>
      <c r="B398" s="13">
        <v>0</v>
      </c>
      <c r="C398" s="13">
        <v>0</v>
      </c>
      <c r="D398" s="13">
        <v>1</v>
      </c>
      <c r="E398" s="13">
        <v>216</v>
      </c>
      <c r="F398" s="13">
        <f>ROUND(Source!AP389,O398)</f>
        <v>176513.96</v>
      </c>
      <c r="G398" s="13" t="s">
        <v>106</v>
      </c>
      <c r="H398" s="13" t="s">
        <v>107</v>
      </c>
      <c r="I398" s="13"/>
      <c r="J398" s="13"/>
      <c r="K398" s="13">
        <v>216</v>
      </c>
      <c r="L398" s="13">
        <v>8</v>
      </c>
      <c r="M398" s="13">
        <v>3</v>
      </c>
      <c r="N398" s="13" t="s">
        <v>3</v>
      </c>
      <c r="O398" s="13">
        <v>2</v>
      </c>
      <c r="P398" s="13">
        <f>ROUND(Source!EH389,O398)</f>
        <v>1317644.1499999999</v>
      </c>
      <c r="Q398" s="13"/>
      <c r="R398" s="13"/>
      <c r="S398" s="13"/>
      <c r="T398" s="13"/>
      <c r="U398" s="13"/>
      <c r="V398" s="13"/>
      <c r="W398" s="13">
        <v>176513.96</v>
      </c>
      <c r="X398" s="13">
        <v>1</v>
      </c>
      <c r="Y398" s="13">
        <v>176513.96</v>
      </c>
      <c r="Z398" s="13">
        <v>1317644.1499999999</v>
      </c>
      <c r="AA398" s="13">
        <v>1</v>
      </c>
      <c r="AB398" s="13">
        <v>1317644.1499999999</v>
      </c>
    </row>
    <row r="399" spans="1:206" ht="13" x14ac:dyDescent="0.3">
      <c r="A399" s="13">
        <v>50</v>
      </c>
      <c r="B399" s="13">
        <v>0</v>
      </c>
      <c r="C399" s="13">
        <v>0</v>
      </c>
      <c r="D399" s="13">
        <v>1</v>
      </c>
      <c r="E399" s="13">
        <v>223</v>
      </c>
      <c r="F399" s="13">
        <f>ROUND(Source!AQ389,O399)</f>
        <v>0</v>
      </c>
      <c r="G399" s="13" t="s">
        <v>108</v>
      </c>
      <c r="H399" s="13" t="s">
        <v>109</v>
      </c>
      <c r="I399" s="13"/>
      <c r="J399" s="13"/>
      <c r="K399" s="13">
        <v>223</v>
      </c>
      <c r="L399" s="13">
        <v>9</v>
      </c>
      <c r="M399" s="13">
        <v>3</v>
      </c>
      <c r="N399" s="13" t="s">
        <v>3</v>
      </c>
      <c r="O399" s="13">
        <v>2</v>
      </c>
      <c r="P399" s="13">
        <f>ROUND(Source!EI389,O399)</f>
        <v>0</v>
      </c>
      <c r="Q399" s="13"/>
      <c r="R399" s="13"/>
      <c r="S399" s="13"/>
      <c r="T399" s="13"/>
      <c r="U399" s="13"/>
      <c r="V399" s="13"/>
      <c r="W399" s="13">
        <v>0</v>
      </c>
      <c r="X399" s="13">
        <v>1</v>
      </c>
      <c r="Y399" s="13">
        <v>0</v>
      </c>
      <c r="Z399" s="13">
        <v>0</v>
      </c>
      <c r="AA399" s="13">
        <v>1</v>
      </c>
      <c r="AB399" s="13">
        <v>0</v>
      </c>
    </row>
    <row r="400" spans="1:206" ht="13" x14ac:dyDescent="0.3">
      <c r="A400" s="13">
        <v>50</v>
      </c>
      <c r="B400" s="13">
        <v>0</v>
      </c>
      <c r="C400" s="13">
        <v>0</v>
      </c>
      <c r="D400" s="13">
        <v>1</v>
      </c>
      <c r="E400" s="13">
        <v>229</v>
      </c>
      <c r="F400" s="13">
        <f>ROUND(Source!AZ389,O400)</f>
        <v>176513.96</v>
      </c>
      <c r="G400" s="13" t="s">
        <v>110</v>
      </c>
      <c r="H400" s="13" t="s">
        <v>111</v>
      </c>
      <c r="I400" s="13"/>
      <c r="J400" s="13"/>
      <c r="K400" s="13">
        <v>229</v>
      </c>
      <c r="L400" s="13">
        <v>10</v>
      </c>
      <c r="M400" s="13">
        <v>3</v>
      </c>
      <c r="N400" s="13" t="s">
        <v>3</v>
      </c>
      <c r="O400" s="13">
        <v>2</v>
      </c>
      <c r="P400" s="13">
        <f>ROUND(Source!ER389,O400)</f>
        <v>1317644.1499999999</v>
      </c>
      <c r="Q400" s="13"/>
      <c r="R400" s="13"/>
      <c r="S400" s="13"/>
      <c r="T400" s="13"/>
      <c r="U400" s="13"/>
      <c r="V400" s="13"/>
      <c r="W400" s="13">
        <v>176513.96</v>
      </c>
      <c r="X400" s="13">
        <v>1</v>
      </c>
      <c r="Y400" s="13">
        <v>176513.96</v>
      </c>
      <c r="Z400" s="13">
        <v>1317644.1499999999</v>
      </c>
      <c r="AA400" s="13">
        <v>1</v>
      </c>
      <c r="AB400" s="13">
        <v>1317644.1499999999</v>
      </c>
    </row>
    <row r="401" spans="1:28" ht="13" x14ac:dyDescent="0.3">
      <c r="A401" s="13">
        <v>50</v>
      </c>
      <c r="B401" s="13">
        <v>0</v>
      </c>
      <c r="C401" s="13">
        <v>0</v>
      </c>
      <c r="D401" s="13">
        <v>1</v>
      </c>
      <c r="E401" s="13">
        <v>203</v>
      </c>
      <c r="F401" s="13">
        <f>ROUND(Source!Q389,O401)</f>
        <v>857.25</v>
      </c>
      <c r="G401" s="13" t="s">
        <v>112</v>
      </c>
      <c r="H401" s="13" t="s">
        <v>113</v>
      </c>
      <c r="I401" s="13"/>
      <c r="J401" s="13"/>
      <c r="K401" s="13">
        <v>203</v>
      </c>
      <c r="L401" s="13">
        <v>11</v>
      </c>
      <c r="M401" s="13">
        <v>3</v>
      </c>
      <c r="N401" s="13" t="s">
        <v>3</v>
      </c>
      <c r="O401" s="13">
        <v>2</v>
      </c>
      <c r="P401" s="13">
        <f>ROUND(Source!DI389,O401)</f>
        <v>10315.51</v>
      </c>
      <c r="Q401" s="13"/>
      <c r="R401" s="13"/>
      <c r="S401" s="13"/>
      <c r="T401" s="13"/>
      <c r="U401" s="13"/>
      <c r="V401" s="13"/>
      <c r="W401" s="13">
        <v>857.25</v>
      </c>
      <c r="X401" s="13">
        <v>1</v>
      </c>
      <c r="Y401" s="13">
        <v>857.25</v>
      </c>
      <c r="Z401" s="13">
        <v>10315.51</v>
      </c>
      <c r="AA401" s="13">
        <v>1</v>
      </c>
      <c r="AB401" s="13">
        <v>10315.51</v>
      </c>
    </row>
    <row r="402" spans="1:28" ht="13" x14ac:dyDescent="0.3">
      <c r="A402" s="13">
        <v>50</v>
      </c>
      <c r="B402" s="13">
        <v>0</v>
      </c>
      <c r="C402" s="13">
        <v>0</v>
      </c>
      <c r="D402" s="13">
        <v>1</v>
      </c>
      <c r="E402" s="13">
        <v>231</v>
      </c>
      <c r="F402" s="13">
        <f>ROUND(Source!BB389,O402)</f>
        <v>0</v>
      </c>
      <c r="G402" s="13" t="s">
        <v>114</v>
      </c>
      <c r="H402" s="13" t="s">
        <v>115</v>
      </c>
      <c r="I402" s="13"/>
      <c r="J402" s="13"/>
      <c r="K402" s="13">
        <v>231</v>
      </c>
      <c r="L402" s="13">
        <v>12</v>
      </c>
      <c r="M402" s="13">
        <v>3</v>
      </c>
      <c r="N402" s="13" t="s">
        <v>3</v>
      </c>
      <c r="O402" s="13">
        <v>2</v>
      </c>
      <c r="P402" s="13">
        <f>ROUND(Source!ET389,O402)</f>
        <v>0</v>
      </c>
      <c r="Q402" s="13"/>
      <c r="R402" s="13"/>
      <c r="S402" s="13"/>
      <c r="T402" s="13"/>
      <c r="U402" s="13"/>
      <c r="V402" s="13"/>
      <c r="W402" s="13">
        <v>0</v>
      </c>
      <c r="X402" s="13">
        <v>1</v>
      </c>
      <c r="Y402" s="13">
        <v>0</v>
      </c>
      <c r="Z402" s="13">
        <v>0</v>
      </c>
      <c r="AA402" s="13">
        <v>1</v>
      </c>
      <c r="AB402" s="13">
        <v>0</v>
      </c>
    </row>
    <row r="403" spans="1:28" ht="13" x14ac:dyDescent="0.3">
      <c r="A403" s="13">
        <v>50</v>
      </c>
      <c r="B403" s="13">
        <v>0</v>
      </c>
      <c r="C403" s="13">
        <v>0</v>
      </c>
      <c r="D403" s="13">
        <v>1</v>
      </c>
      <c r="E403" s="13">
        <v>204</v>
      </c>
      <c r="F403" s="13">
        <f>ROUND(Source!R389,O403)</f>
        <v>37.51</v>
      </c>
      <c r="G403" s="13" t="s">
        <v>116</v>
      </c>
      <c r="H403" s="13" t="s">
        <v>117</v>
      </c>
      <c r="I403" s="13"/>
      <c r="J403" s="13"/>
      <c r="K403" s="13">
        <v>204</v>
      </c>
      <c r="L403" s="13">
        <v>13</v>
      </c>
      <c r="M403" s="13">
        <v>3</v>
      </c>
      <c r="N403" s="13" t="s">
        <v>3</v>
      </c>
      <c r="O403" s="13">
        <v>2</v>
      </c>
      <c r="P403" s="13">
        <f>ROUND(Source!DJ389,O403)</f>
        <v>2113.6799999999998</v>
      </c>
      <c r="Q403" s="13"/>
      <c r="R403" s="13"/>
      <c r="S403" s="13"/>
      <c r="T403" s="13"/>
      <c r="U403" s="13"/>
      <c r="V403" s="13"/>
      <c r="W403" s="13">
        <v>37.51</v>
      </c>
      <c r="X403" s="13">
        <v>1</v>
      </c>
      <c r="Y403" s="13">
        <v>37.51</v>
      </c>
      <c r="Z403" s="13">
        <v>2113.6799999999998</v>
      </c>
      <c r="AA403" s="13">
        <v>1</v>
      </c>
      <c r="AB403" s="13">
        <v>2113.6799999999998</v>
      </c>
    </row>
    <row r="404" spans="1:28" ht="13" x14ac:dyDescent="0.3">
      <c r="A404" s="13">
        <v>50</v>
      </c>
      <c r="B404" s="13">
        <v>0</v>
      </c>
      <c r="C404" s="13">
        <v>0</v>
      </c>
      <c r="D404" s="13">
        <v>1</v>
      </c>
      <c r="E404" s="13">
        <v>205</v>
      </c>
      <c r="F404" s="13">
        <f>ROUND(Source!S389,O404)</f>
        <v>41641.83</v>
      </c>
      <c r="G404" s="13" t="s">
        <v>118</v>
      </c>
      <c r="H404" s="13" t="s">
        <v>119</v>
      </c>
      <c r="I404" s="13"/>
      <c r="J404" s="13"/>
      <c r="K404" s="13">
        <v>205</v>
      </c>
      <c r="L404" s="13">
        <v>14</v>
      </c>
      <c r="M404" s="13">
        <v>3</v>
      </c>
      <c r="N404" s="13" t="s">
        <v>3</v>
      </c>
      <c r="O404" s="13">
        <v>2</v>
      </c>
      <c r="P404" s="13">
        <f>ROUND(Source!DK389,O404)</f>
        <v>2346517.12</v>
      </c>
      <c r="Q404" s="13"/>
      <c r="R404" s="13"/>
      <c r="S404" s="13"/>
      <c r="T404" s="13"/>
      <c r="U404" s="13"/>
      <c r="V404" s="13"/>
      <c r="W404" s="13">
        <v>41641.83</v>
      </c>
      <c r="X404" s="13">
        <v>1</v>
      </c>
      <c r="Y404" s="13">
        <v>41641.83</v>
      </c>
      <c r="Z404" s="13">
        <v>2346517.12</v>
      </c>
      <c r="AA404" s="13">
        <v>1</v>
      </c>
      <c r="AB404" s="13">
        <v>2346517.12</v>
      </c>
    </row>
    <row r="405" spans="1:28" ht="13" x14ac:dyDescent="0.3">
      <c r="A405" s="13">
        <v>50</v>
      </c>
      <c r="B405" s="13">
        <v>0</v>
      </c>
      <c r="C405" s="13">
        <v>0</v>
      </c>
      <c r="D405" s="13">
        <v>1</v>
      </c>
      <c r="E405" s="13">
        <v>232</v>
      </c>
      <c r="F405" s="13">
        <f>ROUND(Source!BC389,O405)</f>
        <v>0</v>
      </c>
      <c r="G405" s="13" t="s">
        <v>120</v>
      </c>
      <c r="H405" s="13" t="s">
        <v>121</v>
      </c>
      <c r="I405" s="13"/>
      <c r="J405" s="13"/>
      <c r="K405" s="13">
        <v>232</v>
      </c>
      <c r="L405" s="13">
        <v>15</v>
      </c>
      <c r="M405" s="13">
        <v>3</v>
      </c>
      <c r="N405" s="13" t="s">
        <v>3</v>
      </c>
      <c r="O405" s="13">
        <v>2</v>
      </c>
      <c r="P405" s="13">
        <f>ROUND(Source!EU389,O405)</f>
        <v>0</v>
      </c>
      <c r="Q405" s="13"/>
      <c r="R405" s="13"/>
      <c r="S405" s="13"/>
      <c r="T405" s="13"/>
      <c r="U405" s="13"/>
      <c r="V405" s="13"/>
      <c r="W405" s="13">
        <v>0</v>
      </c>
      <c r="X405" s="13">
        <v>1</v>
      </c>
      <c r="Y405" s="13">
        <v>0</v>
      </c>
      <c r="Z405" s="13">
        <v>0</v>
      </c>
      <c r="AA405" s="13">
        <v>1</v>
      </c>
      <c r="AB405" s="13">
        <v>0</v>
      </c>
    </row>
    <row r="406" spans="1:28" ht="13" x14ac:dyDescent="0.3">
      <c r="A406" s="13">
        <v>50</v>
      </c>
      <c r="B406" s="13">
        <v>0</v>
      </c>
      <c r="C406" s="13">
        <v>0</v>
      </c>
      <c r="D406" s="13">
        <v>1</v>
      </c>
      <c r="E406" s="13">
        <v>214</v>
      </c>
      <c r="F406" s="13">
        <f>ROUND(Source!AS389,O406)</f>
        <v>880.07</v>
      </c>
      <c r="G406" s="13" t="s">
        <v>122</v>
      </c>
      <c r="H406" s="13" t="s">
        <v>123</v>
      </c>
      <c r="I406" s="13"/>
      <c r="J406" s="13"/>
      <c r="K406" s="13">
        <v>214</v>
      </c>
      <c r="L406" s="13">
        <v>16</v>
      </c>
      <c r="M406" s="13">
        <v>3</v>
      </c>
      <c r="N406" s="13" t="s">
        <v>3</v>
      </c>
      <c r="O406" s="13">
        <v>2</v>
      </c>
      <c r="P406" s="13">
        <f>ROUND(Source!EK389,O406)</f>
        <v>12919.6</v>
      </c>
      <c r="Q406" s="13"/>
      <c r="R406" s="13"/>
      <c r="S406" s="13"/>
      <c r="T406" s="13"/>
      <c r="U406" s="13"/>
      <c r="V406" s="13"/>
      <c r="W406" s="13">
        <v>880.07</v>
      </c>
      <c r="X406" s="13">
        <v>1</v>
      </c>
      <c r="Y406" s="13">
        <v>880.07</v>
      </c>
      <c r="Z406" s="13">
        <v>12919.6</v>
      </c>
      <c r="AA406" s="13">
        <v>1</v>
      </c>
      <c r="AB406" s="13">
        <v>12919.6</v>
      </c>
    </row>
    <row r="407" spans="1:28" ht="13" x14ac:dyDescent="0.3">
      <c r="A407" s="13">
        <v>50</v>
      </c>
      <c r="B407" s="13">
        <v>0</v>
      </c>
      <c r="C407" s="13">
        <v>0</v>
      </c>
      <c r="D407" s="13">
        <v>1</v>
      </c>
      <c r="E407" s="13">
        <v>215</v>
      </c>
      <c r="F407" s="13">
        <f>ROUND(Source!AT389,O407)</f>
        <v>232840.2</v>
      </c>
      <c r="G407" s="13" t="s">
        <v>124</v>
      </c>
      <c r="H407" s="13" t="s">
        <v>125</v>
      </c>
      <c r="I407" s="13"/>
      <c r="J407" s="13"/>
      <c r="K407" s="13">
        <v>215</v>
      </c>
      <c r="L407" s="13">
        <v>17</v>
      </c>
      <c r="M407" s="13">
        <v>3</v>
      </c>
      <c r="N407" s="13" t="s">
        <v>3</v>
      </c>
      <c r="O407" s="13">
        <v>2</v>
      </c>
      <c r="P407" s="13">
        <f>ROUND(Source!EL389,O407)</f>
        <v>7294270.0899999999</v>
      </c>
      <c r="Q407" s="13"/>
      <c r="R407" s="13"/>
      <c r="S407" s="13"/>
      <c r="T407" s="13"/>
      <c r="U407" s="13"/>
      <c r="V407" s="13"/>
      <c r="W407" s="13">
        <v>232840.2</v>
      </c>
      <c r="X407" s="13">
        <v>1</v>
      </c>
      <c r="Y407" s="13">
        <v>232840.2</v>
      </c>
      <c r="Z407" s="13">
        <v>7294270.0899999999</v>
      </c>
      <c r="AA407" s="13">
        <v>1</v>
      </c>
      <c r="AB407" s="13">
        <v>7294270.0899999999</v>
      </c>
    </row>
    <row r="408" spans="1:28" ht="13" x14ac:dyDescent="0.3">
      <c r="A408" s="13">
        <v>50</v>
      </c>
      <c r="B408" s="13">
        <v>0</v>
      </c>
      <c r="C408" s="13">
        <v>0</v>
      </c>
      <c r="D408" s="13">
        <v>1</v>
      </c>
      <c r="E408" s="13">
        <v>217</v>
      </c>
      <c r="F408" s="13">
        <f>ROUND(Source!AU389,O408)</f>
        <v>0</v>
      </c>
      <c r="G408" s="13" t="s">
        <v>126</v>
      </c>
      <c r="H408" s="13" t="s">
        <v>127</v>
      </c>
      <c r="I408" s="13"/>
      <c r="J408" s="13"/>
      <c r="K408" s="13">
        <v>217</v>
      </c>
      <c r="L408" s="13">
        <v>18</v>
      </c>
      <c r="M408" s="13">
        <v>3</v>
      </c>
      <c r="N408" s="13" t="s">
        <v>3</v>
      </c>
      <c r="O408" s="13">
        <v>2</v>
      </c>
      <c r="P408" s="13">
        <f>ROUND(Source!EM389,O408)</f>
        <v>0</v>
      </c>
      <c r="Q408" s="13"/>
      <c r="R408" s="13"/>
      <c r="S408" s="13"/>
      <c r="T408" s="13"/>
      <c r="U408" s="13"/>
      <c r="V408" s="13"/>
      <c r="W408" s="13">
        <v>0</v>
      </c>
      <c r="X408" s="13">
        <v>1</v>
      </c>
      <c r="Y408" s="13">
        <v>0</v>
      </c>
      <c r="Z408" s="13">
        <v>0</v>
      </c>
      <c r="AA408" s="13">
        <v>1</v>
      </c>
      <c r="AB408" s="13">
        <v>0</v>
      </c>
    </row>
    <row r="409" spans="1:28" ht="13" x14ac:dyDescent="0.3">
      <c r="A409" s="13">
        <v>50</v>
      </c>
      <c r="B409" s="13">
        <v>0</v>
      </c>
      <c r="C409" s="13">
        <v>0</v>
      </c>
      <c r="D409" s="13">
        <v>1</v>
      </c>
      <c r="E409" s="13">
        <v>230</v>
      </c>
      <c r="F409" s="13">
        <f>ROUND(Source!BA389,O409)</f>
        <v>0</v>
      </c>
      <c r="G409" s="13" t="s">
        <v>128</v>
      </c>
      <c r="H409" s="13" t="s">
        <v>129</v>
      </c>
      <c r="I409" s="13"/>
      <c r="J409" s="13"/>
      <c r="K409" s="13">
        <v>230</v>
      </c>
      <c r="L409" s="13">
        <v>19</v>
      </c>
      <c r="M409" s="13">
        <v>3</v>
      </c>
      <c r="N409" s="13" t="s">
        <v>3</v>
      </c>
      <c r="O409" s="13">
        <v>2</v>
      </c>
      <c r="P409" s="13">
        <f>ROUND(Source!ES389,O409)</f>
        <v>0</v>
      </c>
      <c r="Q409" s="13"/>
      <c r="R409" s="13"/>
      <c r="S409" s="13"/>
      <c r="T409" s="13"/>
      <c r="U409" s="13"/>
      <c r="V409" s="13"/>
      <c r="W409" s="13">
        <v>0</v>
      </c>
      <c r="X409" s="13">
        <v>1</v>
      </c>
      <c r="Y409" s="13">
        <v>0</v>
      </c>
      <c r="Z409" s="13">
        <v>0</v>
      </c>
      <c r="AA409" s="13">
        <v>1</v>
      </c>
      <c r="AB409" s="13">
        <v>0</v>
      </c>
    </row>
    <row r="410" spans="1:28" ht="13" x14ac:dyDescent="0.3">
      <c r="A410" s="13">
        <v>50</v>
      </c>
      <c r="B410" s="13">
        <v>0</v>
      </c>
      <c r="C410" s="13">
        <v>0</v>
      </c>
      <c r="D410" s="13">
        <v>1</v>
      </c>
      <c r="E410" s="13">
        <v>206</v>
      </c>
      <c r="F410" s="13">
        <f>ROUND(Source!T389,O410)</f>
        <v>0</v>
      </c>
      <c r="G410" s="13" t="s">
        <v>130</v>
      </c>
      <c r="H410" s="13" t="s">
        <v>131</v>
      </c>
      <c r="I410" s="13"/>
      <c r="J410" s="13"/>
      <c r="K410" s="13">
        <v>206</v>
      </c>
      <c r="L410" s="13">
        <v>20</v>
      </c>
      <c r="M410" s="13">
        <v>3</v>
      </c>
      <c r="N410" s="13" t="s">
        <v>3</v>
      </c>
      <c r="O410" s="13">
        <v>2</v>
      </c>
      <c r="P410" s="13">
        <f>ROUND(Source!DL389,O410)</f>
        <v>0</v>
      </c>
      <c r="Q410" s="13"/>
      <c r="R410" s="13"/>
      <c r="S410" s="13"/>
      <c r="T410" s="13"/>
      <c r="U410" s="13"/>
      <c r="V410" s="13"/>
      <c r="W410" s="13">
        <v>0</v>
      </c>
      <c r="X410" s="13">
        <v>1</v>
      </c>
      <c r="Y410" s="13">
        <v>0</v>
      </c>
      <c r="Z410" s="13">
        <v>0</v>
      </c>
      <c r="AA410" s="13">
        <v>1</v>
      </c>
      <c r="AB410" s="13">
        <v>0</v>
      </c>
    </row>
    <row r="411" spans="1:28" ht="13" x14ac:dyDescent="0.3">
      <c r="A411" s="13">
        <v>50</v>
      </c>
      <c r="B411" s="13">
        <v>0</v>
      </c>
      <c r="C411" s="13">
        <v>0</v>
      </c>
      <c r="D411" s="13">
        <v>1</v>
      </c>
      <c r="E411" s="13">
        <v>207</v>
      </c>
      <c r="F411" s="13">
        <f>Source!U389</f>
        <v>3479.8297069199998</v>
      </c>
      <c r="G411" s="13" t="s">
        <v>132</v>
      </c>
      <c r="H411" s="13" t="s">
        <v>133</v>
      </c>
      <c r="I411" s="13"/>
      <c r="J411" s="13"/>
      <c r="K411" s="13">
        <v>207</v>
      </c>
      <c r="L411" s="13">
        <v>21</v>
      </c>
      <c r="M411" s="13">
        <v>3</v>
      </c>
      <c r="N411" s="13" t="s">
        <v>3</v>
      </c>
      <c r="O411" s="13">
        <v>-1</v>
      </c>
      <c r="P411" s="13">
        <f>Source!DM389</f>
        <v>3479.8297069199998</v>
      </c>
      <c r="Q411" s="13"/>
      <c r="R411" s="13"/>
      <c r="S411" s="13"/>
      <c r="T411" s="13"/>
      <c r="U411" s="13"/>
      <c r="V411" s="13"/>
      <c r="W411" s="13">
        <v>3479.8297069200003</v>
      </c>
      <c r="X411" s="13">
        <v>1</v>
      </c>
      <c r="Y411" s="13">
        <v>3479.8297069200003</v>
      </c>
      <c r="Z411" s="13">
        <v>3479.8297069200003</v>
      </c>
      <c r="AA411" s="13">
        <v>1</v>
      </c>
      <c r="AB411" s="13">
        <v>3479.8297069200003</v>
      </c>
    </row>
    <row r="412" spans="1:28" ht="13" x14ac:dyDescent="0.3">
      <c r="A412" s="13">
        <v>50</v>
      </c>
      <c r="B412" s="13">
        <v>0</v>
      </c>
      <c r="C412" s="13">
        <v>0</v>
      </c>
      <c r="D412" s="13">
        <v>1</v>
      </c>
      <c r="E412" s="13">
        <v>208</v>
      </c>
      <c r="F412" s="13">
        <f>Source!V389</f>
        <v>0</v>
      </c>
      <c r="G412" s="13" t="s">
        <v>134</v>
      </c>
      <c r="H412" s="13" t="s">
        <v>135</v>
      </c>
      <c r="I412" s="13"/>
      <c r="J412" s="13"/>
      <c r="K412" s="13">
        <v>208</v>
      </c>
      <c r="L412" s="13">
        <v>22</v>
      </c>
      <c r="M412" s="13">
        <v>3</v>
      </c>
      <c r="N412" s="13" t="s">
        <v>3</v>
      </c>
      <c r="O412" s="13">
        <v>-1</v>
      </c>
      <c r="P412" s="13">
        <f>Source!DN389</f>
        <v>0</v>
      </c>
      <c r="Q412" s="13"/>
      <c r="R412" s="13"/>
      <c r="S412" s="13"/>
      <c r="T412" s="13"/>
      <c r="U412" s="13"/>
      <c r="V412" s="13"/>
      <c r="W412" s="13">
        <v>0</v>
      </c>
      <c r="X412" s="13">
        <v>1</v>
      </c>
      <c r="Y412" s="13">
        <v>0</v>
      </c>
      <c r="Z412" s="13">
        <v>0</v>
      </c>
      <c r="AA412" s="13">
        <v>1</v>
      </c>
      <c r="AB412" s="13">
        <v>0</v>
      </c>
    </row>
    <row r="413" spans="1:28" ht="13" x14ac:dyDescent="0.3">
      <c r="A413" s="13">
        <v>50</v>
      </c>
      <c r="B413" s="13">
        <v>0</v>
      </c>
      <c r="C413" s="13">
        <v>0</v>
      </c>
      <c r="D413" s="13">
        <v>1</v>
      </c>
      <c r="E413" s="13">
        <v>209</v>
      </c>
      <c r="F413" s="13">
        <f>ROUND(Source!W389,O413)</f>
        <v>0</v>
      </c>
      <c r="G413" s="13" t="s">
        <v>136</v>
      </c>
      <c r="H413" s="13" t="s">
        <v>137</v>
      </c>
      <c r="I413" s="13"/>
      <c r="J413" s="13"/>
      <c r="K413" s="13">
        <v>209</v>
      </c>
      <c r="L413" s="13">
        <v>23</v>
      </c>
      <c r="M413" s="13">
        <v>3</v>
      </c>
      <c r="N413" s="13" t="s">
        <v>3</v>
      </c>
      <c r="O413" s="13">
        <v>2</v>
      </c>
      <c r="P413" s="13">
        <f>ROUND(Source!DO389,O413)</f>
        <v>0</v>
      </c>
      <c r="Q413" s="13"/>
      <c r="R413" s="13"/>
      <c r="S413" s="13"/>
      <c r="T413" s="13"/>
      <c r="U413" s="13"/>
      <c r="V413" s="13"/>
      <c r="W413" s="13">
        <v>0</v>
      </c>
      <c r="X413" s="13">
        <v>1</v>
      </c>
      <c r="Y413" s="13">
        <v>0</v>
      </c>
      <c r="Z413" s="13">
        <v>0</v>
      </c>
      <c r="AA413" s="13">
        <v>1</v>
      </c>
      <c r="AB413" s="13">
        <v>0</v>
      </c>
    </row>
    <row r="414" spans="1:28" ht="13" x14ac:dyDescent="0.3">
      <c r="A414" s="13">
        <v>50</v>
      </c>
      <c r="B414" s="13">
        <v>0</v>
      </c>
      <c r="C414" s="13">
        <v>0</v>
      </c>
      <c r="D414" s="13">
        <v>1</v>
      </c>
      <c r="E414" s="13">
        <v>233</v>
      </c>
      <c r="F414" s="13">
        <f>ROUND(Source!BD389,O414)</f>
        <v>0</v>
      </c>
      <c r="G414" s="13" t="s">
        <v>138</v>
      </c>
      <c r="H414" s="13" t="s">
        <v>139</v>
      </c>
      <c r="I414" s="13"/>
      <c r="J414" s="13"/>
      <c r="K414" s="13">
        <v>233</v>
      </c>
      <c r="L414" s="13">
        <v>24</v>
      </c>
      <c r="M414" s="13">
        <v>3</v>
      </c>
      <c r="N414" s="13" t="s">
        <v>3</v>
      </c>
      <c r="O414" s="13">
        <v>2</v>
      </c>
      <c r="P414" s="13">
        <f>ROUND(Source!EV389,O414)</f>
        <v>0</v>
      </c>
      <c r="Q414" s="13"/>
      <c r="R414" s="13"/>
      <c r="S414" s="13"/>
      <c r="T414" s="13"/>
      <c r="U414" s="13"/>
      <c r="V414" s="13"/>
      <c r="W414" s="13">
        <v>0</v>
      </c>
      <c r="X414" s="13">
        <v>1</v>
      </c>
      <c r="Y414" s="13">
        <v>0</v>
      </c>
      <c r="Z414" s="13">
        <v>0</v>
      </c>
      <c r="AA414" s="13">
        <v>1</v>
      </c>
      <c r="AB414" s="13">
        <v>0</v>
      </c>
    </row>
    <row r="415" spans="1:28" ht="13" x14ac:dyDescent="0.3">
      <c r="A415" s="13">
        <v>50</v>
      </c>
      <c r="B415" s="13">
        <v>0</v>
      </c>
      <c r="C415" s="13">
        <v>0</v>
      </c>
      <c r="D415" s="13">
        <v>1</v>
      </c>
      <c r="E415" s="13">
        <v>210</v>
      </c>
      <c r="F415" s="13">
        <f>ROUND(Source!X389,O415)</f>
        <v>37982.15</v>
      </c>
      <c r="G415" s="13" t="s">
        <v>140</v>
      </c>
      <c r="H415" s="13" t="s">
        <v>141</v>
      </c>
      <c r="I415" s="13"/>
      <c r="J415" s="13"/>
      <c r="K415" s="13">
        <v>210</v>
      </c>
      <c r="L415" s="13">
        <v>25</v>
      </c>
      <c r="M415" s="13">
        <v>3</v>
      </c>
      <c r="N415" s="13" t="s">
        <v>3</v>
      </c>
      <c r="O415" s="13">
        <v>2</v>
      </c>
      <c r="P415" s="13">
        <f>ROUND(Source!DP389,O415)</f>
        <v>2140293.7799999998</v>
      </c>
      <c r="Q415" s="13"/>
      <c r="R415" s="13"/>
      <c r="S415" s="13"/>
      <c r="T415" s="13"/>
      <c r="U415" s="13"/>
      <c r="V415" s="13"/>
      <c r="W415" s="13">
        <v>37982.15</v>
      </c>
      <c r="X415" s="13">
        <v>1</v>
      </c>
      <c r="Y415" s="13">
        <v>37982.15</v>
      </c>
      <c r="Z415" s="13">
        <v>2140293.7799999998</v>
      </c>
      <c r="AA415" s="13">
        <v>1</v>
      </c>
      <c r="AB415" s="13">
        <v>2140293.7799999998</v>
      </c>
    </row>
    <row r="416" spans="1:28" ht="13" x14ac:dyDescent="0.3">
      <c r="A416" s="13">
        <v>50</v>
      </c>
      <c r="B416" s="13">
        <v>0</v>
      </c>
      <c r="C416" s="13">
        <v>0</v>
      </c>
      <c r="D416" s="13">
        <v>1</v>
      </c>
      <c r="E416" s="13">
        <v>211</v>
      </c>
      <c r="F416" s="13">
        <f>ROUND(Source!Y389,O416)</f>
        <v>19757.62</v>
      </c>
      <c r="G416" s="13" t="s">
        <v>142</v>
      </c>
      <c r="H416" s="13" t="s">
        <v>143</v>
      </c>
      <c r="I416" s="13"/>
      <c r="J416" s="13"/>
      <c r="K416" s="13">
        <v>211</v>
      </c>
      <c r="L416" s="13">
        <v>26</v>
      </c>
      <c r="M416" s="13">
        <v>3</v>
      </c>
      <c r="N416" s="13" t="s">
        <v>3</v>
      </c>
      <c r="O416" s="13">
        <v>2</v>
      </c>
      <c r="P416" s="13">
        <f>ROUND(Source!DQ389,O416)</f>
        <v>1113342.6399999999</v>
      </c>
      <c r="Q416" s="13"/>
      <c r="R416" s="13"/>
      <c r="S416" s="13"/>
      <c r="T416" s="13"/>
      <c r="U416" s="13"/>
      <c r="V416" s="13"/>
      <c r="W416" s="13">
        <v>19757.62</v>
      </c>
      <c r="X416" s="13">
        <v>1</v>
      </c>
      <c r="Y416" s="13">
        <v>19757.62</v>
      </c>
      <c r="Z416" s="13">
        <v>1113342.6399999999</v>
      </c>
      <c r="AA416" s="13">
        <v>1</v>
      </c>
      <c r="AB416" s="13">
        <v>1113342.6399999999</v>
      </c>
    </row>
    <row r="417" spans="1:50" ht="13" x14ac:dyDescent="0.3">
      <c r="A417" s="13">
        <v>50</v>
      </c>
      <c r="B417" s="13">
        <v>0</v>
      </c>
      <c r="C417" s="13">
        <v>0</v>
      </c>
      <c r="D417" s="13">
        <v>1</v>
      </c>
      <c r="E417" s="13">
        <v>224</v>
      </c>
      <c r="F417" s="13">
        <f>ROUND(Source!AR389,O417)</f>
        <v>410234.23</v>
      </c>
      <c r="G417" s="13" t="s">
        <v>144</v>
      </c>
      <c r="H417" s="13" t="s">
        <v>145</v>
      </c>
      <c r="I417" s="13"/>
      <c r="J417" s="13"/>
      <c r="K417" s="13">
        <v>224</v>
      </c>
      <c r="L417" s="13">
        <v>27</v>
      </c>
      <c r="M417" s="13">
        <v>3</v>
      </c>
      <c r="N417" s="13" t="s">
        <v>3</v>
      </c>
      <c r="O417" s="13">
        <v>2</v>
      </c>
      <c r="P417" s="13">
        <f>ROUND(Source!EJ389,O417)</f>
        <v>8624833.8399999999</v>
      </c>
      <c r="Q417" s="13"/>
      <c r="R417" s="13"/>
      <c r="S417" s="13"/>
      <c r="T417" s="13"/>
      <c r="U417" s="13"/>
      <c r="V417" s="13"/>
      <c r="W417" s="13">
        <v>410234.23</v>
      </c>
      <c r="X417" s="13">
        <v>1</v>
      </c>
      <c r="Y417" s="13">
        <v>410234.23</v>
      </c>
      <c r="Z417" s="13">
        <v>8624833.8399999999</v>
      </c>
      <c r="AA417" s="13">
        <v>1</v>
      </c>
      <c r="AB417" s="13">
        <v>8624833.8399999999</v>
      </c>
    </row>
    <row r="420" spans="1:50" x14ac:dyDescent="0.25">
      <c r="A420" s="3">
        <v>70</v>
      </c>
      <c r="B420" s="3">
        <v>1</v>
      </c>
      <c r="D420" s="3">
        <v>1</v>
      </c>
      <c r="E420" s="3" t="s">
        <v>367</v>
      </c>
      <c r="F420" s="3" t="s">
        <v>368</v>
      </c>
      <c r="G420" s="3">
        <v>0</v>
      </c>
      <c r="H420" s="3">
        <v>0</v>
      </c>
      <c r="I420" s="3" t="s">
        <v>3</v>
      </c>
      <c r="J420" s="3">
        <v>1</v>
      </c>
      <c r="K420" s="3">
        <v>0</v>
      </c>
      <c r="L420" s="3" t="s">
        <v>3</v>
      </c>
      <c r="M420" s="3" t="s">
        <v>3</v>
      </c>
      <c r="N420" s="3">
        <v>0</v>
      </c>
      <c r="O420" s="3">
        <v>0</v>
      </c>
      <c r="P420" s="3" t="s">
        <v>3</v>
      </c>
    </row>
    <row r="421" spans="1:50" x14ac:dyDescent="0.25">
      <c r="A421" s="3">
        <v>70</v>
      </c>
      <c r="B421" s="3">
        <v>1</v>
      </c>
      <c r="D421" s="3">
        <v>2</v>
      </c>
      <c r="E421" s="3" t="s">
        <v>369</v>
      </c>
      <c r="F421" s="3" t="s">
        <v>370</v>
      </c>
      <c r="G421" s="3">
        <v>1</v>
      </c>
      <c r="H421" s="3">
        <v>0</v>
      </c>
      <c r="I421" s="3" t="s">
        <v>3</v>
      </c>
      <c r="J421" s="3">
        <v>1</v>
      </c>
      <c r="K421" s="3">
        <v>0</v>
      </c>
      <c r="L421" s="3" t="s">
        <v>3</v>
      </c>
      <c r="M421" s="3" t="s">
        <v>3</v>
      </c>
      <c r="N421" s="3">
        <v>0</v>
      </c>
      <c r="O421" s="3">
        <v>1</v>
      </c>
      <c r="P421" s="3" t="s">
        <v>3</v>
      </c>
    </row>
    <row r="422" spans="1:50" x14ac:dyDescent="0.25">
      <c r="A422" s="3">
        <v>70</v>
      </c>
      <c r="B422" s="3">
        <v>1</v>
      </c>
      <c r="D422" s="3">
        <v>3</v>
      </c>
      <c r="E422" s="3" t="s">
        <v>371</v>
      </c>
      <c r="F422" s="3" t="s">
        <v>372</v>
      </c>
      <c r="G422" s="3">
        <v>1</v>
      </c>
      <c r="H422" s="3">
        <v>0</v>
      </c>
      <c r="I422" s="3" t="s">
        <v>3</v>
      </c>
      <c r="J422" s="3">
        <v>0</v>
      </c>
      <c r="K422" s="3">
        <v>0</v>
      </c>
      <c r="L422" s="3" t="s">
        <v>3</v>
      </c>
      <c r="M422" s="3" t="s">
        <v>3</v>
      </c>
      <c r="N422" s="3">
        <v>0</v>
      </c>
      <c r="O422" s="3">
        <v>1</v>
      </c>
      <c r="P422" s="3" t="s">
        <v>3</v>
      </c>
    </row>
    <row r="423" spans="1:50" x14ac:dyDescent="0.25">
      <c r="A423" s="3">
        <v>70</v>
      </c>
      <c r="B423" s="3">
        <v>1</v>
      </c>
      <c r="D423" s="3">
        <v>4</v>
      </c>
      <c r="E423" s="3" t="s">
        <v>373</v>
      </c>
      <c r="F423" s="3" t="s">
        <v>374</v>
      </c>
      <c r="G423" s="3">
        <v>1</v>
      </c>
      <c r="H423" s="3">
        <v>0</v>
      </c>
      <c r="I423" s="3" t="s">
        <v>3</v>
      </c>
      <c r="J423" s="3">
        <v>0</v>
      </c>
      <c r="K423" s="3">
        <v>0</v>
      </c>
      <c r="L423" s="3" t="s">
        <v>3</v>
      </c>
      <c r="M423" s="3" t="s">
        <v>3</v>
      </c>
      <c r="N423" s="3">
        <v>0</v>
      </c>
      <c r="O423" s="3">
        <v>1</v>
      </c>
      <c r="P423" s="3" t="s">
        <v>3</v>
      </c>
    </row>
    <row r="424" spans="1:50" x14ac:dyDescent="0.25">
      <c r="A424" s="3">
        <v>70</v>
      </c>
      <c r="B424" s="3">
        <v>1</v>
      </c>
      <c r="D424" s="3">
        <v>5</v>
      </c>
      <c r="E424" s="3" t="s">
        <v>375</v>
      </c>
      <c r="F424" s="3" t="s">
        <v>376</v>
      </c>
      <c r="G424" s="3">
        <v>0</v>
      </c>
      <c r="H424" s="3">
        <v>0</v>
      </c>
      <c r="I424" s="3" t="s">
        <v>3</v>
      </c>
      <c r="J424" s="3">
        <v>0</v>
      </c>
      <c r="K424" s="3">
        <v>0</v>
      </c>
      <c r="L424" s="3" t="s">
        <v>3</v>
      </c>
      <c r="M424" s="3" t="s">
        <v>3</v>
      </c>
      <c r="N424" s="3">
        <v>0</v>
      </c>
      <c r="O424" s="3">
        <v>0</v>
      </c>
      <c r="P424" s="3" t="s">
        <v>3</v>
      </c>
    </row>
    <row r="426" spans="1:50" x14ac:dyDescent="0.25">
      <c r="A426" s="3">
        <v>-1</v>
      </c>
    </row>
    <row r="428" spans="1:50" ht="13" x14ac:dyDescent="0.3">
      <c r="A428" s="12">
        <v>75</v>
      </c>
      <c r="B428" s="12" t="s">
        <v>377</v>
      </c>
      <c r="C428" s="12">
        <v>2000</v>
      </c>
      <c r="D428" s="12">
        <v>0</v>
      </c>
      <c r="E428" s="12">
        <v>1</v>
      </c>
      <c r="F428" s="12">
        <v>0</v>
      </c>
      <c r="G428" s="12">
        <v>0</v>
      </c>
      <c r="H428" s="12">
        <v>1</v>
      </c>
      <c r="I428" s="12">
        <v>1</v>
      </c>
      <c r="J428" s="12">
        <v>3</v>
      </c>
      <c r="K428" s="12">
        <v>0</v>
      </c>
      <c r="L428" s="12">
        <v>0</v>
      </c>
      <c r="M428" s="12">
        <v>0</v>
      </c>
      <c r="N428" s="12">
        <v>57014138</v>
      </c>
      <c r="O428" s="12">
        <v>1</v>
      </c>
    </row>
    <row r="429" spans="1:50" x14ac:dyDescent="0.25">
      <c r="A429" s="14">
        <v>1</v>
      </c>
      <c r="B429" s="14" t="s">
        <v>378</v>
      </c>
      <c r="C429" s="14" t="s">
        <v>379</v>
      </c>
      <c r="D429" s="14">
        <v>2000</v>
      </c>
      <c r="E429" s="14">
        <v>1</v>
      </c>
      <c r="F429" s="14">
        <v>1</v>
      </c>
      <c r="G429" s="14">
        <v>1</v>
      </c>
      <c r="H429" s="14">
        <v>0</v>
      </c>
      <c r="I429" s="14">
        <v>2</v>
      </c>
      <c r="J429" s="14">
        <v>1</v>
      </c>
      <c r="K429" s="14">
        <v>1</v>
      </c>
      <c r="L429" s="14">
        <v>1</v>
      </c>
      <c r="M429" s="14">
        <v>1</v>
      </c>
      <c r="N429" s="14">
        <v>1</v>
      </c>
      <c r="O429" s="14">
        <v>1</v>
      </c>
      <c r="P429" s="14">
        <v>1</v>
      </c>
      <c r="Q429" s="14">
        <v>1</v>
      </c>
      <c r="R429" s="14" t="s">
        <v>3</v>
      </c>
      <c r="S429" s="14" t="s">
        <v>3</v>
      </c>
      <c r="T429" s="14" t="s">
        <v>3</v>
      </c>
      <c r="U429" s="14" t="s">
        <v>3</v>
      </c>
      <c r="V429" s="14" t="s">
        <v>3</v>
      </c>
      <c r="W429" s="14" t="s">
        <v>3</v>
      </c>
      <c r="X429" s="14" t="s">
        <v>3</v>
      </c>
      <c r="Y429" s="14" t="s">
        <v>3</v>
      </c>
      <c r="Z429" s="14" t="s">
        <v>3</v>
      </c>
      <c r="AA429" s="14" t="s">
        <v>162</v>
      </c>
      <c r="AB429" s="14"/>
      <c r="AC429" s="14"/>
      <c r="AD429" s="14"/>
      <c r="AE429" s="14"/>
      <c r="AF429" s="14"/>
      <c r="AG429" s="14"/>
      <c r="AH429" s="14"/>
      <c r="AI429" s="14"/>
      <c r="AJ429" s="14"/>
      <c r="AK429" s="14"/>
      <c r="AL429" s="14"/>
      <c r="AM429" s="14"/>
      <c r="AN429" s="14">
        <v>57014139</v>
      </c>
      <c r="AO429" s="14"/>
      <c r="AP429" s="14"/>
      <c r="AQ429" s="14"/>
      <c r="AR429" s="14"/>
      <c r="AS429" s="14"/>
      <c r="AT429" s="14"/>
      <c r="AU429" s="14"/>
      <c r="AV429" s="14"/>
      <c r="AW429" s="14"/>
      <c r="AX429" s="14"/>
    </row>
    <row r="430" spans="1:50" ht="13" x14ac:dyDescent="0.3">
      <c r="A430" s="12">
        <v>75</v>
      </c>
      <c r="B430" s="12" t="s">
        <v>380</v>
      </c>
      <c r="C430" s="12">
        <v>2026</v>
      </c>
      <c r="D430" s="12">
        <v>1</v>
      </c>
      <c r="E430" s="12">
        <v>0</v>
      </c>
      <c r="F430" s="12"/>
      <c r="G430" s="12">
        <v>0</v>
      </c>
      <c r="H430" s="12">
        <v>1</v>
      </c>
      <c r="I430" s="12">
        <v>1</v>
      </c>
      <c r="J430" s="12">
        <v>1</v>
      </c>
      <c r="K430" s="12">
        <v>0</v>
      </c>
      <c r="L430" s="12">
        <v>0</v>
      </c>
      <c r="M430" s="12">
        <v>1</v>
      </c>
      <c r="N430" s="12">
        <v>57014140</v>
      </c>
      <c r="O430" s="12">
        <v>2</v>
      </c>
    </row>
    <row r="431" spans="1:50" x14ac:dyDescent="0.25">
      <c r="A431" s="14">
        <v>1</v>
      </c>
      <c r="B431" s="14" t="s">
        <v>378</v>
      </c>
      <c r="C431" s="14" t="s">
        <v>379</v>
      </c>
      <c r="D431" s="14">
        <v>2026</v>
      </c>
      <c r="E431" s="14">
        <v>1</v>
      </c>
      <c r="F431" s="14">
        <v>1</v>
      </c>
      <c r="G431" s="14">
        <v>1</v>
      </c>
      <c r="H431" s="14">
        <v>0</v>
      </c>
      <c r="I431" s="14">
        <v>2</v>
      </c>
      <c r="J431" s="14">
        <v>1</v>
      </c>
      <c r="K431" s="14">
        <v>9.84</v>
      </c>
      <c r="L431" s="14">
        <v>7.57</v>
      </c>
      <c r="M431" s="14">
        <v>1</v>
      </c>
      <c r="N431" s="14">
        <v>1</v>
      </c>
      <c r="O431" s="14">
        <v>9.84</v>
      </c>
      <c r="P431" s="14">
        <v>7.57</v>
      </c>
      <c r="Q431" s="14">
        <v>1</v>
      </c>
      <c r="R431" s="14" t="s">
        <v>3</v>
      </c>
      <c r="S431" s="14" t="s">
        <v>3</v>
      </c>
      <c r="T431" s="14" t="s">
        <v>3</v>
      </c>
      <c r="U431" s="14" t="s">
        <v>3</v>
      </c>
      <c r="V431" s="14" t="s">
        <v>3</v>
      </c>
      <c r="W431" s="14" t="s">
        <v>3</v>
      </c>
      <c r="X431" s="14" t="s">
        <v>3</v>
      </c>
      <c r="Y431" s="14" t="s">
        <v>3</v>
      </c>
      <c r="Z431" s="14" t="s">
        <v>3</v>
      </c>
      <c r="AA431" s="14" t="s">
        <v>381</v>
      </c>
      <c r="AB431" s="14"/>
      <c r="AC431" s="14"/>
      <c r="AD431" s="14"/>
      <c r="AE431" s="14"/>
      <c r="AF431" s="14"/>
      <c r="AG431" s="14"/>
      <c r="AH431" s="14"/>
      <c r="AI431" s="14"/>
      <c r="AJ431" s="14"/>
      <c r="AK431" s="14"/>
      <c r="AL431" s="14"/>
      <c r="AM431" s="14"/>
      <c r="AN431" s="14">
        <v>57014141</v>
      </c>
      <c r="AO431" s="14"/>
      <c r="AP431" s="14"/>
      <c r="AQ431" s="14"/>
      <c r="AR431" s="14"/>
      <c r="AS431" s="14"/>
      <c r="AT431" s="14"/>
      <c r="AU431" s="14"/>
      <c r="AV431" s="14"/>
      <c r="AW431" s="14"/>
      <c r="AX431" s="14"/>
    </row>
    <row r="432" spans="1:50" x14ac:dyDescent="0.25">
      <c r="A432" s="14">
        <v>1</v>
      </c>
      <c r="B432" s="14" t="s">
        <v>378</v>
      </c>
      <c r="C432" s="14" t="s">
        <v>382</v>
      </c>
      <c r="D432" s="14">
        <v>2026</v>
      </c>
      <c r="E432" s="14">
        <v>1</v>
      </c>
      <c r="F432" s="14">
        <v>1</v>
      </c>
      <c r="G432" s="14">
        <v>1</v>
      </c>
      <c r="H432" s="14">
        <v>0</v>
      </c>
      <c r="I432" s="14">
        <v>2</v>
      </c>
      <c r="J432" s="14">
        <v>1</v>
      </c>
      <c r="K432" s="14">
        <v>9.84</v>
      </c>
      <c r="L432" s="14">
        <v>7.57</v>
      </c>
      <c r="M432" s="14">
        <v>1</v>
      </c>
      <c r="N432" s="14">
        <v>1</v>
      </c>
      <c r="O432" s="14">
        <v>9.84</v>
      </c>
      <c r="P432" s="14">
        <v>7.57</v>
      </c>
      <c r="Q432" s="14">
        <v>1</v>
      </c>
      <c r="R432" s="14" t="s">
        <v>3</v>
      </c>
      <c r="S432" s="14" t="s">
        <v>3</v>
      </c>
      <c r="T432" s="14" t="s">
        <v>3</v>
      </c>
      <c r="U432" s="14" t="s">
        <v>3</v>
      </c>
      <c r="V432" s="14" t="s">
        <v>3</v>
      </c>
      <c r="W432" s="14" t="s">
        <v>3</v>
      </c>
      <c r="X432" s="14" t="s">
        <v>3</v>
      </c>
      <c r="Y432" s="14" t="s">
        <v>3</v>
      </c>
      <c r="Z432" s="14" t="s">
        <v>3</v>
      </c>
      <c r="AA432" s="14" t="s">
        <v>383</v>
      </c>
      <c r="AB432" s="14"/>
      <c r="AC432" s="14"/>
      <c r="AD432" s="14"/>
      <c r="AE432" s="14"/>
      <c r="AF432" s="14"/>
      <c r="AG432" s="14"/>
      <c r="AH432" s="14"/>
      <c r="AI432" s="14"/>
      <c r="AJ432" s="14"/>
      <c r="AK432" s="14"/>
      <c r="AL432" s="14"/>
      <c r="AM432" s="14"/>
      <c r="AN432" s="14">
        <v>57014142</v>
      </c>
      <c r="AO432" s="14"/>
      <c r="AP432" s="14"/>
      <c r="AQ432" s="14"/>
      <c r="AR432" s="14"/>
      <c r="AS432" s="14"/>
      <c r="AT432" s="14"/>
      <c r="AU432" s="14"/>
      <c r="AV432" s="14"/>
      <c r="AW432" s="14"/>
      <c r="AX432" s="14"/>
    </row>
    <row r="436" spans="1:5" x14ac:dyDescent="0.25">
      <c r="A436" s="3">
        <v>65</v>
      </c>
      <c r="C436" s="3">
        <v>1</v>
      </c>
      <c r="D436" s="3">
        <v>0</v>
      </c>
      <c r="E436" s="3">
        <v>245</v>
      </c>
    </row>
  </sheetData>
  <printOptions gridLines="1"/>
  <pageMargins left="0.75" right="0.75" top="1" bottom="1" header="0.5" footer="0.5"/>
  <headerFooter alignWithMargins="0">
    <oddHeader>&amp;A</oddHeader>
    <oddFooter>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C55"/>
  <sheetViews>
    <sheetView workbookViewId="0"/>
  </sheetViews>
  <sheetFormatPr defaultColWidth="9.1796875" defaultRowHeight="12.5" x14ac:dyDescent="0.25"/>
  <cols>
    <col min="1" max="256" width="9.1796875" customWidth="1"/>
  </cols>
  <sheetData>
    <row r="1" spans="1:133" x14ac:dyDescent="0.25">
      <c r="A1">
        <v>0</v>
      </c>
      <c r="B1" t="s">
        <v>0</v>
      </c>
      <c r="D1" t="s">
        <v>384</v>
      </c>
      <c r="F1">
        <v>0</v>
      </c>
      <c r="G1">
        <v>0</v>
      </c>
      <c r="H1">
        <v>0</v>
      </c>
      <c r="I1" t="s">
        <v>2</v>
      </c>
      <c r="J1" t="s">
        <v>3</v>
      </c>
      <c r="K1">
        <v>1</v>
      </c>
      <c r="L1">
        <v>74599</v>
      </c>
      <c r="M1">
        <v>10</v>
      </c>
      <c r="N1">
        <v>12</v>
      </c>
      <c r="O1">
        <v>1</v>
      </c>
      <c r="P1">
        <v>0</v>
      </c>
      <c r="Q1">
        <v>5</v>
      </c>
    </row>
    <row r="4" spans="1:133" ht="13" x14ac:dyDescent="0.3">
      <c r="A4" s="1">
        <v>1</v>
      </c>
      <c r="B4" s="1">
        <v>1</v>
      </c>
      <c r="C4" s="1">
        <v>-1</v>
      </c>
      <c r="D4" s="1"/>
      <c r="E4" s="1"/>
      <c r="F4" s="1"/>
      <c r="G4" s="1" t="s">
        <v>4</v>
      </c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>
        <v>0</v>
      </c>
    </row>
    <row r="5" spans="1:133" ht="13" x14ac:dyDescent="0.3">
      <c r="A5" s="1">
        <v>8</v>
      </c>
      <c r="B5" s="1">
        <v>1</v>
      </c>
      <c r="C5" s="1">
        <v>-1</v>
      </c>
      <c r="D5" s="1"/>
      <c r="E5" s="1"/>
      <c r="F5" s="1"/>
      <c r="G5" s="1" t="s">
        <v>4</v>
      </c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>
        <v>0</v>
      </c>
    </row>
    <row r="12" spans="1:133" ht="13" x14ac:dyDescent="0.3">
      <c r="A12" s="1">
        <v>1</v>
      </c>
      <c r="B12" s="1">
        <v>51</v>
      </c>
      <c r="C12" s="1">
        <v>0</v>
      </c>
      <c r="D12" s="1"/>
      <c r="E12" s="1">
        <v>0</v>
      </c>
      <c r="F12" s="1" t="s">
        <v>5</v>
      </c>
      <c r="G12" s="1" t="s">
        <v>6</v>
      </c>
      <c r="H12" s="1" t="s">
        <v>3</v>
      </c>
      <c r="I12" s="1">
        <v>0</v>
      </c>
      <c r="J12" s="1" t="s">
        <v>7</v>
      </c>
      <c r="K12" s="1">
        <v>0</v>
      </c>
      <c r="L12" s="1">
        <v>0</v>
      </c>
      <c r="M12" s="1">
        <v>4098</v>
      </c>
      <c r="N12" s="1"/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1</v>
      </c>
      <c r="U12" s="1" t="s">
        <v>3</v>
      </c>
      <c r="V12" s="1">
        <v>2</v>
      </c>
      <c r="W12" s="1" t="s">
        <v>3</v>
      </c>
      <c r="X12" s="1" t="s">
        <v>3</v>
      </c>
      <c r="Y12" s="1" t="s">
        <v>3</v>
      </c>
      <c r="Z12" s="1" t="s">
        <v>3</v>
      </c>
      <c r="AA12" s="1" t="s">
        <v>3</v>
      </c>
      <c r="AB12" s="1" t="s">
        <v>8</v>
      </c>
      <c r="AC12" s="1" t="s">
        <v>9</v>
      </c>
      <c r="AD12" s="1" t="s">
        <v>10</v>
      </c>
      <c r="AE12" s="1" t="s">
        <v>11</v>
      </c>
      <c r="AF12" s="1" t="s">
        <v>3</v>
      </c>
      <c r="AG12" s="1" t="s">
        <v>3</v>
      </c>
      <c r="AH12" s="1" t="s">
        <v>3</v>
      </c>
      <c r="AI12" s="1" t="s">
        <v>3</v>
      </c>
      <c r="AJ12" s="1" t="s">
        <v>3</v>
      </c>
      <c r="AK12" s="1"/>
      <c r="AL12" s="1" t="s">
        <v>3</v>
      </c>
      <c r="AM12" s="1" t="s">
        <v>3</v>
      </c>
      <c r="AN12" s="1" t="s">
        <v>3</v>
      </c>
      <c r="AO12" s="1"/>
      <c r="AP12" s="1" t="s">
        <v>3</v>
      </c>
      <c r="AQ12" s="1" t="s">
        <v>3</v>
      </c>
      <c r="AR12" s="1" t="s">
        <v>3</v>
      </c>
      <c r="AS12" s="1"/>
      <c r="AT12" s="1"/>
      <c r="AU12" s="1"/>
      <c r="AV12" s="1"/>
      <c r="AW12" s="1"/>
      <c r="AX12" s="1" t="s">
        <v>3</v>
      </c>
      <c r="AY12" s="1" t="s">
        <v>3</v>
      </c>
      <c r="AZ12" s="1" t="s">
        <v>3</v>
      </c>
      <c r="BA12" s="1"/>
      <c r="BB12" s="1">
        <v>0</v>
      </c>
      <c r="BC12" s="1"/>
      <c r="BD12" s="1"/>
      <c r="BE12" s="1"/>
      <c r="BF12" s="1"/>
      <c r="BG12" s="1"/>
      <c r="BH12" s="1" t="s">
        <v>12</v>
      </c>
      <c r="BI12" s="1" t="s">
        <v>13</v>
      </c>
      <c r="BJ12" s="1">
        <v>1</v>
      </c>
      <c r="BK12" s="1">
        <v>1</v>
      </c>
      <c r="BL12" s="1">
        <v>0</v>
      </c>
      <c r="BM12" s="1">
        <v>0</v>
      </c>
      <c r="BN12" s="1">
        <v>1</v>
      </c>
      <c r="BO12" s="1">
        <v>0</v>
      </c>
      <c r="BP12" s="1">
        <v>6</v>
      </c>
      <c r="BQ12" s="1">
        <v>2</v>
      </c>
      <c r="BR12" s="1">
        <v>1</v>
      </c>
      <c r="BS12" s="1">
        <v>1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 t="s">
        <v>14</v>
      </c>
      <c r="BZ12" s="1" t="s">
        <v>15</v>
      </c>
      <c r="CA12" s="1" t="s">
        <v>16</v>
      </c>
      <c r="CB12" s="1" t="s">
        <v>16</v>
      </c>
      <c r="CC12" s="1" t="s">
        <v>16</v>
      </c>
      <c r="CD12" s="1" t="s">
        <v>16</v>
      </c>
      <c r="CE12" s="1" t="s">
        <v>17</v>
      </c>
      <c r="CF12" s="1">
        <v>0</v>
      </c>
      <c r="CG12" s="1">
        <v>0</v>
      </c>
      <c r="CH12" s="1">
        <v>8200</v>
      </c>
      <c r="CI12" s="1" t="s">
        <v>3</v>
      </c>
      <c r="CJ12" s="1" t="s">
        <v>3</v>
      </c>
      <c r="CK12" s="1">
        <v>82</v>
      </c>
      <c r="CL12" s="1"/>
      <c r="CM12" s="1"/>
      <c r="CN12" s="1"/>
      <c r="CO12" s="1"/>
      <c r="CP12" s="1"/>
      <c r="CQ12" s="1" t="s">
        <v>18</v>
      </c>
      <c r="CR12" s="1" t="s">
        <v>19</v>
      </c>
      <c r="CS12" s="1">
        <v>41660</v>
      </c>
      <c r="CT12" s="1">
        <v>1</v>
      </c>
      <c r="CU12" s="1">
        <v>81</v>
      </c>
      <c r="CV12" s="1"/>
      <c r="CW12" s="1"/>
      <c r="CX12" s="1"/>
      <c r="CY12" s="1">
        <v>0</v>
      </c>
      <c r="CZ12" s="1" t="s">
        <v>3</v>
      </c>
      <c r="DA12" s="1" t="s">
        <v>3</v>
      </c>
      <c r="DB12" s="1"/>
      <c r="DC12" s="1"/>
      <c r="DD12" s="1"/>
      <c r="DE12" s="1"/>
      <c r="DF12" s="1"/>
      <c r="DG12" s="1"/>
      <c r="DH12" s="1"/>
      <c r="DI12" s="1"/>
      <c r="DJ12" s="1"/>
      <c r="DK12" s="1"/>
      <c r="DL12" s="1"/>
      <c r="DM12" s="1"/>
      <c r="DN12" s="1"/>
      <c r="DO12" s="1"/>
      <c r="DP12" s="1"/>
      <c r="DQ12" s="1"/>
      <c r="DR12" s="1"/>
      <c r="DS12" s="1"/>
      <c r="DT12" s="1"/>
      <c r="DU12" s="1"/>
      <c r="DV12" s="1"/>
      <c r="DW12" s="1"/>
      <c r="DX12" s="1"/>
      <c r="DY12" s="1"/>
      <c r="DZ12" s="1"/>
      <c r="EA12" s="1"/>
      <c r="EB12" s="1"/>
      <c r="EC12" s="1">
        <v>0</v>
      </c>
    </row>
    <row r="14" spans="1:133" ht="13" x14ac:dyDescent="0.3">
      <c r="A14" s="1">
        <v>22</v>
      </c>
      <c r="B14" s="1">
        <v>1</v>
      </c>
      <c r="C14" s="1">
        <v>0</v>
      </c>
      <c r="D14" s="1">
        <v>57014138</v>
      </c>
      <c r="E14" s="1">
        <v>57014140</v>
      </c>
      <c r="F14" s="1">
        <v>2</v>
      </c>
      <c r="G14" s="1">
        <v>1</v>
      </c>
      <c r="H14" s="1"/>
      <c r="I14" s="1"/>
      <c r="J14" s="1"/>
      <c r="K14" s="1"/>
      <c r="L14" s="1"/>
      <c r="M14" s="1"/>
      <c r="N14" s="1"/>
      <c r="O14" s="1"/>
    </row>
    <row r="16" spans="1:133" x14ac:dyDescent="0.25">
      <c r="A16" s="7">
        <v>3</v>
      </c>
      <c r="B16" s="7">
        <v>1</v>
      </c>
      <c r="C16" s="7" t="s">
        <v>5</v>
      </c>
      <c r="D16" s="7" t="s">
        <v>20</v>
      </c>
      <c r="E16" s="8">
        <f>ROUND((Source!F376)/1000,2)</f>
        <v>0.88</v>
      </c>
      <c r="F16" s="8">
        <f>ROUND((Source!F377)/1000,2)</f>
        <v>232.84</v>
      </c>
      <c r="G16" s="8">
        <f>ROUND((Source!F368)/1000,2)</f>
        <v>176.51</v>
      </c>
      <c r="H16" s="8">
        <f>ROUND((Source!F378)/1000+(Source!F379)/1000,2)</f>
        <v>0</v>
      </c>
      <c r="I16" s="8">
        <f>E16+F16+G16+H16</f>
        <v>410.23</v>
      </c>
      <c r="J16" s="8">
        <f>ROUND((Source!F374+Source!F373)/1000,2)</f>
        <v>41.68</v>
      </c>
      <c r="K16" s="8">
        <v>662.49</v>
      </c>
      <c r="L16" s="8">
        <v>0</v>
      </c>
      <c r="M16" s="8">
        <v>0</v>
      </c>
      <c r="N16" s="8">
        <f>I16+L16+M16</f>
        <v>410.23</v>
      </c>
      <c r="T16" s="9">
        <f>ROUND((Source!P376)/1000,2)</f>
        <v>12.92</v>
      </c>
      <c r="U16" s="9">
        <f>ROUND((Source!P377)/1000,2)</f>
        <v>7294.27</v>
      </c>
      <c r="V16" s="9">
        <f>ROUND((Source!P368)/1000,2)</f>
        <v>1317.64</v>
      </c>
      <c r="W16" s="9">
        <f>ROUND((Source!P378)/1000+(Source!P379)/1000,2)</f>
        <v>0</v>
      </c>
      <c r="X16" s="9">
        <f>T16+U16+V16+W16</f>
        <v>8624.83</v>
      </c>
      <c r="Y16" s="9">
        <f>ROUND((Source!P374+Source!P373)/1000,2)</f>
        <v>2348.63</v>
      </c>
      <c r="Z16" s="9">
        <v>8385.56</v>
      </c>
      <c r="AA16" s="9">
        <v>0</v>
      </c>
      <c r="AB16" s="9">
        <v>0</v>
      </c>
      <c r="AC16" s="9">
        <f>X16+AA16+AB16</f>
        <v>8624.83</v>
      </c>
      <c r="AI16" s="7">
        <v>2</v>
      </c>
      <c r="AJ16" s="7">
        <v>-1</v>
      </c>
      <c r="AK16" s="7" t="s">
        <v>3</v>
      </c>
      <c r="AL16" s="7" t="s">
        <v>3</v>
      </c>
      <c r="AM16" s="7" t="s">
        <v>3</v>
      </c>
      <c r="AN16" s="7">
        <v>0</v>
      </c>
      <c r="AO16" s="7" t="s">
        <v>3</v>
      </c>
      <c r="AP16" s="7" t="s">
        <v>3</v>
      </c>
      <c r="AT16" s="8">
        <v>352494.46</v>
      </c>
      <c r="AU16" s="8">
        <v>309995.38</v>
      </c>
      <c r="AV16" s="8">
        <v>0</v>
      </c>
      <c r="AW16" s="8">
        <v>176513.96</v>
      </c>
      <c r="AX16" s="8">
        <v>0</v>
      </c>
      <c r="AY16" s="8">
        <v>857.25</v>
      </c>
      <c r="AZ16" s="8">
        <v>37.51</v>
      </c>
      <c r="BA16" s="8">
        <v>41641.83</v>
      </c>
      <c r="BB16" s="8">
        <v>880.07</v>
      </c>
      <c r="BC16" s="8">
        <v>232840.2</v>
      </c>
      <c r="BD16" s="8">
        <v>0</v>
      </c>
      <c r="BE16" s="8">
        <v>0</v>
      </c>
      <c r="BF16" s="8">
        <v>3479.8297069200003</v>
      </c>
      <c r="BG16" s="8">
        <v>0</v>
      </c>
      <c r="BH16" s="8">
        <v>0</v>
      </c>
      <c r="BI16" s="8">
        <v>37982.15</v>
      </c>
      <c r="BJ16" s="8">
        <v>19757.62</v>
      </c>
      <c r="BK16" s="8">
        <v>410234.23</v>
      </c>
      <c r="BR16" s="9">
        <v>5371197.4199999999</v>
      </c>
      <c r="BS16" s="9">
        <v>3014364.79</v>
      </c>
      <c r="BT16" s="9">
        <v>0</v>
      </c>
      <c r="BU16" s="9">
        <v>1317644.1499999999</v>
      </c>
      <c r="BV16" s="9">
        <v>0</v>
      </c>
      <c r="BW16" s="9">
        <v>10315.51</v>
      </c>
      <c r="BX16" s="9">
        <v>2113.6799999999998</v>
      </c>
      <c r="BY16" s="9">
        <v>2346517.12</v>
      </c>
      <c r="BZ16" s="9">
        <v>12919.6</v>
      </c>
      <c r="CA16" s="9">
        <v>7294270.0899999999</v>
      </c>
      <c r="CB16" s="9">
        <v>0</v>
      </c>
      <c r="CC16" s="9">
        <v>0</v>
      </c>
      <c r="CD16" s="9">
        <v>3479.8297069200003</v>
      </c>
      <c r="CE16" s="9">
        <v>0</v>
      </c>
      <c r="CF16" s="9">
        <v>0</v>
      </c>
      <c r="CG16" s="9">
        <v>2140293.7799999998</v>
      </c>
      <c r="CH16" s="9">
        <v>1113342.6399999999</v>
      </c>
      <c r="CI16" s="9">
        <v>8624833.8399999999</v>
      </c>
    </row>
    <row r="18" spans="1:29" x14ac:dyDescent="0.25">
      <c r="A18">
        <v>51</v>
      </c>
      <c r="E18">
        <v>0.88</v>
      </c>
      <c r="F18">
        <v>232.84</v>
      </c>
      <c r="G18">
        <v>176.51</v>
      </c>
      <c r="H18">
        <v>0</v>
      </c>
      <c r="I18">
        <v>410.23</v>
      </c>
      <c r="J18">
        <v>41.68</v>
      </c>
      <c r="K18">
        <v>662.49</v>
      </c>
      <c r="L18">
        <v>0</v>
      </c>
      <c r="M18">
        <v>0</v>
      </c>
      <c r="N18">
        <v>410.23</v>
      </c>
      <c r="T18">
        <v>12.92</v>
      </c>
      <c r="U18">
        <v>7294.27</v>
      </c>
      <c r="V18">
        <v>1317.64</v>
      </c>
      <c r="W18">
        <v>0</v>
      </c>
      <c r="X18">
        <v>8624.83</v>
      </c>
      <c r="Y18">
        <v>2348.63</v>
      </c>
      <c r="Z18">
        <v>8385.56</v>
      </c>
      <c r="AA18">
        <v>0</v>
      </c>
      <c r="AB18">
        <v>0</v>
      </c>
      <c r="AC18">
        <v>8624.83</v>
      </c>
    </row>
    <row r="20" spans="1:29" ht="13" x14ac:dyDescent="0.3">
      <c r="A20" s="5">
        <v>50</v>
      </c>
      <c r="B20" s="5">
        <v>0</v>
      </c>
      <c r="C20" s="5">
        <v>0</v>
      </c>
      <c r="D20" s="5">
        <v>1</v>
      </c>
      <c r="E20" s="5">
        <v>201</v>
      </c>
      <c r="F20" s="5">
        <v>352494.46</v>
      </c>
      <c r="G20" s="5" t="s">
        <v>92</v>
      </c>
      <c r="H20" s="5" t="s">
        <v>93</v>
      </c>
      <c r="I20" s="5"/>
      <c r="J20" s="5"/>
      <c r="K20" s="5">
        <v>201</v>
      </c>
      <c r="L20" s="5">
        <v>1</v>
      </c>
      <c r="M20" s="5">
        <v>3</v>
      </c>
      <c r="N20" s="5" t="s">
        <v>3</v>
      </c>
      <c r="O20" s="5">
        <v>2</v>
      </c>
      <c r="P20" s="5">
        <v>5371197.4199999999</v>
      </c>
    </row>
    <row r="21" spans="1:29" ht="13" x14ac:dyDescent="0.3">
      <c r="A21" s="5">
        <v>50</v>
      </c>
      <c r="B21" s="5">
        <v>0</v>
      </c>
      <c r="C21" s="5">
        <v>0</v>
      </c>
      <c r="D21" s="5">
        <v>1</v>
      </c>
      <c r="E21" s="5">
        <v>202</v>
      </c>
      <c r="F21" s="5">
        <v>309995.38</v>
      </c>
      <c r="G21" s="5" t="s">
        <v>94</v>
      </c>
      <c r="H21" s="5" t="s">
        <v>95</v>
      </c>
      <c r="I21" s="5"/>
      <c r="J21" s="5"/>
      <c r="K21" s="5">
        <v>202</v>
      </c>
      <c r="L21" s="5">
        <v>2</v>
      </c>
      <c r="M21" s="5">
        <v>3</v>
      </c>
      <c r="N21" s="5" t="s">
        <v>3</v>
      </c>
      <c r="O21" s="5">
        <v>2</v>
      </c>
      <c r="P21" s="5">
        <v>3014364.79</v>
      </c>
    </row>
    <row r="22" spans="1:29" ht="13" x14ac:dyDescent="0.3">
      <c r="A22" s="5">
        <v>50</v>
      </c>
      <c r="B22" s="5">
        <v>0</v>
      </c>
      <c r="C22" s="5">
        <v>0</v>
      </c>
      <c r="D22" s="5">
        <v>1</v>
      </c>
      <c r="E22" s="5">
        <v>222</v>
      </c>
      <c r="F22" s="5">
        <v>0</v>
      </c>
      <c r="G22" s="5" t="s">
        <v>96</v>
      </c>
      <c r="H22" s="5" t="s">
        <v>97</v>
      </c>
      <c r="I22" s="5"/>
      <c r="J22" s="5"/>
      <c r="K22" s="5">
        <v>222</v>
      </c>
      <c r="L22" s="5">
        <v>3</v>
      </c>
      <c r="M22" s="5">
        <v>3</v>
      </c>
      <c r="N22" s="5" t="s">
        <v>3</v>
      </c>
      <c r="O22" s="5">
        <v>2</v>
      </c>
      <c r="P22" s="5">
        <v>0</v>
      </c>
    </row>
    <row r="23" spans="1:29" ht="13" x14ac:dyDescent="0.3">
      <c r="A23" s="5">
        <v>50</v>
      </c>
      <c r="B23" s="5">
        <v>0</v>
      </c>
      <c r="C23" s="5">
        <v>0</v>
      </c>
      <c r="D23" s="5">
        <v>1</v>
      </c>
      <c r="E23" s="5">
        <v>225</v>
      </c>
      <c r="F23" s="5">
        <v>309995.38</v>
      </c>
      <c r="G23" s="5" t="s">
        <v>98</v>
      </c>
      <c r="H23" s="5" t="s">
        <v>99</v>
      </c>
      <c r="I23" s="5"/>
      <c r="J23" s="5"/>
      <c r="K23" s="5">
        <v>225</v>
      </c>
      <c r="L23" s="5">
        <v>4</v>
      </c>
      <c r="M23" s="5">
        <v>3</v>
      </c>
      <c r="N23" s="5" t="s">
        <v>3</v>
      </c>
      <c r="O23" s="5">
        <v>2</v>
      </c>
      <c r="P23" s="5">
        <v>3014364.79</v>
      </c>
    </row>
    <row r="24" spans="1:29" ht="13" x14ac:dyDescent="0.3">
      <c r="A24" s="5">
        <v>50</v>
      </c>
      <c r="B24" s="5">
        <v>0</v>
      </c>
      <c r="C24" s="5">
        <v>0</v>
      </c>
      <c r="D24" s="5">
        <v>1</v>
      </c>
      <c r="E24" s="5">
        <v>226</v>
      </c>
      <c r="F24" s="5">
        <v>133481.42000000001</v>
      </c>
      <c r="G24" s="5" t="s">
        <v>100</v>
      </c>
      <c r="H24" s="5" t="s">
        <v>101</v>
      </c>
      <c r="I24" s="5"/>
      <c r="J24" s="5"/>
      <c r="K24" s="5">
        <v>226</v>
      </c>
      <c r="L24" s="5">
        <v>5</v>
      </c>
      <c r="M24" s="5">
        <v>3</v>
      </c>
      <c r="N24" s="5" t="s">
        <v>3</v>
      </c>
      <c r="O24" s="5">
        <v>2</v>
      </c>
      <c r="P24" s="5">
        <v>1696720.64</v>
      </c>
    </row>
    <row r="25" spans="1:29" ht="13" x14ac:dyDescent="0.3">
      <c r="A25" s="5">
        <v>50</v>
      </c>
      <c r="B25" s="5">
        <v>0</v>
      </c>
      <c r="C25" s="5">
        <v>0</v>
      </c>
      <c r="D25" s="5">
        <v>1</v>
      </c>
      <c r="E25" s="5">
        <v>227</v>
      </c>
      <c r="F25" s="5">
        <v>0</v>
      </c>
      <c r="G25" s="5" t="s">
        <v>102</v>
      </c>
      <c r="H25" s="5" t="s">
        <v>103</v>
      </c>
      <c r="I25" s="5"/>
      <c r="J25" s="5"/>
      <c r="K25" s="5">
        <v>227</v>
      </c>
      <c r="L25" s="5">
        <v>6</v>
      </c>
      <c r="M25" s="5">
        <v>3</v>
      </c>
      <c r="N25" s="5" t="s">
        <v>3</v>
      </c>
      <c r="O25" s="5">
        <v>2</v>
      </c>
      <c r="P25" s="5">
        <v>0</v>
      </c>
    </row>
    <row r="26" spans="1:29" ht="13" x14ac:dyDescent="0.3">
      <c r="A26" s="5">
        <v>50</v>
      </c>
      <c r="B26" s="5">
        <v>0</v>
      </c>
      <c r="C26" s="5">
        <v>0</v>
      </c>
      <c r="D26" s="5">
        <v>1</v>
      </c>
      <c r="E26" s="5">
        <v>228</v>
      </c>
      <c r="F26" s="5">
        <v>133481.42000000001</v>
      </c>
      <c r="G26" s="5" t="s">
        <v>104</v>
      </c>
      <c r="H26" s="5" t="s">
        <v>105</v>
      </c>
      <c r="I26" s="5"/>
      <c r="J26" s="5"/>
      <c r="K26" s="5">
        <v>228</v>
      </c>
      <c r="L26" s="5">
        <v>7</v>
      </c>
      <c r="M26" s="5">
        <v>3</v>
      </c>
      <c r="N26" s="5" t="s">
        <v>3</v>
      </c>
      <c r="O26" s="5">
        <v>2</v>
      </c>
      <c r="P26" s="5">
        <v>1696720.64</v>
      </c>
    </row>
    <row r="27" spans="1:29" ht="13" x14ac:dyDescent="0.3">
      <c r="A27" s="5">
        <v>50</v>
      </c>
      <c r="B27" s="5">
        <v>0</v>
      </c>
      <c r="C27" s="5">
        <v>0</v>
      </c>
      <c r="D27" s="5">
        <v>1</v>
      </c>
      <c r="E27" s="5">
        <v>216</v>
      </c>
      <c r="F27" s="5">
        <v>176513.96</v>
      </c>
      <c r="G27" s="5" t="s">
        <v>106</v>
      </c>
      <c r="H27" s="5" t="s">
        <v>107</v>
      </c>
      <c r="I27" s="5"/>
      <c r="J27" s="5"/>
      <c r="K27" s="5">
        <v>216</v>
      </c>
      <c r="L27" s="5">
        <v>8</v>
      </c>
      <c r="M27" s="5">
        <v>3</v>
      </c>
      <c r="N27" s="5" t="s">
        <v>3</v>
      </c>
      <c r="O27" s="5">
        <v>2</v>
      </c>
      <c r="P27" s="5">
        <v>1317644.1499999999</v>
      </c>
    </row>
    <row r="28" spans="1:29" ht="13" x14ac:dyDescent="0.3">
      <c r="A28" s="5">
        <v>50</v>
      </c>
      <c r="B28" s="5">
        <v>0</v>
      </c>
      <c r="C28" s="5">
        <v>0</v>
      </c>
      <c r="D28" s="5">
        <v>1</v>
      </c>
      <c r="E28" s="5">
        <v>223</v>
      </c>
      <c r="F28" s="5">
        <v>0</v>
      </c>
      <c r="G28" s="5" t="s">
        <v>108</v>
      </c>
      <c r="H28" s="5" t="s">
        <v>109</v>
      </c>
      <c r="I28" s="5"/>
      <c r="J28" s="5"/>
      <c r="K28" s="5">
        <v>223</v>
      </c>
      <c r="L28" s="5">
        <v>9</v>
      </c>
      <c r="M28" s="5">
        <v>3</v>
      </c>
      <c r="N28" s="5" t="s">
        <v>3</v>
      </c>
      <c r="O28" s="5">
        <v>2</v>
      </c>
      <c r="P28" s="5">
        <v>0</v>
      </c>
    </row>
    <row r="29" spans="1:29" ht="13" x14ac:dyDescent="0.3">
      <c r="A29" s="5">
        <v>50</v>
      </c>
      <c r="B29" s="5">
        <v>0</v>
      </c>
      <c r="C29" s="5">
        <v>0</v>
      </c>
      <c r="D29" s="5">
        <v>1</v>
      </c>
      <c r="E29" s="5">
        <v>229</v>
      </c>
      <c r="F29" s="5">
        <v>176513.96</v>
      </c>
      <c r="G29" s="5" t="s">
        <v>110</v>
      </c>
      <c r="H29" s="5" t="s">
        <v>111</v>
      </c>
      <c r="I29" s="5"/>
      <c r="J29" s="5"/>
      <c r="K29" s="5">
        <v>229</v>
      </c>
      <c r="L29" s="5">
        <v>10</v>
      </c>
      <c r="M29" s="5">
        <v>3</v>
      </c>
      <c r="N29" s="5" t="s">
        <v>3</v>
      </c>
      <c r="O29" s="5">
        <v>2</v>
      </c>
      <c r="P29" s="5">
        <v>1317644.1499999999</v>
      </c>
    </row>
    <row r="30" spans="1:29" ht="13" x14ac:dyDescent="0.3">
      <c r="A30" s="5">
        <v>50</v>
      </c>
      <c r="B30" s="5">
        <v>0</v>
      </c>
      <c r="C30" s="5">
        <v>0</v>
      </c>
      <c r="D30" s="5">
        <v>1</v>
      </c>
      <c r="E30" s="5">
        <v>203</v>
      </c>
      <c r="F30" s="5">
        <v>857.25</v>
      </c>
      <c r="G30" s="5" t="s">
        <v>112</v>
      </c>
      <c r="H30" s="5" t="s">
        <v>113</v>
      </c>
      <c r="I30" s="5"/>
      <c r="J30" s="5"/>
      <c r="K30" s="5">
        <v>203</v>
      </c>
      <c r="L30" s="5">
        <v>11</v>
      </c>
      <c r="M30" s="5">
        <v>3</v>
      </c>
      <c r="N30" s="5" t="s">
        <v>3</v>
      </c>
      <c r="O30" s="5">
        <v>2</v>
      </c>
      <c r="P30" s="5">
        <v>10315.51</v>
      </c>
    </row>
    <row r="31" spans="1:29" ht="13" x14ac:dyDescent="0.3">
      <c r="A31" s="5">
        <v>50</v>
      </c>
      <c r="B31" s="5">
        <v>0</v>
      </c>
      <c r="C31" s="5">
        <v>0</v>
      </c>
      <c r="D31" s="5">
        <v>1</v>
      </c>
      <c r="E31" s="5">
        <v>231</v>
      </c>
      <c r="F31" s="5">
        <v>0</v>
      </c>
      <c r="G31" s="5" t="s">
        <v>114</v>
      </c>
      <c r="H31" s="5" t="s">
        <v>115</v>
      </c>
      <c r="I31" s="5"/>
      <c r="J31" s="5"/>
      <c r="K31" s="5">
        <v>231</v>
      </c>
      <c r="L31" s="5">
        <v>12</v>
      </c>
      <c r="M31" s="5">
        <v>3</v>
      </c>
      <c r="N31" s="5" t="s">
        <v>3</v>
      </c>
      <c r="O31" s="5">
        <v>2</v>
      </c>
      <c r="P31" s="5">
        <v>0</v>
      </c>
    </row>
    <row r="32" spans="1:29" ht="13" x14ac:dyDescent="0.3">
      <c r="A32" s="5">
        <v>50</v>
      </c>
      <c r="B32" s="5">
        <v>0</v>
      </c>
      <c r="C32" s="5">
        <v>0</v>
      </c>
      <c r="D32" s="5">
        <v>1</v>
      </c>
      <c r="E32" s="5">
        <v>204</v>
      </c>
      <c r="F32" s="5">
        <v>37.51</v>
      </c>
      <c r="G32" s="5" t="s">
        <v>116</v>
      </c>
      <c r="H32" s="5" t="s">
        <v>117</v>
      </c>
      <c r="I32" s="5"/>
      <c r="J32" s="5"/>
      <c r="K32" s="5">
        <v>204</v>
      </c>
      <c r="L32" s="5">
        <v>13</v>
      </c>
      <c r="M32" s="5">
        <v>3</v>
      </c>
      <c r="N32" s="5" t="s">
        <v>3</v>
      </c>
      <c r="O32" s="5">
        <v>2</v>
      </c>
      <c r="P32" s="5">
        <v>2113.6799999999998</v>
      </c>
    </row>
    <row r="33" spans="1:16" ht="13" x14ac:dyDescent="0.3">
      <c r="A33" s="5">
        <v>50</v>
      </c>
      <c r="B33" s="5">
        <v>0</v>
      </c>
      <c r="C33" s="5">
        <v>0</v>
      </c>
      <c r="D33" s="5">
        <v>1</v>
      </c>
      <c r="E33" s="5">
        <v>205</v>
      </c>
      <c r="F33" s="5">
        <v>41641.83</v>
      </c>
      <c r="G33" s="5" t="s">
        <v>118</v>
      </c>
      <c r="H33" s="5" t="s">
        <v>119</v>
      </c>
      <c r="I33" s="5"/>
      <c r="J33" s="5"/>
      <c r="K33" s="5">
        <v>205</v>
      </c>
      <c r="L33" s="5">
        <v>14</v>
      </c>
      <c r="M33" s="5">
        <v>3</v>
      </c>
      <c r="N33" s="5" t="s">
        <v>3</v>
      </c>
      <c r="O33" s="5">
        <v>2</v>
      </c>
      <c r="P33" s="5">
        <v>2346517.12</v>
      </c>
    </row>
    <row r="34" spans="1:16" ht="13" x14ac:dyDescent="0.3">
      <c r="A34" s="5">
        <v>50</v>
      </c>
      <c r="B34" s="5">
        <v>0</v>
      </c>
      <c r="C34" s="5">
        <v>0</v>
      </c>
      <c r="D34" s="5">
        <v>1</v>
      </c>
      <c r="E34" s="5">
        <v>232</v>
      </c>
      <c r="F34" s="5">
        <v>0</v>
      </c>
      <c r="G34" s="5" t="s">
        <v>120</v>
      </c>
      <c r="H34" s="5" t="s">
        <v>121</v>
      </c>
      <c r="I34" s="5"/>
      <c r="J34" s="5"/>
      <c r="K34" s="5">
        <v>232</v>
      </c>
      <c r="L34" s="5">
        <v>15</v>
      </c>
      <c r="M34" s="5">
        <v>3</v>
      </c>
      <c r="N34" s="5" t="s">
        <v>3</v>
      </c>
      <c r="O34" s="5">
        <v>2</v>
      </c>
      <c r="P34" s="5">
        <v>0</v>
      </c>
    </row>
    <row r="35" spans="1:16" ht="13" x14ac:dyDescent="0.3">
      <c r="A35" s="5">
        <v>50</v>
      </c>
      <c r="B35" s="5">
        <v>0</v>
      </c>
      <c r="C35" s="5">
        <v>0</v>
      </c>
      <c r="D35" s="5">
        <v>1</v>
      </c>
      <c r="E35" s="5">
        <v>214</v>
      </c>
      <c r="F35" s="5">
        <v>880.07</v>
      </c>
      <c r="G35" s="5" t="s">
        <v>122</v>
      </c>
      <c r="H35" s="5" t="s">
        <v>123</v>
      </c>
      <c r="I35" s="5"/>
      <c r="J35" s="5"/>
      <c r="K35" s="5">
        <v>214</v>
      </c>
      <c r="L35" s="5">
        <v>16</v>
      </c>
      <c r="M35" s="5">
        <v>3</v>
      </c>
      <c r="N35" s="5" t="s">
        <v>3</v>
      </c>
      <c r="O35" s="5">
        <v>2</v>
      </c>
      <c r="P35" s="5">
        <v>12919.6</v>
      </c>
    </row>
    <row r="36" spans="1:16" ht="13" x14ac:dyDescent="0.3">
      <c r="A36" s="5">
        <v>50</v>
      </c>
      <c r="B36" s="5">
        <v>0</v>
      </c>
      <c r="C36" s="5">
        <v>0</v>
      </c>
      <c r="D36" s="5">
        <v>1</v>
      </c>
      <c r="E36" s="5">
        <v>215</v>
      </c>
      <c r="F36" s="5">
        <v>232840.2</v>
      </c>
      <c r="G36" s="5" t="s">
        <v>124</v>
      </c>
      <c r="H36" s="5" t="s">
        <v>125</v>
      </c>
      <c r="I36" s="5"/>
      <c r="J36" s="5"/>
      <c r="K36" s="5">
        <v>215</v>
      </c>
      <c r="L36" s="5">
        <v>17</v>
      </c>
      <c r="M36" s="5">
        <v>3</v>
      </c>
      <c r="N36" s="5" t="s">
        <v>3</v>
      </c>
      <c r="O36" s="5">
        <v>2</v>
      </c>
      <c r="P36" s="5">
        <v>7294270.0899999999</v>
      </c>
    </row>
    <row r="37" spans="1:16" ht="13" x14ac:dyDescent="0.3">
      <c r="A37" s="5">
        <v>50</v>
      </c>
      <c r="B37" s="5">
        <v>0</v>
      </c>
      <c r="C37" s="5">
        <v>0</v>
      </c>
      <c r="D37" s="5">
        <v>1</v>
      </c>
      <c r="E37" s="5">
        <v>217</v>
      </c>
      <c r="F37" s="5">
        <v>0</v>
      </c>
      <c r="G37" s="5" t="s">
        <v>126</v>
      </c>
      <c r="H37" s="5" t="s">
        <v>127</v>
      </c>
      <c r="I37" s="5"/>
      <c r="J37" s="5"/>
      <c r="K37" s="5">
        <v>217</v>
      </c>
      <c r="L37" s="5">
        <v>18</v>
      </c>
      <c r="M37" s="5">
        <v>3</v>
      </c>
      <c r="N37" s="5" t="s">
        <v>3</v>
      </c>
      <c r="O37" s="5">
        <v>2</v>
      </c>
      <c r="P37" s="5">
        <v>0</v>
      </c>
    </row>
    <row r="38" spans="1:16" ht="13" x14ac:dyDescent="0.3">
      <c r="A38" s="5">
        <v>50</v>
      </c>
      <c r="B38" s="5">
        <v>0</v>
      </c>
      <c r="C38" s="5">
        <v>0</v>
      </c>
      <c r="D38" s="5">
        <v>1</v>
      </c>
      <c r="E38" s="5">
        <v>230</v>
      </c>
      <c r="F38" s="5">
        <v>0</v>
      </c>
      <c r="G38" s="5" t="s">
        <v>128</v>
      </c>
      <c r="H38" s="5" t="s">
        <v>129</v>
      </c>
      <c r="I38" s="5"/>
      <c r="J38" s="5"/>
      <c r="K38" s="5">
        <v>230</v>
      </c>
      <c r="L38" s="5">
        <v>19</v>
      </c>
      <c r="M38" s="5">
        <v>3</v>
      </c>
      <c r="N38" s="5" t="s">
        <v>3</v>
      </c>
      <c r="O38" s="5">
        <v>2</v>
      </c>
      <c r="P38" s="5">
        <v>0</v>
      </c>
    </row>
    <row r="39" spans="1:16" ht="13" x14ac:dyDescent="0.3">
      <c r="A39" s="5">
        <v>50</v>
      </c>
      <c r="B39" s="5">
        <v>0</v>
      </c>
      <c r="C39" s="5">
        <v>0</v>
      </c>
      <c r="D39" s="5">
        <v>1</v>
      </c>
      <c r="E39" s="5">
        <v>206</v>
      </c>
      <c r="F39" s="5">
        <v>0</v>
      </c>
      <c r="G39" s="5" t="s">
        <v>130</v>
      </c>
      <c r="H39" s="5" t="s">
        <v>131</v>
      </c>
      <c r="I39" s="5"/>
      <c r="J39" s="5"/>
      <c r="K39" s="5">
        <v>206</v>
      </c>
      <c r="L39" s="5">
        <v>20</v>
      </c>
      <c r="M39" s="5">
        <v>3</v>
      </c>
      <c r="N39" s="5" t="s">
        <v>3</v>
      </c>
      <c r="O39" s="5">
        <v>2</v>
      </c>
      <c r="P39" s="5">
        <v>0</v>
      </c>
    </row>
    <row r="40" spans="1:16" ht="13" x14ac:dyDescent="0.3">
      <c r="A40" s="5">
        <v>50</v>
      </c>
      <c r="B40" s="5">
        <v>0</v>
      </c>
      <c r="C40" s="5">
        <v>0</v>
      </c>
      <c r="D40" s="5">
        <v>1</v>
      </c>
      <c r="E40" s="5">
        <v>207</v>
      </c>
      <c r="F40" s="5">
        <v>3479.8297069200003</v>
      </c>
      <c r="G40" s="5" t="s">
        <v>132</v>
      </c>
      <c r="H40" s="5" t="s">
        <v>133</v>
      </c>
      <c r="I40" s="5"/>
      <c r="J40" s="5"/>
      <c r="K40" s="5">
        <v>207</v>
      </c>
      <c r="L40" s="5">
        <v>21</v>
      </c>
      <c r="M40" s="5">
        <v>3</v>
      </c>
      <c r="N40" s="5" t="s">
        <v>3</v>
      </c>
      <c r="O40" s="5">
        <v>-1</v>
      </c>
      <c r="P40" s="5">
        <v>3479.8297069200003</v>
      </c>
    </row>
    <row r="41" spans="1:16" ht="13" x14ac:dyDescent="0.3">
      <c r="A41" s="5">
        <v>50</v>
      </c>
      <c r="B41" s="5">
        <v>0</v>
      </c>
      <c r="C41" s="5">
        <v>0</v>
      </c>
      <c r="D41" s="5">
        <v>1</v>
      </c>
      <c r="E41" s="5">
        <v>208</v>
      </c>
      <c r="F41" s="5">
        <v>0</v>
      </c>
      <c r="G41" s="5" t="s">
        <v>134</v>
      </c>
      <c r="H41" s="5" t="s">
        <v>135</v>
      </c>
      <c r="I41" s="5"/>
      <c r="J41" s="5"/>
      <c r="K41" s="5">
        <v>208</v>
      </c>
      <c r="L41" s="5">
        <v>22</v>
      </c>
      <c r="M41" s="5">
        <v>3</v>
      </c>
      <c r="N41" s="5" t="s">
        <v>3</v>
      </c>
      <c r="O41" s="5">
        <v>-1</v>
      </c>
      <c r="P41" s="5">
        <v>0</v>
      </c>
    </row>
    <row r="42" spans="1:16" ht="13" x14ac:dyDescent="0.3">
      <c r="A42" s="5">
        <v>50</v>
      </c>
      <c r="B42" s="5">
        <v>0</v>
      </c>
      <c r="C42" s="5">
        <v>0</v>
      </c>
      <c r="D42" s="5">
        <v>1</v>
      </c>
      <c r="E42" s="5">
        <v>209</v>
      </c>
      <c r="F42" s="5">
        <v>0</v>
      </c>
      <c r="G42" s="5" t="s">
        <v>136</v>
      </c>
      <c r="H42" s="5" t="s">
        <v>137</v>
      </c>
      <c r="I42" s="5"/>
      <c r="J42" s="5"/>
      <c r="K42" s="5">
        <v>209</v>
      </c>
      <c r="L42" s="5">
        <v>23</v>
      </c>
      <c r="M42" s="5">
        <v>3</v>
      </c>
      <c r="N42" s="5" t="s">
        <v>3</v>
      </c>
      <c r="O42" s="5">
        <v>2</v>
      </c>
      <c r="P42" s="5">
        <v>0</v>
      </c>
    </row>
    <row r="43" spans="1:16" ht="13" x14ac:dyDescent="0.3">
      <c r="A43" s="5">
        <v>50</v>
      </c>
      <c r="B43" s="5">
        <v>0</v>
      </c>
      <c r="C43" s="5">
        <v>0</v>
      </c>
      <c r="D43" s="5">
        <v>1</v>
      </c>
      <c r="E43" s="5">
        <v>233</v>
      </c>
      <c r="F43" s="5">
        <v>0</v>
      </c>
      <c r="G43" s="5" t="s">
        <v>138</v>
      </c>
      <c r="H43" s="5" t="s">
        <v>139</v>
      </c>
      <c r="I43" s="5"/>
      <c r="J43" s="5"/>
      <c r="K43" s="5">
        <v>233</v>
      </c>
      <c r="L43" s="5">
        <v>24</v>
      </c>
      <c r="M43" s="5">
        <v>3</v>
      </c>
      <c r="N43" s="5" t="s">
        <v>3</v>
      </c>
      <c r="O43" s="5">
        <v>2</v>
      </c>
      <c r="P43" s="5">
        <v>0</v>
      </c>
    </row>
    <row r="44" spans="1:16" ht="13" x14ac:dyDescent="0.3">
      <c r="A44" s="5">
        <v>50</v>
      </c>
      <c r="B44" s="5">
        <v>0</v>
      </c>
      <c r="C44" s="5">
        <v>0</v>
      </c>
      <c r="D44" s="5">
        <v>1</v>
      </c>
      <c r="E44" s="5">
        <v>210</v>
      </c>
      <c r="F44" s="5">
        <v>37982.15</v>
      </c>
      <c r="G44" s="5" t="s">
        <v>140</v>
      </c>
      <c r="H44" s="5" t="s">
        <v>141</v>
      </c>
      <c r="I44" s="5"/>
      <c r="J44" s="5"/>
      <c r="K44" s="5">
        <v>210</v>
      </c>
      <c r="L44" s="5">
        <v>25</v>
      </c>
      <c r="M44" s="5">
        <v>3</v>
      </c>
      <c r="N44" s="5" t="s">
        <v>3</v>
      </c>
      <c r="O44" s="5">
        <v>2</v>
      </c>
      <c r="P44" s="5">
        <v>2140293.7799999998</v>
      </c>
    </row>
    <row r="45" spans="1:16" ht="13" x14ac:dyDescent="0.3">
      <c r="A45" s="5">
        <v>50</v>
      </c>
      <c r="B45" s="5">
        <v>0</v>
      </c>
      <c r="C45" s="5">
        <v>0</v>
      </c>
      <c r="D45" s="5">
        <v>1</v>
      </c>
      <c r="E45" s="5">
        <v>211</v>
      </c>
      <c r="F45" s="5">
        <v>19757.62</v>
      </c>
      <c r="G45" s="5" t="s">
        <v>142</v>
      </c>
      <c r="H45" s="5" t="s">
        <v>143</v>
      </c>
      <c r="I45" s="5"/>
      <c r="J45" s="5"/>
      <c r="K45" s="5">
        <v>211</v>
      </c>
      <c r="L45" s="5">
        <v>26</v>
      </c>
      <c r="M45" s="5">
        <v>3</v>
      </c>
      <c r="N45" s="5" t="s">
        <v>3</v>
      </c>
      <c r="O45" s="5">
        <v>2</v>
      </c>
      <c r="P45" s="5">
        <v>1113342.6399999999</v>
      </c>
    </row>
    <row r="46" spans="1:16" ht="13" x14ac:dyDescent="0.3">
      <c r="A46" s="5">
        <v>50</v>
      </c>
      <c r="B46" s="5">
        <v>0</v>
      </c>
      <c r="C46" s="5">
        <v>0</v>
      </c>
      <c r="D46" s="5">
        <v>1</v>
      </c>
      <c r="E46" s="5">
        <v>224</v>
      </c>
      <c r="F46" s="5">
        <v>410234.23</v>
      </c>
      <c r="G46" s="5" t="s">
        <v>144</v>
      </c>
      <c r="H46" s="5" t="s">
        <v>145</v>
      </c>
      <c r="I46" s="5"/>
      <c r="J46" s="5"/>
      <c r="K46" s="5">
        <v>224</v>
      </c>
      <c r="L46" s="5">
        <v>27</v>
      </c>
      <c r="M46" s="5">
        <v>3</v>
      </c>
      <c r="N46" s="5" t="s">
        <v>3</v>
      </c>
      <c r="O46" s="5">
        <v>2</v>
      </c>
      <c r="P46" s="5">
        <v>8624833.8399999999</v>
      </c>
    </row>
    <row r="48" spans="1:16" x14ac:dyDescent="0.25">
      <c r="A48">
        <v>-1</v>
      </c>
    </row>
    <row r="51" spans="1:50" ht="13" x14ac:dyDescent="0.3">
      <c r="A51" s="4">
        <v>75</v>
      </c>
      <c r="B51" s="4" t="s">
        <v>377</v>
      </c>
      <c r="C51" s="4">
        <v>2000</v>
      </c>
      <c r="D51" s="4">
        <v>0</v>
      </c>
      <c r="E51" s="4">
        <v>1</v>
      </c>
      <c r="F51" s="4">
        <v>0</v>
      </c>
      <c r="G51" s="4">
        <v>0</v>
      </c>
      <c r="H51" s="4">
        <v>1</v>
      </c>
      <c r="I51" s="4">
        <v>1</v>
      </c>
      <c r="J51" s="4">
        <v>3</v>
      </c>
      <c r="K51" s="4">
        <v>0</v>
      </c>
      <c r="L51" s="4">
        <v>0</v>
      </c>
      <c r="M51" s="4">
        <v>0</v>
      </c>
      <c r="N51" s="4">
        <v>57014138</v>
      </c>
      <c r="O51" s="4">
        <v>1</v>
      </c>
    </row>
    <row r="52" spans="1:50" x14ac:dyDescent="0.25">
      <c r="A52" s="6">
        <v>1</v>
      </c>
      <c r="B52" s="6" t="s">
        <v>378</v>
      </c>
      <c r="C52" s="6" t="s">
        <v>379</v>
      </c>
      <c r="D52" s="6">
        <v>2000</v>
      </c>
      <c r="E52" s="6">
        <v>1</v>
      </c>
      <c r="F52" s="6">
        <v>1</v>
      </c>
      <c r="G52" s="6">
        <v>1</v>
      </c>
      <c r="H52" s="6">
        <v>0</v>
      </c>
      <c r="I52" s="6">
        <v>2</v>
      </c>
      <c r="J52" s="6">
        <v>1</v>
      </c>
      <c r="K52" s="6">
        <v>1</v>
      </c>
      <c r="L52" s="6">
        <v>1</v>
      </c>
      <c r="M52" s="6">
        <v>1</v>
      </c>
      <c r="N52" s="6">
        <v>1</v>
      </c>
      <c r="O52" s="6">
        <v>1</v>
      </c>
      <c r="P52" s="6">
        <v>1</v>
      </c>
      <c r="Q52" s="6">
        <v>1</v>
      </c>
      <c r="R52" s="6" t="s">
        <v>3</v>
      </c>
      <c r="S52" s="6" t="s">
        <v>3</v>
      </c>
      <c r="T52" s="6" t="s">
        <v>3</v>
      </c>
      <c r="U52" s="6" t="s">
        <v>3</v>
      </c>
      <c r="V52" s="6" t="s">
        <v>3</v>
      </c>
      <c r="W52" s="6" t="s">
        <v>3</v>
      </c>
      <c r="X52" s="6" t="s">
        <v>3</v>
      </c>
      <c r="Y52" s="6" t="s">
        <v>3</v>
      </c>
      <c r="Z52" s="6" t="s">
        <v>3</v>
      </c>
      <c r="AA52" s="6" t="s">
        <v>162</v>
      </c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>
        <v>57014139</v>
      </c>
      <c r="AO52" s="6"/>
      <c r="AP52" s="6"/>
      <c r="AQ52" s="6"/>
      <c r="AR52" s="6"/>
      <c r="AS52" s="6"/>
      <c r="AT52" s="6"/>
      <c r="AU52" s="6"/>
      <c r="AV52" s="6"/>
      <c r="AW52" s="6"/>
      <c r="AX52" s="6"/>
    </row>
    <row r="53" spans="1:50" ht="13" x14ac:dyDescent="0.3">
      <c r="A53" s="4">
        <v>75</v>
      </c>
      <c r="B53" s="4" t="s">
        <v>380</v>
      </c>
      <c r="C53" s="4">
        <v>2026</v>
      </c>
      <c r="D53" s="4">
        <v>1</v>
      </c>
      <c r="E53" s="4">
        <v>0</v>
      </c>
      <c r="F53" s="4"/>
      <c r="G53" s="4">
        <v>0</v>
      </c>
      <c r="H53" s="4">
        <v>1</v>
      </c>
      <c r="I53" s="4">
        <v>1</v>
      </c>
      <c r="J53" s="4">
        <v>1</v>
      </c>
      <c r="K53" s="4">
        <v>0</v>
      </c>
      <c r="L53" s="4">
        <v>0</v>
      </c>
      <c r="M53" s="4">
        <v>1</v>
      </c>
      <c r="N53" s="4">
        <v>57014140</v>
      </c>
      <c r="O53" s="4">
        <v>2</v>
      </c>
    </row>
    <row r="54" spans="1:50" x14ac:dyDescent="0.25">
      <c r="A54" s="6">
        <v>1</v>
      </c>
      <c r="B54" s="6" t="s">
        <v>378</v>
      </c>
      <c r="C54" s="6" t="s">
        <v>379</v>
      </c>
      <c r="D54" s="6">
        <v>2026</v>
      </c>
      <c r="E54" s="6">
        <v>1</v>
      </c>
      <c r="F54" s="6">
        <v>1</v>
      </c>
      <c r="G54" s="6">
        <v>1</v>
      </c>
      <c r="H54" s="6">
        <v>0</v>
      </c>
      <c r="I54" s="6">
        <v>2</v>
      </c>
      <c r="J54" s="6">
        <v>1</v>
      </c>
      <c r="K54" s="6">
        <v>9.84</v>
      </c>
      <c r="L54" s="6">
        <v>7.57</v>
      </c>
      <c r="M54" s="6">
        <v>1</v>
      </c>
      <c r="N54" s="6">
        <v>1</v>
      </c>
      <c r="O54" s="6">
        <v>9.84</v>
      </c>
      <c r="P54" s="6">
        <v>7.57</v>
      </c>
      <c r="Q54" s="6">
        <v>1</v>
      </c>
      <c r="R54" s="6" t="s">
        <v>3</v>
      </c>
      <c r="S54" s="6" t="s">
        <v>3</v>
      </c>
      <c r="T54" s="6" t="s">
        <v>3</v>
      </c>
      <c r="U54" s="6" t="s">
        <v>3</v>
      </c>
      <c r="V54" s="6" t="s">
        <v>3</v>
      </c>
      <c r="W54" s="6" t="s">
        <v>3</v>
      </c>
      <c r="X54" s="6" t="s">
        <v>3</v>
      </c>
      <c r="Y54" s="6" t="s">
        <v>3</v>
      </c>
      <c r="Z54" s="6" t="s">
        <v>3</v>
      </c>
      <c r="AA54" s="6" t="s">
        <v>381</v>
      </c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>
        <v>57014141</v>
      </c>
      <c r="AO54" s="6"/>
      <c r="AP54" s="6"/>
      <c r="AQ54" s="6"/>
      <c r="AR54" s="6"/>
      <c r="AS54" s="6"/>
      <c r="AT54" s="6"/>
      <c r="AU54" s="6"/>
      <c r="AV54" s="6"/>
      <c r="AW54" s="6"/>
      <c r="AX54" s="6"/>
    </row>
    <row r="55" spans="1:50" x14ac:dyDescent="0.25">
      <c r="A55" s="6">
        <v>1</v>
      </c>
      <c r="B55" s="6" t="s">
        <v>378</v>
      </c>
      <c r="C55" s="6" t="s">
        <v>382</v>
      </c>
      <c r="D55" s="6">
        <v>2026</v>
      </c>
      <c r="E55" s="6">
        <v>1</v>
      </c>
      <c r="F55" s="6">
        <v>1</v>
      </c>
      <c r="G55" s="6">
        <v>1</v>
      </c>
      <c r="H55" s="6">
        <v>0</v>
      </c>
      <c r="I55" s="6">
        <v>2</v>
      </c>
      <c r="J55" s="6">
        <v>1</v>
      </c>
      <c r="K55" s="6">
        <v>9.84</v>
      </c>
      <c r="L55" s="6">
        <v>7.57</v>
      </c>
      <c r="M55" s="6">
        <v>1</v>
      </c>
      <c r="N55" s="6">
        <v>1</v>
      </c>
      <c r="O55" s="6">
        <v>9.84</v>
      </c>
      <c r="P55" s="6">
        <v>7.57</v>
      </c>
      <c r="Q55" s="6">
        <v>1</v>
      </c>
      <c r="R55" s="6" t="s">
        <v>3</v>
      </c>
      <c r="S55" s="6" t="s">
        <v>3</v>
      </c>
      <c r="T55" s="6" t="s">
        <v>3</v>
      </c>
      <c r="U55" s="6" t="s">
        <v>3</v>
      </c>
      <c r="V55" s="6" t="s">
        <v>3</v>
      </c>
      <c r="W55" s="6" t="s">
        <v>3</v>
      </c>
      <c r="X55" s="6" t="s">
        <v>3</v>
      </c>
      <c r="Y55" s="6" t="s">
        <v>3</v>
      </c>
      <c r="Z55" s="6" t="s">
        <v>3</v>
      </c>
      <c r="AA55" s="6" t="s">
        <v>383</v>
      </c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>
        <v>57014142</v>
      </c>
      <c r="AO55" s="6"/>
      <c r="AP55" s="6"/>
      <c r="AQ55" s="6"/>
      <c r="AR55" s="6"/>
      <c r="AS55" s="6"/>
      <c r="AT55" s="6"/>
      <c r="AU55" s="6"/>
      <c r="AV55" s="6"/>
      <c r="AW55" s="6"/>
      <c r="AX55" s="6"/>
    </row>
  </sheetData>
  <printOptions gridLines="1"/>
  <pageMargins left="0.75" right="0.75" top="1" bottom="1" header="0.5" footer="0.5"/>
  <headerFooter alignWithMargins="0">
    <oddHeader>&amp;A</oddHeader>
    <oddFooter>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O244"/>
  <sheetViews>
    <sheetView workbookViewId="0"/>
  </sheetViews>
  <sheetFormatPr defaultColWidth="9.1796875" defaultRowHeight="12.5" x14ac:dyDescent="0.25"/>
  <cols>
    <col min="1" max="256" width="9.1796875" customWidth="1"/>
  </cols>
  <sheetData>
    <row r="1" spans="1:119" x14ac:dyDescent="0.25">
      <c r="A1">
        <f>ROW(Source!A28)</f>
        <v>28</v>
      </c>
      <c r="B1">
        <v>57014138</v>
      </c>
      <c r="C1">
        <v>57014816</v>
      </c>
      <c r="D1">
        <v>55424304</v>
      </c>
      <c r="E1">
        <v>1081</v>
      </c>
      <c r="F1">
        <v>1</v>
      </c>
      <c r="G1">
        <v>1081</v>
      </c>
      <c r="H1">
        <v>1</v>
      </c>
      <c r="I1" t="s">
        <v>385</v>
      </c>
      <c r="J1" t="s">
        <v>3</v>
      </c>
      <c r="K1" t="s">
        <v>386</v>
      </c>
      <c r="L1">
        <v>1191</v>
      </c>
      <c r="N1">
        <v>1013</v>
      </c>
      <c r="O1" t="s">
        <v>387</v>
      </c>
      <c r="P1" t="s">
        <v>387</v>
      </c>
      <c r="Q1">
        <v>1</v>
      </c>
      <c r="W1">
        <v>0</v>
      </c>
      <c r="X1">
        <v>476480486</v>
      </c>
      <c r="Y1">
        <f>((AT1*1.2)*0.3)</f>
        <v>4.823999999999999</v>
      </c>
      <c r="AA1">
        <v>0</v>
      </c>
      <c r="AB1">
        <v>0</v>
      </c>
      <c r="AC1">
        <v>0</v>
      </c>
      <c r="AD1">
        <v>0</v>
      </c>
      <c r="AE1">
        <v>0</v>
      </c>
      <c r="AF1">
        <v>0</v>
      </c>
      <c r="AG1">
        <v>0</v>
      </c>
      <c r="AH1">
        <v>0</v>
      </c>
      <c r="AI1">
        <v>1</v>
      </c>
      <c r="AJ1">
        <v>1</v>
      </c>
      <c r="AK1">
        <v>1</v>
      </c>
      <c r="AL1">
        <v>1</v>
      </c>
      <c r="AM1">
        <v>-2</v>
      </c>
      <c r="AN1">
        <v>0</v>
      </c>
      <c r="AO1">
        <v>1</v>
      </c>
      <c r="AP1">
        <v>1</v>
      </c>
      <c r="AQ1">
        <v>0</v>
      </c>
      <c r="AR1">
        <v>0</v>
      </c>
      <c r="AS1" t="s">
        <v>3</v>
      </c>
      <c r="AT1">
        <v>13.4</v>
      </c>
      <c r="AU1" t="s">
        <v>30</v>
      </c>
      <c r="AV1">
        <v>1</v>
      </c>
      <c r="AW1">
        <v>2</v>
      </c>
      <c r="AX1">
        <v>57014822</v>
      </c>
      <c r="AY1">
        <v>1</v>
      </c>
      <c r="AZ1">
        <v>0</v>
      </c>
      <c r="BA1">
        <v>1</v>
      </c>
      <c r="BB1">
        <v>0</v>
      </c>
      <c r="BC1">
        <v>0</v>
      </c>
      <c r="BD1">
        <v>0</v>
      </c>
      <c r="BE1">
        <v>0</v>
      </c>
      <c r="BF1">
        <v>0</v>
      </c>
      <c r="BG1">
        <v>0</v>
      </c>
      <c r="BH1">
        <v>0</v>
      </c>
      <c r="BI1">
        <v>0</v>
      </c>
      <c r="BJ1">
        <v>0</v>
      </c>
      <c r="BK1">
        <v>0</v>
      </c>
      <c r="BL1">
        <v>0</v>
      </c>
      <c r="BM1">
        <v>0</v>
      </c>
      <c r="BN1">
        <v>0</v>
      </c>
      <c r="BO1">
        <v>0</v>
      </c>
      <c r="BP1">
        <v>0</v>
      </c>
      <c r="BQ1">
        <v>0</v>
      </c>
      <c r="BR1">
        <v>0</v>
      </c>
      <c r="BS1">
        <v>0</v>
      </c>
      <c r="BT1">
        <v>0</v>
      </c>
      <c r="BU1">
        <v>0</v>
      </c>
      <c r="BV1">
        <v>0</v>
      </c>
      <c r="BW1">
        <v>0</v>
      </c>
      <c r="CU1">
        <f>ROUND(AT1*Source!I28*AH1*AL1,2)</f>
        <v>0</v>
      </c>
      <c r="CV1">
        <f>ROUND(Y1*Source!I28,9)</f>
        <v>4.8239999999999998</v>
      </c>
      <c r="CW1">
        <v>0</v>
      </c>
      <c r="CX1">
        <f>ROUND(Y1*Source!I28,9)</f>
        <v>4.8239999999999998</v>
      </c>
      <c r="CY1">
        <f>AD1</f>
        <v>0</v>
      </c>
      <c r="CZ1">
        <f>AH1</f>
        <v>0</v>
      </c>
      <c r="DA1">
        <f>AL1</f>
        <v>1</v>
      </c>
      <c r="DB1">
        <f>ROUND(((ROUND(AT1*CZ1,2)*1.2)*0.3),6)</f>
        <v>0</v>
      </c>
      <c r="DC1">
        <f>ROUND(((ROUND(AT1*AG1,2)*1.2)*0.3),6)</f>
        <v>0</v>
      </c>
      <c r="DD1" t="s">
        <v>3</v>
      </c>
      <c r="DE1" t="s">
        <v>3</v>
      </c>
      <c r="DF1">
        <f t="shared" ref="DF1:DF8" si="0">ROUND(ROUND(AE1,2)*CX1,2)</f>
        <v>0</v>
      </c>
      <c r="DG1">
        <f t="shared" ref="DG1:DG6" si="1">ROUND(ROUND(AF1,2)*CX1,2)</f>
        <v>0</v>
      </c>
      <c r="DH1">
        <f t="shared" ref="DH1:DH6" si="2">ROUND(ROUND(AG1,2)*CX1,2)</f>
        <v>0</v>
      </c>
      <c r="DI1">
        <f t="shared" ref="DI1:DI64" si="3">ROUND(ROUND(AH1,2)*CX1,2)</f>
        <v>0</v>
      </c>
      <c r="DJ1">
        <f>DI1</f>
        <v>0</v>
      </c>
      <c r="DK1">
        <v>0</v>
      </c>
      <c r="DL1" t="s">
        <v>3</v>
      </c>
      <c r="DM1">
        <v>0</v>
      </c>
      <c r="DN1" t="s">
        <v>3</v>
      </c>
      <c r="DO1">
        <v>0</v>
      </c>
    </row>
    <row r="2" spans="1:119" x14ac:dyDescent="0.25">
      <c r="A2">
        <f>ROW(Source!A28)</f>
        <v>28</v>
      </c>
      <c r="B2">
        <v>57014138</v>
      </c>
      <c r="C2">
        <v>57014816</v>
      </c>
      <c r="D2">
        <v>55489513</v>
      </c>
      <c r="E2">
        <v>1</v>
      </c>
      <c r="F2">
        <v>1</v>
      </c>
      <c r="G2">
        <v>1081</v>
      </c>
      <c r="H2">
        <v>2</v>
      </c>
      <c r="I2" t="s">
        <v>388</v>
      </c>
      <c r="J2" t="s">
        <v>389</v>
      </c>
      <c r="K2" t="s">
        <v>390</v>
      </c>
      <c r="L2">
        <v>1368</v>
      </c>
      <c r="N2">
        <v>1011</v>
      </c>
      <c r="O2" t="s">
        <v>391</v>
      </c>
      <c r="P2" t="s">
        <v>391</v>
      </c>
      <c r="Q2">
        <v>1</v>
      </c>
      <c r="W2">
        <v>0</v>
      </c>
      <c r="X2">
        <v>-1520980008</v>
      </c>
      <c r="Y2">
        <f>((AT2*1.2)*0.3)</f>
        <v>0.19439999999999999</v>
      </c>
      <c r="AA2">
        <v>0</v>
      </c>
      <c r="AB2">
        <v>120.23</v>
      </c>
      <c r="AC2">
        <v>13.21</v>
      </c>
      <c r="AD2">
        <v>0</v>
      </c>
      <c r="AE2">
        <v>0</v>
      </c>
      <c r="AF2">
        <v>114.83</v>
      </c>
      <c r="AG2">
        <v>12.62</v>
      </c>
      <c r="AH2">
        <v>0</v>
      </c>
      <c r="AI2">
        <v>1</v>
      </c>
      <c r="AJ2">
        <v>1</v>
      </c>
      <c r="AK2">
        <v>1</v>
      </c>
      <c r="AL2">
        <v>1</v>
      </c>
      <c r="AM2">
        <v>-2</v>
      </c>
      <c r="AN2">
        <v>0</v>
      </c>
      <c r="AO2">
        <v>1</v>
      </c>
      <c r="AP2">
        <v>1</v>
      </c>
      <c r="AQ2">
        <v>0</v>
      </c>
      <c r="AR2">
        <v>0</v>
      </c>
      <c r="AS2" t="s">
        <v>3</v>
      </c>
      <c r="AT2">
        <v>0.54</v>
      </c>
      <c r="AU2" t="s">
        <v>30</v>
      </c>
      <c r="AV2">
        <v>0</v>
      </c>
      <c r="AW2">
        <v>2</v>
      </c>
      <c r="AX2">
        <v>57014823</v>
      </c>
      <c r="AY2">
        <v>1</v>
      </c>
      <c r="AZ2">
        <v>0</v>
      </c>
      <c r="BA2">
        <v>2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CV2">
        <v>0</v>
      </c>
      <c r="CW2">
        <f>ROUND(Y2*Source!I28*DO2,9)</f>
        <v>2.453328</v>
      </c>
      <c r="CX2">
        <f>ROUND(Y2*Source!I28,9)</f>
        <v>0.19439999999999999</v>
      </c>
      <c r="CY2">
        <f>AB2</f>
        <v>120.23</v>
      </c>
      <c r="CZ2">
        <f>AF2</f>
        <v>114.83</v>
      </c>
      <c r="DA2">
        <f>AJ2</f>
        <v>1</v>
      </c>
      <c r="DB2">
        <f>ROUND(((ROUND(AT2*CZ2,2)*1.2)*0.3),6)</f>
        <v>22.323599999999999</v>
      </c>
      <c r="DC2">
        <f>ROUND(((ROUND(AT2*AG2,2)*1.2)*0.3),6)</f>
        <v>2.4516</v>
      </c>
      <c r="DD2" t="s">
        <v>3</v>
      </c>
      <c r="DE2" t="s">
        <v>3</v>
      </c>
      <c r="DF2">
        <f t="shared" si="0"/>
        <v>0</v>
      </c>
      <c r="DG2">
        <f t="shared" si="1"/>
        <v>22.32</v>
      </c>
      <c r="DH2">
        <f t="shared" si="2"/>
        <v>2.4500000000000002</v>
      </c>
      <c r="DI2">
        <f t="shared" si="3"/>
        <v>0</v>
      </c>
      <c r="DJ2">
        <f>DG2</f>
        <v>22.32</v>
      </c>
      <c r="DK2">
        <v>0</v>
      </c>
      <c r="DL2" t="s">
        <v>392</v>
      </c>
      <c r="DM2">
        <v>0</v>
      </c>
      <c r="DN2" t="s">
        <v>387</v>
      </c>
      <c r="DO2">
        <v>12.62</v>
      </c>
    </row>
    <row r="3" spans="1:119" x14ac:dyDescent="0.25">
      <c r="A3">
        <f>ROW(Source!A28)</f>
        <v>28</v>
      </c>
      <c r="B3">
        <v>57014138</v>
      </c>
      <c r="C3">
        <v>57014816</v>
      </c>
      <c r="D3">
        <v>55489525</v>
      </c>
      <c r="E3">
        <v>1</v>
      </c>
      <c r="F3">
        <v>1</v>
      </c>
      <c r="G3">
        <v>1081</v>
      </c>
      <c r="H3">
        <v>2</v>
      </c>
      <c r="I3" t="s">
        <v>393</v>
      </c>
      <c r="J3" t="s">
        <v>394</v>
      </c>
      <c r="K3" t="s">
        <v>395</v>
      </c>
      <c r="L3">
        <v>1368</v>
      </c>
      <c r="N3">
        <v>1011</v>
      </c>
      <c r="O3" t="s">
        <v>391</v>
      </c>
      <c r="P3" t="s">
        <v>391</v>
      </c>
      <c r="Q3">
        <v>1</v>
      </c>
      <c r="W3">
        <v>0</v>
      </c>
      <c r="X3">
        <v>444068027</v>
      </c>
      <c r="Y3">
        <f>((AT3*1.2)*0.3)</f>
        <v>0.57599999999999996</v>
      </c>
      <c r="AA3">
        <v>0</v>
      </c>
      <c r="AB3">
        <v>0.81</v>
      </c>
      <c r="AC3">
        <v>0</v>
      </c>
      <c r="AD3">
        <v>0</v>
      </c>
      <c r="AE3">
        <v>0</v>
      </c>
      <c r="AF3">
        <v>0.77</v>
      </c>
      <c r="AG3">
        <v>0</v>
      </c>
      <c r="AH3">
        <v>0</v>
      </c>
      <c r="AI3">
        <v>1</v>
      </c>
      <c r="AJ3">
        <v>1</v>
      </c>
      <c r="AK3">
        <v>1</v>
      </c>
      <c r="AL3">
        <v>1</v>
      </c>
      <c r="AM3">
        <v>-2</v>
      </c>
      <c r="AN3">
        <v>0</v>
      </c>
      <c r="AO3">
        <v>1</v>
      </c>
      <c r="AP3">
        <v>1</v>
      </c>
      <c r="AQ3">
        <v>0</v>
      </c>
      <c r="AR3">
        <v>0</v>
      </c>
      <c r="AS3" t="s">
        <v>3</v>
      </c>
      <c r="AT3">
        <v>1.6</v>
      </c>
      <c r="AU3" t="s">
        <v>30</v>
      </c>
      <c r="AV3">
        <v>0</v>
      </c>
      <c r="AW3">
        <v>2</v>
      </c>
      <c r="AX3">
        <v>57014824</v>
      </c>
      <c r="AY3">
        <v>1</v>
      </c>
      <c r="AZ3">
        <v>0</v>
      </c>
      <c r="BA3">
        <v>3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CV3">
        <v>0</v>
      </c>
      <c r="CW3">
        <f>ROUND(Y3*Source!I28*DO3,9)</f>
        <v>0</v>
      </c>
      <c r="CX3">
        <f>ROUND(Y3*Source!I28,9)</f>
        <v>0.57599999999999996</v>
      </c>
      <c r="CY3">
        <f>AB3</f>
        <v>0.81</v>
      </c>
      <c r="CZ3">
        <f>AF3</f>
        <v>0.77</v>
      </c>
      <c r="DA3">
        <f>AJ3</f>
        <v>1</v>
      </c>
      <c r="DB3">
        <f>ROUND(((ROUND(AT3*CZ3,2)*1.2)*0.3),6)</f>
        <v>0.44280000000000003</v>
      </c>
      <c r="DC3">
        <f>ROUND(((ROUND(AT3*AG3,2)*1.2)*0.3),6)</f>
        <v>0</v>
      </c>
      <c r="DD3" t="s">
        <v>3</v>
      </c>
      <c r="DE3" t="s">
        <v>3</v>
      </c>
      <c r="DF3">
        <f t="shared" si="0"/>
        <v>0</v>
      </c>
      <c r="DG3">
        <f t="shared" si="1"/>
        <v>0.44</v>
      </c>
      <c r="DH3">
        <f t="shared" si="2"/>
        <v>0</v>
      </c>
      <c r="DI3">
        <f t="shared" si="3"/>
        <v>0</v>
      </c>
      <c r="DJ3">
        <f>DG3</f>
        <v>0.44</v>
      </c>
      <c r="DK3">
        <v>0</v>
      </c>
      <c r="DL3" t="s">
        <v>3</v>
      </c>
      <c r="DM3">
        <v>0</v>
      </c>
      <c r="DN3" t="s">
        <v>3</v>
      </c>
      <c r="DO3">
        <v>0</v>
      </c>
    </row>
    <row r="4" spans="1:119" x14ac:dyDescent="0.25">
      <c r="A4">
        <f>ROW(Source!A28)</f>
        <v>28</v>
      </c>
      <c r="B4">
        <v>57014138</v>
      </c>
      <c r="C4">
        <v>57014816</v>
      </c>
      <c r="D4">
        <v>55459457</v>
      </c>
      <c r="E4">
        <v>1</v>
      </c>
      <c r="F4">
        <v>1</v>
      </c>
      <c r="G4">
        <v>1081</v>
      </c>
      <c r="H4">
        <v>3</v>
      </c>
      <c r="I4" t="s">
        <v>396</v>
      </c>
      <c r="J4" t="s">
        <v>397</v>
      </c>
      <c r="K4" t="s">
        <v>398</v>
      </c>
      <c r="L4">
        <v>1346</v>
      </c>
      <c r="N4">
        <v>1009</v>
      </c>
      <c r="O4" t="s">
        <v>365</v>
      </c>
      <c r="P4" t="s">
        <v>365</v>
      </c>
      <c r="Q4">
        <v>1</v>
      </c>
      <c r="W4">
        <v>0</v>
      </c>
      <c r="X4">
        <v>1482706673</v>
      </c>
      <c r="Y4">
        <f>((AT4*1)*0)</f>
        <v>0</v>
      </c>
      <c r="AA4">
        <v>23.87</v>
      </c>
      <c r="AB4">
        <v>0</v>
      </c>
      <c r="AC4">
        <v>0</v>
      </c>
      <c r="AD4">
        <v>0</v>
      </c>
      <c r="AE4">
        <v>23.87</v>
      </c>
      <c r="AF4">
        <v>0</v>
      </c>
      <c r="AG4">
        <v>0</v>
      </c>
      <c r="AH4">
        <v>0</v>
      </c>
      <c r="AI4">
        <v>1</v>
      </c>
      <c r="AJ4">
        <v>1</v>
      </c>
      <c r="AK4">
        <v>1</v>
      </c>
      <c r="AL4">
        <v>1</v>
      </c>
      <c r="AM4">
        <v>-2</v>
      </c>
      <c r="AN4">
        <v>0</v>
      </c>
      <c r="AO4">
        <v>1</v>
      </c>
      <c r="AP4">
        <v>1</v>
      </c>
      <c r="AQ4">
        <v>0</v>
      </c>
      <c r="AR4">
        <v>0</v>
      </c>
      <c r="AS4" t="s">
        <v>3</v>
      </c>
      <c r="AT4">
        <v>2.5000000000000001E-2</v>
      </c>
      <c r="AU4" t="s">
        <v>29</v>
      </c>
      <c r="AV4">
        <v>0</v>
      </c>
      <c r="AW4">
        <v>2</v>
      </c>
      <c r="AX4">
        <v>57014825</v>
      </c>
      <c r="AY4">
        <v>1</v>
      </c>
      <c r="AZ4">
        <v>0</v>
      </c>
      <c r="BA4">
        <v>4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CV4">
        <v>0</v>
      </c>
      <c r="CW4">
        <v>0</v>
      </c>
      <c r="CX4">
        <f>ROUND(Y4*Source!I28,9)</f>
        <v>0</v>
      </c>
      <c r="CY4">
        <f>AA4</f>
        <v>23.87</v>
      </c>
      <c r="CZ4">
        <f>AE4</f>
        <v>23.87</v>
      </c>
      <c r="DA4">
        <f>AI4</f>
        <v>1</v>
      </c>
      <c r="DB4">
        <f>ROUND(((ROUND(AT4*CZ4,2)*1)*0),6)</f>
        <v>0</v>
      </c>
      <c r="DC4">
        <f>ROUND(((ROUND(AT4*AG4,2)*1)*0),6)</f>
        <v>0</v>
      </c>
      <c r="DD4" t="s">
        <v>3</v>
      </c>
      <c r="DE4" t="s">
        <v>3</v>
      </c>
      <c r="DF4">
        <f t="shared" si="0"/>
        <v>0</v>
      </c>
      <c r="DG4">
        <f t="shared" si="1"/>
        <v>0</v>
      </c>
      <c r="DH4">
        <f t="shared" si="2"/>
        <v>0</v>
      </c>
      <c r="DI4">
        <f t="shared" si="3"/>
        <v>0</v>
      </c>
      <c r="DJ4">
        <f>DF4</f>
        <v>0</v>
      </c>
      <c r="DK4">
        <v>0</v>
      </c>
      <c r="DL4" t="s">
        <v>3</v>
      </c>
      <c r="DM4">
        <v>0</v>
      </c>
      <c r="DN4" t="s">
        <v>3</v>
      </c>
      <c r="DO4">
        <v>0</v>
      </c>
    </row>
    <row r="5" spans="1:119" x14ac:dyDescent="0.25">
      <c r="A5">
        <f>ROW(Source!A28)</f>
        <v>28</v>
      </c>
      <c r="B5">
        <v>57014138</v>
      </c>
      <c r="C5">
        <v>57014816</v>
      </c>
      <c r="D5">
        <v>55459641</v>
      </c>
      <c r="E5">
        <v>1</v>
      </c>
      <c r="F5">
        <v>1</v>
      </c>
      <c r="G5">
        <v>1081</v>
      </c>
      <c r="H5">
        <v>3</v>
      </c>
      <c r="I5" t="s">
        <v>399</v>
      </c>
      <c r="J5" t="s">
        <v>400</v>
      </c>
      <c r="K5" t="s">
        <v>401</v>
      </c>
      <c r="L5">
        <v>1327</v>
      </c>
      <c r="N5">
        <v>1005</v>
      </c>
      <c r="O5" t="s">
        <v>402</v>
      </c>
      <c r="P5" t="s">
        <v>402</v>
      </c>
      <c r="Q5">
        <v>1</v>
      </c>
      <c r="W5">
        <v>0</v>
      </c>
      <c r="X5">
        <v>-71062307</v>
      </c>
      <c r="Y5">
        <f>((AT5*1)*0)</f>
        <v>0</v>
      </c>
      <c r="AA5">
        <v>7.39</v>
      </c>
      <c r="AB5">
        <v>0</v>
      </c>
      <c r="AC5">
        <v>0</v>
      </c>
      <c r="AD5">
        <v>0</v>
      </c>
      <c r="AE5">
        <v>7.39</v>
      </c>
      <c r="AF5">
        <v>0</v>
      </c>
      <c r="AG5">
        <v>0</v>
      </c>
      <c r="AH5">
        <v>0</v>
      </c>
      <c r="AI5">
        <v>1</v>
      </c>
      <c r="AJ5">
        <v>1</v>
      </c>
      <c r="AK5">
        <v>1</v>
      </c>
      <c r="AL5">
        <v>1</v>
      </c>
      <c r="AM5">
        <v>-2</v>
      </c>
      <c r="AN5">
        <v>0</v>
      </c>
      <c r="AO5">
        <v>1</v>
      </c>
      <c r="AP5">
        <v>1</v>
      </c>
      <c r="AQ5">
        <v>0</v>
      </c>
      <c r="AR5">
        <v>0</v>
      </c>
      <c r="AS5" t="s">
        <v>3</v>
      </c>
      <c r="AT5">
        <v>0.45</v>
      </c>
      <c r="AU5" t="s">
        <v>29</v>
      </c>
      <c r="AV5">
        <v>0</v>
      </c>
      <c r="AW5">
        <v>2</v>
      </c>
      <c r="AX5">
        <v>57014826</v>
      </c>
      <c r="AY5">
        <v>1</v>
      </c>
      <c r="AZ5">
        <v>0</v>
      </c>
      <c r="BA5">
        <v>5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CV5">
        <v>0</v>
      </c>
      <c r="CW5">
        <v>0</v>
      </c>
      <c r="CX5">
        <f>ROUND(Y5*Source!I28,9)</f>
        <v>0</v>
      </c>
      <c r="CY5">
        <f>AA5</f>
        <v>7.39</v>
      </c>
      <c r="CZ5">
        <f>AE5</f>
        <v>7.39</v>
      </c>
      <c r="DA5">
        <f>AI5</f>
        <v>1</v>
      </c>
      <c r="DB5">
        <f>ROUND(((ROUND(AT5*CZ5,2)*1)*0),6)</f>
        <v>0</v>
      </c>
      <c r="DC5">
        <f>ROUND(((ROUND(AT5*AG5,2)*1)*0),6)</f>
        <v>0</v>
      </c>
      <c r="DD5" t="s">
        <v>3</v>
      </c>
      <c r="DE5" t="s">
        <v>3</v>
      </c>
      <c r="DF5">
        <f t="shared" si="0"/>
        <v>0</v>
      </c>
      <c r="DG5">
        <f t="shared" si="1"/>
        <v>0</v>
      </c>
      <c r="DH5">
        <f t="shared" si="2"/>
        <v>0</v>
      </c>
      <c r="DI5">
        <f t="shared" si="3"/>
        <v>0</v>
      </c>
      <c r="DJ5">
        <f>DF5</f>
        <v>0</v>
      </c>
      <c r="DK5">
        <v>0</v>
      </c>
      <c r="DL5" t="s">
        <v>3</v>
      </c>
      <c r="DM5">
        <v>0</v>
      </c>
      <c r="DN5" t="s">
        <v>3</v>
      </c>
      <c r="DO5">
        <v>0</v>
      </c>
    </row>
    <row r="6" spans="1:119" x14ac:dyDescent="0.25">
      <c r="A6">
        <f>ROW(Source!A29)</f>
        <v>29</v>
      </c>
      <c r="B6">
        <v>57014140</v>
      </c>
      <c r="C6">
        <v>57014816</v>
      </c>
      <c r="D6">
        <v>55424304</v>
      </c>
      <c r="E6">
        <v>1081</v>
      </c>
      <c r="F6">
        <v>1</v>
      </c>
      <c r="G6">
        <v>1081</v>
      </c>
      <c r="H6">
        <v>1</v>
      </c>
      <c r="I6" t="s">
        <v>385</v>
      </c>
      <c r="J6" t="s">
        <v>3</v>
      </c>
      <c r="K6" t="s">
        <v>386</v>
      </c>
      <c r="L6">
        <v>1191</v>
      </c>
      <c r="N6">
        <v>1013</v>
      </c>
      <c r="O6" t="s">
        <v>387</v>
      </c>
      <c r="P6" t="s">
        <v>387</v>
      </c>
      <c r="Q6">
        <v>1</v>
      </c>
      <c r="W6">
        <v>0</v>
      </c>
      <c r="X6">
        <v>476480486</v>
      </c>
      <c r="Y6">
        <f>((AT6*1.2)*0.3)</f>
        <v>4.823999999999999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1</v>
      </c>
      <c r="AJ6">
        <v>1</v>
      </c>
      <c r="AK6">
        <v>1</v>
      </c>
      <c r="AL6">
        <v>1</v>
      </c>
      <c r="AM6">
        <v>5</v>
      </c>
      <c r="AN6">
        <v>0</v>
      </c>
      <c r="AO6">
        <v>1</v>
      </c>
      <c r="AP6">
        <v>1</v>
      </c>
      <c r="AQ6">
        <v>0</v>
      </c>
      <c r="AR6">
        <v>0</v>
      </c>
      <c r="AS6" t="s">
        <v>3</v>
      </c>
      <c r="AT6">
        <v>13.4</v>
      </c>
      <c r="AU6" t="s">
        <v>30</v>
      </c>
      <c r="AV6">
        <v>1</v>
      </c>
      <c r="AW6">
        <v>2</v>
      </c>
      <c r="AX6">
        <v>57014822</v>
      </c>
      <c r="AY6">
        <v>1</v>
      </c>
      <c r="AZ6">
        <v>0</v>
      </c>
      <c r="BA6">
        <v>7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CU6">
        <f>ROUND(AT6*Source!I29*AH6*AL6,2)</f>
        <v>0</v>
      </c>
      <c r="CV6">
        <f>ROUND(Y6*Source!I29,9)</f>
        <v>4.8239999999999998</v>
      </c>
      <c r="CW6">
        <v>0</v>
      </c>
      <c r="CX6">
        <f>ROUND(Y6*Source!I29,9)</f>
        <v>4.8239999999999998</v>
      </c>
      <c r="CY6">
        <f>AD6</f>
        <v>0</v>
      </c>
      <c r="CZ6">
        <f>AH6</f>
        <v>0</v>
      </c>
      <c r="DA6">
        <f>AL6</f>
        <v>1</v>
      </c>
      <c r="DB6">
        <f>ROUND(((ROUND(AT6*CZ6,2)*1.2)*0.3),6)</f>
        <v>0</v>
      </c>
      <c r="DC6">
        <f>ROUND(((ROUND(AT6*AG6,2)*1.2)*0.3),6)</f>
        <v>0</v>
      </c>
      <c r="DD6" t="s">
        <v>3</v>
      </c>
      <c r="DE6" t="s">
        <v>3</v>
      </c>
      <c r="DF6">
        <f t="shared" si="0"/>
        <v>0</v>
      </c>
      <c r="DG6">
        <f t="shared" si="1"/>
        <v>0</v>
      </c>
      <c r="DH6">
        <f t="shared" si="2"/>
        <v>0</v>
      </c>
      <c r="DI6">
        <f t="shared" si="3"/>
        <v>0</v>
      </c>
      <c r="DJ6">
        <f>DI6</f>
        <v>0</v>
      </c>
      <c r="DK6">
        <v>0</v>
      </c>
      <c r="DL6" t="s">
        <v>3</v>
      </c>
      <c r="DM6">
        <v>0</v>
      </c>
      <c r="DN6" t="s">
        <v>3</v>
      </c>
      <c r="DO6">
        <v>0</v>
      </c>
    </row>
    <row r="7" spans="1:119" x14ac:dyDescent="0.25">
      <c r="A7">
        <f>ROW(Source!A29)</f>
        <v>29</v>
      </c>
      <c r="B7">
        <v>57014140</v>
      </c>
      <c r="C7">
        <v>57014816</v>
      </c>
      <c r="D7">
        <v>55489513</v>
      </c>
      <c r="E7">
        <v>1</v>
      </c>
      <c r="F7">
        <v>1</v>
      </c>
      <c r="G7">
        <v>1081</v>
      </c>
      <c r="H7">
        <v>2</v>
      </c>
      <c r="I7" t="s">
        <v>388</v>
      </c>
      <c r="J7" t="s">
        <v>389</v>
      </c>
      <c r="K7" t="s">
        <v>390</v>
      </c>
      <c r="L7">
        <v>1368</v>
      </c>
      <c r="N7">
        <v>1011</v>
      </c>
      <c r="O7" t="s">
        <v>391</v>
      </c>
      <c r="P7" t="s">
        <v>391</v>
      </c>
      <c r="Q7">
        <v>1</v>
      </c>
      <c r="W7">
        <v>0</v>
      </c>
      <c r="X7">
        <v>-1520980008</v>
      </c>
      <c r="Y7">
        <f>((AT7*1.2)*0.3)</f>
        <v>0.19439999999999999</v>
      </c>
      <c r="AA7">
        <v>0</v>
      </c>
      <c r="AB7">
        <v>1942.87</v>
      </c>
      <c r="AC7">
        <v>744.56</v>
      </c>
      <c r="AD7">
        <v>0</v>
      </c>
      <c r="AE7">
        <v>0</v>
      </c>
      <c r="AF7">
        <v>114.83</v>
      </c>
      <c r="AG7">
        <v>12.62</v>
      </c>
      <c r="AH7">
        <v>0</v>
      </c>
      <c r="AI7">
        <v>1</v>
      </c>
      <c r="AJ7">
        <v>16.16</v>
      </c>
      <c r="AK7">
        <v>56.35</v>
      </c>
      <c r="AL7">
        <v>1</v>
      </c>
      <c r="AM7">
        <v>2</v>
      </c>
      <c r="AN7">
        <v>0</v>
      </c>
      <c r="AO7">
        <v>1</v>
      </c>
      <c r="AP7">
        <v>1</v>
      </c>
      <c r="AQ7">
        <v>0</v>
      </c>
      <c r="AR7">
        <v>0</v>
      </c>
      <c r="AS7" t="s">
        <v>3</v>
      </c>
      <c r="AT7">
        <v>0.54</v>
      </c>
      <c r="AU7" t="s">
        <v>30</v>
      </c>
      <c r="AV7">
        <v>0</v>
      </c>
      <c r="AW7">
        <v>2</v>
      </c>
      <c r="AX7">
        <v>57014823</v>
      </c>
      <c r="AY7">
        <v>1</v>
      </c>
      <c r="AZ7">
        <v>0</v>
      </c>
      <c r="BA7">
        <v>8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CV7">
        <v>0</v>
      </c>
      <c r="CW7">
        <f>ROUND(Y7*Source!I29*DO7,9)</f>
        <v>2.453328</v>
      </c>
      <c r="CX7">
        <f>ROUND(Y7*Source!I29,9)</f>
        <v>0.19439999999999999</v>
      </c>
      <c r="CY7">
        <f>AB7</f>
        <v>1942.87</v>
      </c>
      <c r="CZ7">
        <f>AF7</f>
        <v>114.83</v>
      </c>
      <c r="DA7">
        <f>AJ7</f>
        <v>16.16</v>
      </c>
      <c r="DB7">
        <f>ROUND(((ROUND(AT7*CZ7,2)*1.2)*0.3),6)</f>
        <v>22.323599999999999</v>
      </c>
      <c r="DC7">
        <f>ROUND(((ROUND(AT7*AG7,2)*1.2)*0.3),6)</f>
        <v>2.4516</v>
      </c>
      <c r="DD7" t="s">
        <v>3</v>
      </c>
      <c r="DE7" t="s">
        <v>3</v>
      </c>
      <c r="DF7">
        <f t="shared" si="0"/>
        <v>0</v>
      </c>
      <c r="DG7">
        <f>ROUND(ROUND(AF7*AJ7,2)*CX7,2)</f>
        <v>360.74</v>
      </c>
      <c r="DH7">
        <f>ROUND(ROUND(AG7*AK7,2)*CX7,2)</f>
        <v>138.25</v>
      </c>
      <c r="DI7">
        <f t="shared" si="3"/>
        <v>0</v>
      </c>
      <c r="DJ7">
        <f>DG7</f>
        <v>360.74</v>
      </c>
      <c r="DK7">
        <v>0</v>
      </c>
      <c r="DL7" t="s">
        <v>392</v>
      </c>
      <c r="DM7">
        <v>0</v>
      </c>
      <c r="DN7" t="s">
        <v>387</v>
      </c>
      <c r="DO7">
        <v>12.62</v>
      </c>
    </row>
    <row r="8" spans="1:119" x14ac:dyDescent="0.25">
      <c r="A8">
        <f>ROW(Source!A29)</f>
        <v>29</v>
      </c>
      <c r="B8">
        <v>57014140</v>
      </c>
      <c r="C8">
        <v>57014816</v>
      </c>
      <c r="D8">
        <v>55489525</v>
      </c>
      <c r="E8">
        <v>1</v>
      </c>
      <c r="F8">
        <v>1</v>
      </c>
      <c r="G8">
        <v>1081</v>
      </c>
      <c r="H8">
        <v>2</v>
      </c>
      <c r="I8" t="s">
        <v>393</v>
      </c>
      <c r="J8" t="s">
        <v>394</v>
      </c>
      <c r="K8" t="s">
        <v>395</v>
      </c>
      <c r="L8">
        <v>1368</v>
      </c>
      <c r="N8">
        <v>1011</v>
      </c>
      <c r="O8" t="s">
        <v>391</v>
      </c>
      <c r="P8" t="s">
        <v>391</v>
      </c>
      <c r="Q8">
        <v>1</v>
      </c>
      <c r="W8">
        <v>0</v>
      </c>
      <c r="X8">
        <v>444068027</v>
      </c>
      <c r="Y8">
        <f>((AT8*1.2)*0.3)</f>
        <v>0.57599999999999996</v>
      </c>
      <c r="AA8">
        <v>0</v>
      </c>
      <c r="AB8">
        <v>7.96</v>
      </c>
      <c r="AC8">
        <v>0</v>
      </c>
      <c r="AD8">
        <v>0</v>
      </c>
      <c r="AE8">
        <v>0</v>
      </c>
      <c r="AF8">
        <v>0.77</v>
      </c>
      <c r="AG8">
        <v>0</v>
      </c>
      <c r="AH8">
        <v>0</v>
      </c>
      <c r="AI8">
        <v>1</v>
      </c>
      <c r="AJ8">
        <v>9.8699999999999992</v>
      </c>
      <c r="AK8">
        <v>1</v>
      </c>
      <c r="AL8">
        <v>1</v>
      </c>
      <c r="AM8">
        <v>2</v>
      </c>
      <c r="AN8">
        <v>0</v>
      </c>
      <c r="AO8">
        <v>1</v>
      </c>
      <c r="AP8">
        <v>1</v>
      </c>
      <c r="AQ8">
        <v>0</v>
      </c>
      <c r="AR8">
        <v>0</v>
      </c>
      <c r="AS8" t="s">
        <v>3</v>
      </c>
      <c r="AT8">
        <v>1.6</v>
      </c>
      <c r="AU8" t="s">
        <v>30</v>
      </c>
      <c r="AV8">
        <v>0</v>
      </c>
      <c r="AW8">
        <v>2</v>
      </c>
      <c r="AX8">
        <v>57014824</v>
      </c>
      <c r="AY8">
        <v>1</v>
      </c>
      <c r="AZ8">
        <v>0</v>
      </c>
      <c r="BA8">
        <v>9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CV8">
        <v>0</v>
      </c>
      <c r="CW8">
        <f>ROUND(Y8*Source!I29*DO8,9)</f>
        <v>0</v>
      </c>
      <c r="CX8">
        <f>ROUND(Y8*Source!I29,9)</f>
        <v>0.57599999999999996</v>
      </c>
      <c r="CY8">
        <f>AB8</f>
        <v>7.96</v>
      </c>
      <c r="CZ8">
        <f>AF8</f>
        <v>0.77</v>
      </c>
      <c r="DA8">
        <f>AJ8</f>
        <v>9.8699999999999992</v>
      </c>
      <c r="DB8">
        <f>ROUND(((ROUND(AT8*CZ8,2)*1.2)*0.3),6)</f>
        <v>0.44280000000000003</v>
      </c>
      <c r="DC8">
        <f>ROUND(((ROUND(AT8*AG8,2)*1.2)*0.3),6)</f>
        <v>0</v>
      </c>
      <c r="DD8" t="s">
        <v>3</v>
      </c>
      <c r="DE8" t="s">
        <v>3</v>
      </c>
      <c r="DF8">
        <f t="shared" si="0"/>
        <v>0</v>
      </c>
      <c r="DG8">
        <f>ROUND(ROUND(AF8*AJ8,2)*CX8,2)</f>
        <v>4.38</v>
      </c>
      <c r="DH8">
        <f t="shared" ref="DH8:DH23" si="4">ROUND(ROUND(AG8,2)*CX8,2)</f>
        <v>0</v>
      </c>
      <c r="DI8">
        <f t="shared" si="3"/>
        <v>0</v>
      </c>
      <c r="DJ8">
        <f>DG8</f>
        <v>4.38</v>
      </c>
      <c r="DK8">
        <v>0</v>
      </c>
      <c r="DL8" t="s">
        <v>3</v>
      </c>
      <c r="DM8">
        <v>0</v>
      </c>
      <c r="DN8" t="s">
        <v>3</v>
      </c>
      <c r="DO8">
        <v>0</v>
      </c>
    </row>
    <row r="9" spans="1:119" x14ac:dyDescent="0.25">
      <c r="A9">
        <f>ROW(Source!A29)</f>
        <v>29</v>
      </c>
      <c r="B9">
        <v>57014140</v>
      </c>
      <c r="C9">
        <v>57014816</v>
      </c>
      <c r="D9">
        <v>55459457</v>
      </c>
      <c r="E9">
        <v>1</v>
      </c>
      <c r="F9">
        <v>1</v>
      </c>
      <c r="G9">
        <v>1081</v>
      </c>
      <c r="H9">
        <v>3</v>
      </c>
      <c r="I9" t="s">
        <v>396</v>
      </c>
      <c r="J9" t="s">
        <v>397</v>
      </c>
      <c r="K9" t="s">
        <v>398</v>
      </c>
      <c r="L9">
        <v>1346</v>
      </c>
      <c r="N9">
        <v>1009</v>
      </c>
      <c r="O9" t="s">
        <v>365</v>
      </c>
      <c r="P9" t="s">
        <v>365</v>
      </c>
      <c r="Q9">
        <v>1</v>
      </c>
      <c r="W9">
        <v>0</v>
      </c>
      <c r="X9">
        <v>1482706673</v>
      </c>
      <c r="Y9">
        <f>((AT9*1)*0)</f>
        <v>0</v>
      </c>
      <c r="AA9">
        <v>164.23</v>
      </c>
      <c r="AB9">
        <v>0</v>
      </c>
      <c r="AC9">
        <v>0</v>
      </c>
      <c r="AD9">
        <v>0</v>
      </c>
      <c r="AE9">
        <v>23.87</v>
      </c>
      <c r="AF9">
        <v>0</v>
      </c>
      <c r="AG9">
        <v>0</v>
      </c>
      <c r="AH9">
        <v>0</v>
      </c>
      <c r="AI9">
        <v>6.88</v>
      </c>
      <c r="AJ9">
        <v>1</v>
      </c>
      <c r="AK9">
        <v>1</v>
      </c>
      <c r="AL9">
        <v>1</v>
      </c>
      <c r="AM9">
        <v>2</v>
      </c>
      <c r="AN9">
        <v>0</v>
      </c>
      <c r="AO9">
        <v>1</v>
      </c>
      <c r="AP9">
        <v>1</v>
      </c>
      <c r="AQ9">
        <v>0</v>
      </c>
      <c r="AR9">
        <v>0</v>
      </c>
      <c r="AS9" t="s">
        <v>3</v>
      </c>
      <c r="AT9">
        <v>2.5000000000000001E-2</v>
      </c>
      <c r="AU9" t="s">
        <v>29</v>
      </c>
      <c r="AV9">
        <v>0</v>
      </c>
      <c r="AW9">
        <v>2</v>
      </c>
      <c r="AX9">
        <v>57014825</v>
      </c>
      <c r="AY9">
        <v>1</v>
      </c>
      <c r="AZ9">
        <v>0</v>
      </c>
      <c r="BA9">
        <v>10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CV9">
        <v>0</v>
      </c>
      <c r="CW9">
        <v>0</v>
      </c>
      <c r="CX9">
        <f>ROUND(Y9*Source!I29,9)</f>
        <v>0</v>
      </c>
      <c r="CY9">
        <f>AA9</f>
        <v>164.23</v>
      </c>
      <c r="CZ9">
        <f>AE9</f>
        <v>23.87</v>
      </c>
      <c r="DA9">
        <f>AI9</f>
        <v>6.88</v>
      </c>
      <c r="DB9">
        <f>ROUND(((ROUND(AT9*CZ9,2)*1)*0),6)</f>
        <v>0</v>
      </c>
      <c r="DC9">
        <f>ROUND(((ROUND(AT9*AG9,2)*1)*0),6)</f>
        <v>0</v>
      </c>
      <c r="DD9" t="s">
        <v>3</v>
      </c>
      <c r="DE9" t="s">
        <v>3</v>
      </c>
      <c r="DF9">
        <f>ROUND(ROUND(AE9*AI9,2)*CX9,2)</f>
        <v>0</v>
      </c>
      <c r="DG9">
        <f t="shared" ref="DG9:DG14" si="5">ROUND(ROUND(AF9,2)*CX9,2)</f>
        <v>0</v>
      </c>
      <c r="DH9">
        <f t="shared" si="4"/>
        <v>0</v>
      </c>
      <c r="DI9">
        <f t="shared" si="3"/>
        <v>0</v>
      </c>
      <c r="DJ9">
        <f>DF9</f>
        <v>0</v>
      </c>
      <c r="DK9">
        <v>0</v>
      </c>
      <c r="DL9" t="s">
        <v>3</v>
      </c>
      <c r="DM9">
        <v>0</v>
      </c>
      <c r="DN9" t="s">
        <v>3</v>
      </c>
      <c r="DO9">
        <v>0</v>
      </c>
    </row>
    <row r="10" spans="1:119" x14ac:dyDescent="0.25">
      <c r="A10">
        <f>ROW(Source!A29)</f>
        <v>29</v>
      </c>
      <c r="B10">
        <v>57014140</v>
      </c>
      <c r="C10">
        <v>57014816</v>
      </c>
      <c r="D10">
        <v>55459641</v>
      </c>
      <c r="E10">
        <v>1</v>
      </c>
      <c r="F10">
        <v>1</v>
      </c>
      <c r="G10">
        <v>1081</v>
      </c>
      <c r="H10">
        <v>3</v>
      </c>
      <c r="I10" t="s">
        <v>399</v>
      </c>
      <c r="J10" t="s">
        <v>400</v>
      </c>
      <c r="K10" t="s">
        <v>401</v>
      </c>
      <c r="L10">
        <v>1327</v>
      </c>
      <c r="N10">
        <v>1005</v>
      </c>
      <c r="O10" t="s">
        <v>402</v>
      </c>
      <c r="P10" t="s">
        <v>402</v>
      </c>
      <c r="Q10">
        <v>1</v>
      </c>
      <c r="W10">
        <v>0</v>
      </c>
      <c r="X10">
        <v>-71062307</v>
      </c>
      <c r="Y10">
        <f>((AT10*1)*0)</f>
        <v>0</v>
      </c>
      <c r="AA10">
        <v>52.91</v>
      </c>
      <c r="AB10">
        <v>0</v>
      </c>
      <c r="AC10">
        <v>0</v>
      </c>
      <c r="AD10">
        <v>0</v>
      </c>
      <c r="AE10">
        <v>7.39</v>
      </c>
      <c r="AF10">
        <v>0</v>
      </c>
      <c r="AG10">
        <v>0</v>
      </c>
      <c r="AH10">
        <v>0</v>
      </c>
      <c r="AI10">
        <v>7.16</v>
      </c>
      <c r="AJ10">
        <v>1</v>
      </c>
      <c r="AK10">
        <v>1</v>
      </c>
      <c r="AL10">
        <v>1</v>
      </c>
      <c r="AM10">
        <v>2</v>
      </c>
      <c r="AN10">
        <v>0</v>
      </c>
      <c r="AO10">
        <v>1</v>
      </c>
      <c r="AP10">
        <v>1</v>
      </c>
      <c r="AQ10">
        <v>0</v>
      </c>
      <c r="AR10">
        <v>0</v>
      </c>
      <c r="AS10" t="s">
        <v>3</v>
      </c>
      <c r="AT10">
        <v>0.45</v>
      </c>
      <c r="AU10" t="s">
        <v>29</v>
      </c>
      <c r="AV10">
        <v>0</v>
      </c>
      <c r="AW10">
        <v>2</v>
      </c>
      <c r="AX10">
        <v>57014826</v>
      </c>
      <c r="AY10">
        <v>1</v>
      </c>
      <c r="AZ10">
        <v>0</v>
      </c>
      <c r="BA10">
        <v>11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CV10">
        <v>0</v>
      </c>
      <c r="CW10">
        <v>0</v>
      </c>
      <c r="CX10">
        <f>ROUND(Y10*Source!I29,9)</f>
        <v>0</v>
      </c>
      <c r="CY10">
        <f>AA10</f>
        <v>52.91</v>
      </c>
      <c r="CZ10">
        <f>AE10</f>
        <v>7.39</v>
      </c>
      <c r="DA10">
        <f>AI10</f>
        <v>7.16</v>
      </c>
      <c r="DB10">
        <f>ROUND(((ROUND(AT10*CZ10,2)*1)*0),6)</f>
        <v>0</v>
      </c>
      <c r="DC10">
        <f>ROUND(((ROUND(AT10*AG10,2)*1)*0),6)</f>
        <v>0</v>
      </c>
      <c r="DD10" t="s">
        <v>3</v>
      </c>
      <c r="DE10" t="s">
        <v>3</v>
      </c>
      <c r="DF10">
        <f>ROUND(ROUND(AE10*AI10,2)*CX10,2)</f>
        <v>0</v>
      </c>
      <c r="DG10">
        <f t="shared" si="5"/>
        <v>0</v>
      </c>
      <c r="DH10">
        <f t="shared" si="4"/>
        <v>0</v>
      </c>
      <c r="DI10">
        <f t="shared" si="3"/>
        <v>0</v>
      </c>
      <c r="DJ10">
        <f>DF10</f>
        <v>0</v>
      </c>
      <c r="DK10">
        <v>0</v>
      </c>
      <c r="DL10" t="s">
        <v>3</v>
      </c>
      <c r="DM10">
        <v>0</v>
      </c>
      <c r="DN10" t="s">
        <v>3</v>
      </c>
      <c r="DO10">
        <v>0</v>
      </c>
    </row>
    <row r="11" spans="1:119" x14ac:dyDescent="0.25">
      <c r="A11">
        <f>ROW(Source!A30)</f>
        <v>30</v>
      </c>
      <c r="B11">
        <v>57014138</v>
      </c>
      <c r="C11">
        <v>57014828</v>
      </c>
      <c r="D11">
        <v>55424304</v>
      </c>
      <c r="E11">
        <v>1081</v>
      </c>
      <c r="F11">
        <v>1</v>
      </c>
      <c r="G11">
        <v>1081</v>
      </c>
      <c r="H11">
        <v>1</v>
      </c>
      <c r="I11" t="s">
        <v>385</v>
      </c>
      <c r="J11" t="s">
        <v>3</v>
      </c>
      <c r="K11" t="s">
        <v>386</v>
      </c>
      <c r="L11">
        <v>1191</v>
      </c>
      <c r="N11">
        <v>1013</v>
      </c>
      <c r="O11" t="s">
        <v>387</v>
      </c>
      <c r="P11" t="s">
        <v>387</v>
      </c>
      <c r="Q11">
        <v>1</v>
      </c>
      <c r="W11">
        <v>0</v>
      </c>
      <c r="X11">
        <v>476480486</v>
      </c>
      <c r="Y11">
        <f>((AT11*1.2)*0.3)</f>
        <v>3.2399999999999998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1</v>
      </c>
      <c r="AJ11">
        <v>1</v>
      </c>
      <c r="AK11">
        <v>1</v>
      </c>
      <c r="AL11">
        <v>1</v>
      </c>
      <c r="AM11">
        <v>-2</v>
      </c>
      <c r="AN11">
        <v>0</v>
      </c>
      <c r="AO11">
        <v>1</v>
      </c>
      <c r="AP11">
        <v>1</v>
      </c>
      <c r="AQ11">
        <v>0</v>
      </c>
      <c r="AR11">
        <v>0</v>
      </c>
      <c r="AS11" t="s">
        <v>3</v>
      </c>
      <c r="AT11">
        <v>9</v>
      </c>
      <c r="AU11" t="s">
        <v>30</v>
      </c>
      <c r="AV11">
        <v>1</v>
      </c>
      <c r="AW11">
        <v>2</v>
      </c>
      <c r="AX11">
        <v>57014832</v>
      </c>
      <c r="AY11">
        <v>1</v>
      </c>
      <c r="AZ11">
        <v>0</v>
      </c>
      <c r="BA11">
        <v>13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CU11">
        <f>ROUND(AT11*Source!I30*AH11*AL11,2)</f>
        <v>0</v>
      </c>
      <c r="CV11">
        <f>ROUND(Y11*Source!I30,9)</f>
        <v>3.24</v>
      </c>
      <c r="CW11">
        <v>0</v>
      </c>
      <c r="CX11">
        <f>ROUND(Y11*Source!I30,9)</f>
        <v>3.24</v>
      </c>
      <c r="CY11">
        <f>AD11</f>
        <v>0</v>
      </c>
      <c r="CZ11">
        <f>AH11</f>
        <v>0</v>
      </c>
      <c r="DA11">
        <f>AL11</f>
        <v>1</v>
      </c>
      <c r="DB11">
        <f>ROUND(((ROUND(AT11*CZ11,2)*1.2)*0.3),6)</f>
        <v>0</v>
      </c>
      <c r="DC11">
        <f>ROUND(((ROUND(AT11*AG11,2)*1.2)*0.3),6)</f>
        <v>0</v>
      </c>
      <c r="DD11" t="s">
        <v>3</v>
      </c>
      <c r="DE11" t="s">
        <v>3</v>
      </c>
      <c r="DF11">
        <f>ROUND(ROUND(AE11,2)*CX11,2)</f>
        <v>0</v>
      </c>
      <c r="DG11">
        <f t="shared" si="5"/>
        <v>0</v>
      </c>
      <c r="DH11">
        <f t="shared" si="4"/>
        <v>0</v>
      </c>
      <c r="DI11">
        <f t="shared" si="3"/>
        <v>0</v>
      </c>
      <c r="DJ11">
        <f>DI11</f>
        <v>0</v>
      </c>
      <c r="DK11">
        <v>0</v>
      </c>
      <c r="DL11" t="s">
        <v>3</v>
      </c>
      <c r="DM11">
        <v>0</v>
      </c>
      <c r="DN11" t="s">
        <v>3</v>
      </c>
      <c r="DO11">
        <v>0</v>
      </c>
    </row>
    <row r="12" spans="1:119" x14ac:dyDescent="0.25">
      <c r="A12">
        <f>ROW(Source!A30)</f>
        <v>30</v>
      </c>
      <c r="B12">
        <v>57014138</v>
      </c>
      <c r="C12">
        <v>57014828</v>
      </c>
      <c r="D12">
        <v>55490330</v>
      </c>
      <c r="E12">
        <v>1</v>
      </c>
      <c r="F12">
        <v>1</v>
      </c>
      <c r="G12">
        <v>1081</v>
      </c>
      <c r="H12">
        <v>2</v>
      </c>
      <c r="I12" t="s">
        <v>403</v>
      </c>
      <c r="J12" t="s">
        <v>404</v>
      </c>
      <c r="K12" t="s">
        <v>405</v>
      </c>
      <c r="L12">
        <v>1368</v>
      </c>
      <c r="N12">
        <v>1011</v>
      </c>
      <c r="O12" t="s">
        <v>391</v>
      </c>
      <c r="P12" t="s">
        <v>391</v>
      </c>
      <c r="Q12">
        <v>1</v>
      </c>
      <c r="W12">
        <v>0</v>
      </c>
      <c r="X12">
        <v>-2083101341</v>
      </c>
      <c r="Y12">
        <f>((AT12*1.2)*0.3)</f>
        <v>7.9200000000000007E-2</v>
      </c>
      <c r="AA12">
        <v>0</v>
      </c>
      <c r="AB12">
        <v>0.84</v>
      </c>
      <c r="AC12">
        <v>0</v>
      </c>
      <c r="AD12">
        <v>0</v>
      </c>
      <c r="AE12">
        <v>0</v>
      </c>
      <c r="AF12">
        <v>0.8</v>
      </c>
      <c r="AG12">
        <v>0</v>
      </c>
      <c r="AH12">
        <v>0</v>
      </c>
      <c r="AI12">
        <v>1</v>
      </c>
      <c r="AJ12">
        <v>1</v>
      </c>
      <c r="AK12">
        <v>1</v>
      </c>
      <c r="AL12">
        <v>1</v>
      </c>
      <c r="AM12">
        <v>-2</v>
      </c>
      <c r="AN12">
        <v>0</v>
      </c>
      <c r="AO12">
        <v>1</v>
      </c>
      <c r="AP12">
        <v>1</v>
      </c>
      <c r="AQ12">
        <v>0</v>
      </c>
      <c r="AR12">
        <v>0</v>
      </c>
      <c r="AS12" t="s">
        <v>3</v>
      </c>
      <c r="AT12">
        <v>0.22</v>
      </c>
      <c r="AU12" t="s">
        <v>30</v>
      </c>
      <c r="AV12">
        <v>0</v>
      </c>
      <c r="AW12">
        <v>2</v>
      </c>
      <c r="AX12">
        <v>57014833</v>
      </c>
      <c r="AY12">
        <v>1</v>
      </c>
      <c r="AZ12">
        <v>0</v>
      </c>
      <c r="BA12">
        <v>14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CV12">
        <v>0</v>
      </c>
      <c r="CW12">
        <f>ROUND(Y12*Source!I30*DO12,9)</f>
        <v>0</v>
      </c>
      <c r="CX12">
        <f>ROUND(Y12*Source!I30,9)</f>
        <v>7.9200000000000007E-2</v>
      </c>
      <c r="CY12">
        <f>AB12</f>
        <v>0.84</v>
      </c>
      <c r="CZ12">
        <f>AF12</f>
        <v>0.8</v>
      </c>
      <c r="DA12">
        <f>AJ12</f>
        <v>1</v>
      </c>
      <c r="DB12">
        <f>ROUND(((ROUND(AT12*CZ12,2)*1.2)*0.3),6)</f>
        <v>6.4799999999999996E-2</v>
      </c>
      <c r="DC12">
        <f>ROUND(((ROUND(AT12*AG12,2)*1.2)*0.3),6)</f>
        <v>0</v>
      </c>
      <c r="DD12" t="s">
        <v>3</v>
      </c>
      <c r="DE12" t="s">
        <v>3</v>
      </c>
      <c r="DF12">
        <f>ROUND(ROUND(AE12,2)*CX12,2)</f>
        <v>0</v>
      </c>
      <c r="DG12">
        <f t="shared" si="5"/>
        <v>0.06</v>
      </c>
      <c r="DH12">
        <f t="shared" si="4"/>
        <v>0</v>
      </c>
      <c r="DI12">
        <f t="shared" si="3"/>
        <v>0</v>
      </c>
      <c r="DJ12">
        <f>DG12</f>
        <v>0.06</v>
      </c>
      <c r="DK12">
        <v>0</v>
      </c>
      <c r="DL12" t="s">
        <v>3</v>
      </c>
      <c r="DM12">
        <v>0</v>
      </c>
      <c r="DN12" t="s">
        <v>3</v>
      </c>
      <c r="DO12">
        <v>0</v>
      </c>
    </row>
    <row r="13" spans="1:119" x14ac:dyDescent="0.25">
      <c r="A13">
        <f>ROW(Source!A30)</f>
        <v>30</v>
      </c>
      <c r="B13">
        <v>57014138</v>
      </c>
      <c r="C13">
        <v>57014828</v>
      </c>
      <c r="D13">
        <v>55459340</v>
      </c>
      <c r="E13">
        <v>1</v>
      </c>
      <c r="F13">
        <v>1</v>
      </c>
      <c r="G13">
        <v>1081</v>
      </c>
      <c r="H13">
        <v>3</v>
      </c>
      <c r="I13" t="s">
        <v>406</v>
      </c>
      <c r="J13" t="s">
        <v>407</v>
      </c>
      <c r="K13" t="s">
        <v>408</v>
      </c>
      <c r="L13">
        <v>1354</v>
      </c>
      <c r="N13">
        <v>1010</v>
      </c>
      <c r="O13" t="s">
        <v>251</v>
      </c>
      <c r="P13" t="s">
        <v>251</v>
      </c>
      <c r="Q13">
        <v>1</v>
      </c>
      <c r="W13">
        <v>0</v>
      </c>
      <c r="X13">
        <v>-1352077490</v>
      </c>
      <c r="Y13">
        <f>((AT13*1)*0)</f>
        <v>0</v>
      </c>
      <c r="AA13">
        <v>0.89</v>
      </c>
      <c r="AB13">
        <v>0</v>
      </c>
      <c r="AC13">
        <v>0</v>
      </c>
      <c r="AD13">
        <v>0</v>
      </c>
      <c r="AE13">
        <v>0.89</v>
      </c>
      <c r="AF13">
        <v>0</v>
      </c>
      <c r="AG13">
        <v>0</v>
      </c>
      <c r="AH13">
        <v>0</v>
      </c>
      <c r="AI13">
        <v>1</v>
      </c>
      <c r="AJ13">
        <v>1</v>
      </c>
      <c r="AK13">
        <v>1</v>
      </c>
      <c r="AL13">
        <v>1</v>
      </c>
      <c r="AM13">
        <v>-2</v>
      </c>
      <c r="AN13">
        <v>0</v>
      </c>
      <c r="AO13">
        <v>1</v>
      </c>
      <c r="AP13">
        <v>1</v>
      </c>
      <c r="AQ13">
        <v>0</v>
      </c>
      <c r="AR13">
        <v>0</v>
      </c>
      <c r="AS13" t="s">
        <v>3</v>
      </c>
      <c r="AT13">
        <v>5</v>
      </c>
      <c r="AU13" t="s">
        <v>29</v>
      </c>
      <c r="AV13">
        <v>0</v>
      </c>
      <c r="AW13">
        <v>2</v>
      </c>
      <c r="AX13">
        <v>57014834</v>
      </c>
      <c r="AY13">
        <v>1</v>
      </c>
      <c r="AZ13">
        <v>0</v>
      </c>
      <c r="BA13">
        <v>15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CV13">
        <v>0</v>
      </c>
      <c r="CW13">
        <v>0</v>
      </c>
      <c r="CX13">
        <f>ROUND(Y13*Source!I30,9)</f>
        <v>0</v>
      </c>
      <c r="CY13">
        <f>AA13</f>
        <v>0.89</v>
      </c>
      <c r="CZ13">
        <f>AE13</f>
        <v>0.89</v>
      </c>
      <c r="DA13">
        <f>AI13</f>
        <v>1</v>
      </c>
      <c r="DB13">
        <f>ROUND(((ROUND(AT13*CZ13,2)*1)*0),6)</f>
        <v>0</v>
      </c>
      <c r="DC13">
        <f>ROUND(((ROUND(AT13*AG13,2)*1)*0),6)</f>
        <v>0</v>
      </c>
      <c r="DD13" t="s">
        <v>3</v>
      </c>
      <c r="DE13" t="s">
        <v>3</v>
      </c>
      <c r="DF13">
        <f>ROUND(ROUND(AE13,2)*CX13,2)</f>
        <v>0</v>
      </c>
      <c r="DG13">
        <f t="shared" si="5"/>
        <v>0</v>
      </c>
      <c r="DH13">
        <f t="shared" si="4"/>
        <v>0</v>
      </c>
      <c r="DI13">
        <f t="shared" si="3"/>
        <v>0</v>
      </c>
      <c r="DJ13">
        <f>DF13</f>
        <v>0</v>
      </c>
      <c r="DK13">
        <v>0</v>
      </c>
      <c r="DL13" t="s">
        <v>3</v>
      </c>
      <c r="DM13">
        <v>0</v>
      </c>
      <c r="DN13" t="s">
        <v>3</v>
      </c>
      <c r="DO13">
        <v>0</v>
      </c>
    </row>
    <row r="14" spans="1:119" x14ac:dyDescent="0.25">
      <c r="A14">
        <f>ROW(Source!A31)</f>
        <v>31</v>
      </c>
      <c r="B14">
        <v>57014140</v>
      </c>
      <c r="C14">
        <v>57014828</v>
      </c>
      <c r="D14">
        <v>55424304</v>
      </c>
      <c r="E14">
        <v>1081</v>
      </c>
      <c r="F14">
        <v>1</v>
      </c>
      <c r="G14">
        <v>1081</v>
      </c>
      <c r="H14">
        <v>1</v>
      </c>
      <c r="I14" t="s">
        <v>385</v>
      </c>
      <c r="J14" t="s">
        <v>3</v>
      </c>
      <c r="K14" t="s">
        <v>386</v>
      </c>
      <c r="L14">
        <v>1191</v>
      </c>
      <c r="N14">
        <v>1013</v>
      </c>
      <c r="O14" t="s">
        <v>387</v>
      </c>
      <c r="P14" t="s">
        <v>387</v>
      </c>
      <c r="Q14">
        <v>1</v>
      </c>
      <c r="W14">
        <v>0</v>
      </c>
      <c r="X14">
        <v>476480486</v>
      </c>
      <c r="Y14">
        <f>((AT14*1.2)*0.3)</f>
        <v>3.2399999999999998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1</v>
      </c>
      <c r="AJ14">
        <v>1</v>
      </c>
      <c r="AK14">
        <v>1</v>
      </c>
      <c r="AL14">
        <v>1</v>
      </c>
      <c r="AM14">
        <v>5</v>
      </c>
      <c r="AN14">
        <v>0</v>
      </c>
      <c r="AO14">
        <v>1</v>
      </c>
      <c r="AP14">
        <v>1</v>
      </c>
      <c r="AQ14">
        <v>0</v>
      </c>
      <c r="AR14">
        <v>0</v>
      </c>
      <c r="AS14" t="s">
        <v>3</v>
      </c>
      <c r="AT14">
        <v>9</v>
      </c>
      <c r="AU14" t="s">
        <v>30</v>
      </c>
      <c r="AV14">
        <v>1</v>
      </c>
      <c r="AW14">
        <v>2</v>
      </c>
      <c r="AX14">
        <v>57014832</v>
      </c>
      <c r="AY14">
        <v>1</v>
      </c>
      <c r="AZ14">
        <v>0</v>
      </c>
      <c r="BA14">
        <v>17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CU14">
        <f>ROUND(AT14*Source!I31*AH14*AL14,2)</f>
        <v>0</v>
      </c>
      <c r="CV14">
        <f>ROUND(Y14*Source!I31,9)</f>
        <v>3.24</v>
      </c>
      <c r="CW14">
        <v>0</v>
      </c>
      <c r="CX14">
        <f>ROUND(Y14*Source!I31,9)</f>
        <v>3.24</v>
      </c>
      <c r="CY14">
        <f>AD14</f>
        <v>0</v>
      </c>
      <c r="CZ14">
        <f>AH14</f>
        <v>0</v>
      </c>
      <c r="DA14">
        <f>AL14</f>
        <v>1</v>
      </c>
      <c r="DB14">
        <f>ROUND(((ROUND(AT14*CZ14,2)*1.2)*0.3),6)</f>
        <v>0</v>
      </c>
      <c r="DC14">
        <f>ROUND(((ROUND(AT14*AG14,2)*1.2)*0.3),6)</f>
        <v>0</v>
      </c>
      <c r="DD14" t="s">
        <v>3</v>
      </c>
      <c r="DE14" t="s">
        <v>3</v>
      </c>
      <c r="DF14">
        <f>ROUND(ROUND(AE14,2)*CX14,2)</f>
        <v>0</v>
      </c>
      <c r="DG14">
        <f t="shared" si="5"/>
        <v>0</v>
      </c>
      <c r="DH14">
        <f t="shared" si="4"/>
        <v>0</v>
      </c>
      <c r="DI14">
        <f t="shared" si="3"/>
        <v>0</v>
      </c>
      <c r="DJ14">
        <f>DI14</f>
        <v>0</v>
      </c>
      <c r="DK14">
        <v>0</v>
      </c>
      <c r="DL14" t="s">
        <v>3</v>
      </c>
      <c r="DM14">
        <v>0</v>
      </c>
      <c r="DN14" t="s">
        <v>3</v>
      </c>
      <c r="DO14">
        <v>0</v>
      </c>
    </row>
    <row r="15" spans="1:119" x14ac:dyDescent="0.25">
      <c r="A15">
        <f>ROW(Source!A31)</f>
        <v>31</v>
      </c>
      <c r="B15">
        <v>57014140</v>
      </c>
      <c r="C15">
        <v>57014828</v>
      </c>
      <c r="D15">
        <v>55490330</v>
      </c>
      <c r="E15">
        <v>1</v>
      </c>
      <c r="F15">
        <v>1</v>
      </c>
      <c r="G15">
        <v>1081</v>
      </c>
      <c r="H15">
        <v>2</v>
      </c>
      <c r="I15" t="s">
        <v>403</v>
      </c>
      <c r="J15" t="s">
        <v>404</v>
      </c>
      <c r="K15" t="s">
        <v>405</v>
      </c>
      <c r="L15">
        <v>1368</v>
      </c>
      <c r="N15">
        <v>1011</v>
      </c>
      <c r="O15" t="s">
        <v>391</v>
      </c>
      <c r="P15" t="s">
        <v>391</v>
      </c>
      <c r="Q15">
        <v>1</v>
      </c>
      <c r="W15">
        <v>0</v>
      </c>
      <c r="X15">
        <v>-2083101341</v>
      </c>
      <c r="Y15">
        <f>((AT15*1.2)*0.3)</f>
        <v>7.9200000000000007E-2</v>
      </c>
      <c r="AA15">
        <v>0</v>
      </c>
      <c r="AB15">
        <v>7.92</v>
      </c>
      <c r="AC15">
        <v>0</v>
      </c>
      <c r="AD15">
        <v>0</v>
      </c>
      <c r="AE15">
        <v>0</v>
      </c>
      <c r="AF15">
        <v>0.8</v>
      </c>
      <c r="AG15">
        <v>0</v>
      </c>
      <c r="AH15">
        <v>0</v>
      </c>
      <c r="AI15">
        <v>1</v>
      </c>
      <c r="AJ15">
        <v>9.4600000000000009</v>
      </c>
      <c r="AK15">
        <v>1</v>
      </c>
      <c r="AL15">
        <v>1</v>
      </c>
      <c r="AM15">
        <v>2</v>
      </c>
      <c r="AN15">
        <v>0</v>
      </c>
      <c r="AO15">
        <v>1</v>
      </c>
      <c r="AP15">
        <v>1</v>
      </c>
      <c r="AQ15">
        <v>0</v>
      </c>
      <c r="AR15">
        <v>0</v>
      </c>
      <c r="AS15" t="s">
        <v>3</v>
      </c>
      <c r="AT15">
        <v>0.22</v>
      </c>
      <c r="AU15" t="s">
        <v>30</v>
      </c>
      <c r="AV15">
        <v>0</v>
      </c>
      <c r="AW15">
        <v>2</v>
      </c>
      <c r="AX15">
        <v>57014833</v>
      </c>
      <c r="AY15">
        <v>1</v>
      </c>
      <c r="AZ15">
        <v>0</v>
      </c>
      <c r="BA15">
        <v>18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CV15">
        <v>0</v>
      </c>
      <c r="CW15">
        <f>ROUND(Y15*Source!I31*DO15,9)</f>
        <v>0</v>
      </c>
      <c r="CX15">
        <f>ROUND(Y15*Source!I31,9)</f>
        <v>7.9200000000000007E-2</v>
      </c>
      <c r="CY15">
        <f>AB15</f>
        <v>7.92</v>
      </c>
      <c r="CZ15">
        <f>AF15</f>
        <v>0.8</v>
      </c>
      <c r="DA15">
        <f>AJ15</f>
        <v>9.4600000000000009</v>
      </c>
      <c r="DB15">
        <f>ROUND(((ROUND(AT15*CZ15,2)*1.2)*0.3),6)</f>
        <v>6.4799999999999996E-2</v>
      </c>
      <c r="DC15">
        <f>ROUND(((ROUND(AT15*AG15,2)*1.2)*0.3),6)</f>
        <v>0</v>
      </c>
      <c r="DD15" t="s">
        <v>3</v>
      </c>
      <c r="DE15" t="s">
        <v>3</v>
      </c>
      <c r="DF15">
        <f>ROUND(ROUND(AE15,2)*CX15,2)</f>
        <v>0</v>
      </c>
      <c r="DG15">
        <f>ROUND(ROUND(AF15*AJ15,2)*CX15,2)</f>
        <v>0.6</v>
      </c>
      <c r="DH15">
        <f t="shared" si="4"/>
        <v>0</v>
      </c>
      <c r="DI15">
        <f t="shared" si="3"/>
        <v>0</v>
      </c>
      <c r="DJ15">
        <f>DG15</f>
        <v>0.6</v>
      </c>
      <c r="DK15">
        <v>0</v>
      </c>
      <c r="DL15" t="s">
        <v>3</v>
      </c>
      <c r="DM15">
        <v>0</v>
      </c>
      <c r="DN15" t="s">
        <v>3</v>
      </c>
      <c r="DO15">
        <v>0</v>
      </c>
    </row>
    <row r="16" spans="1:119" x14ac:dyDescent="0.25">
      <c r="A16">
        <f>ROW(Source!A31)</f>
        <v>31</v>
      </c>
      <c r="B16">
        <v>57014140</v>
      </c>
      <c r="C16">
        <v>57014828</v>
      </c>
      <c r="D16">
        <v>55459340</v>
      </c>
      <c r="E16">
        <v>1</v>
      </c>
      <c r="F16">
        <v>1</v>
      </c>
      <c r="G16">
        <v>1081</v>
      </c>
      <c r="H16">
        <v>3</v>
      </c>
      <c r="I16" t="s">
        <v>406</v>
      </c>
      <c r="J16" t="s">
        <v>407</v>
      </c>
      <c r="K16" t="s">
        <v>408</v>
      </c>
      <c r="L16">
        <v>1354</v>
      </c>
      <c r="N16">
        <v>1010</v>
      </c>
      <c r="O16" t="s">
        <v>251</v>
      </c>
      <c r="P16" t="s">
        <v>251</v>
      </c>
      <c r="Q16">
        <v>1</v>
      </c>
      <c r="W16">
        <v>0</v>
      </c>
      <c r="X16">
        <v>-1352077490</v>
      </c>
      <c r="Y16">
        <f>((AT16*1)*0)</f>
        <v>0</v>
      </c>
      <c r="AA16">
        <v>0.83</v>
      </c>
      <c r="AB16">
        <v>0</v>
      </c>
      <c r="AC16">
        <v>0</v>
      </c>
      <c r="AD16">
        <v>0</v>
      </c>
      <c r="AE16">
        <v>0.89</v>
      </c>
      <c r="AF16">
        <v>0</v>
      </c>
      <c r="AG16">
        <v>0</v>
      </c>
      <c r="AH16">
        <v>0</v>
      </c>
      <c r="AI16">
        <v>0.93</v>
      </c>
      <c r="AJ16">
        <v>1</v>
      </c>
      <c r="AK16">
        <v>1</v>
      </c>
      <c r="AL16">
        <v>1</v>
      </c>
      <c r="AM16">
        <v>2</v>
      </c>
      <c r="AN16">
        <v>0</v>
      </c>
      <c r="AO16">
        <v>1</v>
      </c>
      <c r="AP16">
        <v>1</v>
      </c>
      <c r="AQ16">
        <v>0</v>
      </c>
      <c r="AR16">
        <v>0</v>
      </c>
      <c r="AS16" t="s">
        <v>3</v>
      </c>
      <c r="AT16">
        <v>5</v>
      </c>
      <c r="AU16" t="s">
        <v>29</v>
      </c>
      <c r="AV16">
        <v>0</v>
      </c>
      <c r="AW16">
        <v>2</v>
      </c>
      <c r="AX16">
        <v>57014834</v>
      </c>
      <c r="AY16">
        <v>1</v>
      </c>
      <c r="AZ16">
        <v>0</v>
      </c>
      <c r="BA16">
        <v>19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CV16">
        <v>0</v>
      </c>
      <c r="CW16">
        <v>0</v>
      </c>
      <c r="CX16">
        <f>ROUND(Y16*Source!I31,9)</f>
        <v>0</v>
      </c>
      <c r="CY16">
        <f>AA16</f>
        <v>0.83</v>
      </c>
      <c r="CZ16">
        <f>AE16</f>
        <v>0.89</v>
      </c>
      <c r="DA16">
        <f>AI16</f>
        <v>0.93</v>
      </c>
      <c r="DB16">
        <f>ROUND(((ROUND(AT16*CZ16,2)*1)*0),6)</f>
        <v>0</v>
      </c>
      <c r="DC16">
        <f>ROUND(((ROUND(AT16*AG16,2)*1)*0),6)</f>
        <v>0</v>
      </c>
      <c r="DD16" t="s">
        <v>3</v>
      </c>
      <c r="DE16" t="s">
        <v>3</v>
      </c>
      <c r="DF16">
        <f>ROUND(ROUND(AE16*AI16,2)*CX16,2)</f>
        <v>0</v>
      </c>
      <c r="DG16">
        <f t="shared" ref="DG16:DG23" si="6">ROUND(ROUND(AF16,2)*CX16,2)</f>
        <v>0</v>
      </c>
      <c r="DH16">
        <f t="shared" si="4"/>
        <v>0</v>
      </c>
      <c r="DI16">
        <f t="shared" si="3"/>
        <v>0</v>
      </c>
      <c r="DJ16">
        <f>DF16</f>
        <v>0</v>
      </c>
      <c r="DK16">
        <v>0</v>
      </c>
      <c r="DL16" t="s">
        <v>3</v>
      </c>
      <c r="DM16">
        <v>0</v>
      </c>
      <c r="DN16" t="s">
        <v>3</v>
      </c>
      <c r="DO16">
        <v>0</v>
      </c>
    </row>
    <row r="17" spans="1:119" x14ac:dyDescent="0.25">
      <c r="A17">
        <f>ROW(Source!A32)</f>
        <v>32</v>
      </c>
      <c r="B17">
        <v>57014138</v>
      </c>
      <c r="C17">
        <v>57014836</v>
      </c>
      <c r="D17">
        <v>55424304</v>
      </c>
      <c r="E17">
        <v>1081</v>
      </c>
      <c r="F17">
        <v>1</v>
      </c>
      <c r="G17">
        <v>1081</v>
      </c>
      <c r="H17">
        <v>1</v>
      </c>
      <c r="I17" t="s">
        <v>385</v>
      </c>
      <c r="J17" t="s">
        <v>3</v>
      </c>
      <c r="K17" t="s">
        <v>386</v>
      </c>
      <c r="L17">
        <v>1191</v>
      </c>
      <c r="N17">
        <v>1013</v>
      </c>
      <c r="O17" t="s">
        <v>387</v>
      </c>
      <c r="P17" t="s">
        <v>387</v>
      </c>
      <c r="Q17">
        <v>1</v>
      </c>
      <c r="W17">
        <v>0</v>
      </c>
      <c r="X17">
        <v>476480486</v>
      </c>
      <c r="Y17">
        <f>((AT17*1.2)*0.3)</f>
        <v>4.2119999999999997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1</v>
      </c>
      <c r="AJ17">
        <v>1</v>
      </c>
      <c r="AK17">
        <v>1</v>
      </c>
      <c r="AL17">
        <v>1</v>
      </c>
      <c r="AM17">
        <v>-2</v>
      </c>
      <c r="AN17">
        <v>0</v>
      </c>
      <c r="AO17">
        <v>1</v>
      </c>
      <c r="AP17">
        <v>1</v>
      </c>
      <c r="AQ17">
        <v>0</v>
      </c>
      <c r="AR17">
        <v>0</v>
      </c>
      <c r="AS17" t="s">
        <v>3</v>
      </c>
      <c r="AT17">
        <v>11.7</v>
      </c>
      <c r="AU17" t="s">
        <v>30</v>
      </c>
      <c r="AV17">
        <v>1</v>
      </c>
      <c r="AW17">
        <v>2</v>
      </c>
      <c r="AX17">
        <v>57014838</v>
      </c>
      <c r="AY17">
        <v>1</v>
      </c>
      <c r="AZ17">
        <v>0</v>
      </c>
      <c r="BA17">
        <v>21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CU17">
        <f>ROUND(AT17*Source!I32*AH17*AL17,2)</f>
        <v>0</v>
      </c>
      <c r="CV17">
        <f>ROUND(Y17*Source!I32,9)</f>
        <v>8.4239999999999995</v>
      </c>
      <c r="CW17">
        <v>0</v>
      </c>
      <c r="CX17">
        <f>ROUND(Y17*Source!I32,9)</f>
        <v>8.4239999999999995</v>
      </c>
      <c r="CY17">
        <f>AD17</f>
        <v>0</v>
      </c>
      <c r="CZ17">
        <f>AH17</f>
        <v>0</v>
      </c>
      <c r="DA17">
        <f>AL17</f>
        <v>1</v>
      </c>
      <c r="DB17">
        <f>ROUND(((ROUND(AT17*CZ17,2)*1.2)*0.3),6)</f>
        <v>0</v>
      </c>
      <c r="DC17">
        <f>ROUND(((ROUND(AT17*AG17,2)*1.2)*0.3),6)</f>
        <v>0</v>
      </c>
      <c r="DD17" t="s">
        <v>3</v>
      </c>
      <c r="DE17" t="s">
        <v>3</v>
      </c>
      <c r="DF17">
        <f t="shared" ref="DF17:DF24" si="7">ROUND(ROUND(AE17,2)*CX17,2)</f>
        <v>0</v>
      </c>
      <c r="DG17">
        <f t="shared" si="6"/>
        <v>0</v>
      </c>
      <c r="DH17">
        <f t="shared" si="4"/>
        <v>0</v>
      </c>
      <c r="DI17">
        <f t="shared" si="3"/>
        <v>0</v>
      </c>
      <c r="DJ17">
        <f>DI17</f>
        <v>0</v>
      </c>
      <c r="DK17">
        <v>0</v>
      </c>
      <c r="DL17" t="s">
        <v>3</v>
      </c>
      <c r="DM17">
        <v>0</v>
      </c>
      <c r="DN17" t="s">
        <v>3</v>
      </c>
      <c r="DO17">
        <v>0</v>
      </c>
    </row>
    <row r="18" spans="1:119" x14ac:dyDescent="0.25">
      <c r="A18">
        <f>ROW(Source!A33)</f>
        <v>33</v>
      </c>
      <c r="B18">
        <v>57014140</v>
      </c>
      <c r="C18">
        <v>57014836</v>
      </c>
      <c r="D18">
        <v>55424304</v>
      </c>
      <c r="E18">
        <v>1081</v>
      </c>
      <c r="F18">
        <v>1</v>
      </c>
      <c r="G18">
        <v>1081</v>
      </c>
      <c r="H18">
        <v>1</v>
      </c>
      <c r="I18" t="s">
        <v>385</v>
      </c>
      <c r="J18" t="s">
        <v>3</v>
      </c>
      <c r="K18" t="s">
        <v>386</v>
      </c>
      <c r="L18">
        <v>1191</v>
      </c>
      <c r="N18">
        <v>1013</v>
      </c>
      <c r="O18" t="s">
        <v>387</v>
      </c>
      <c r="P18" t="s">
        <v>387</v>
      </c>
      <c r="Q18">
        <v>1</v>
      </c>
      <c r="W18">
        <v>0</v>
      </c>
      <c r="X18">
        <v>476480486</v>
      </c>
      <c r="Y18">
        <f>((AT18*1.2)*0.3)</f>
        <v>4.2119999999999997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1</v>
      </c>
      <c r="AJ18">
        <v>1</v>
      </c>
      <c r="AK18">
        <v>1</v>
      </c>
      <c r="AL18">
        <v>1</v>
      </c>
      <c r="AM18">
        <v>5</v>
      </c>
      <c r="AN18">
        <v>0</v>
      </c>
      <c r="AO18">
        <v>1</v>
      </c>
      <c r="AP18">
        <v>1</v>
      </c>
      <c r="AQ18">
        <v>0</v>
      </c>
      <c r="AR18">
        <v>0</v>
      </c>
      <c r="AS18" t="s">
        <v>3</v>
      </c>
      <c r="AT18">
        <v>11.7</v>
      </c>
      <c r="AU18" t="s">
        <v>30</v>
      </c>
      <c r="AV18">
        <v>1</v>
      </c>
      <c r="AW18">
        <v>2</v>
      </c>
      <c r="AX18">
        <v>57014838</v>
      </c>
      <c r="AY18">
        <v>1</v>
      </c>
      <c r="AZ18">
        <v>0</v>
      </c>
      <c r="BA18">
        <v>22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CU18">
        <f>ROUND(AT18*Source!I33*AH18*AL18,2)</f>
        <v>0</v>
      </c>
      <c r="CV18">
        <f>ROUND(Y18*Source!I33,9)</f>
        <v>8.4239999999999995</v>
      </c>
      <c r="CW18">
        <v>0</v>
      </c>
      <c r="CX18">
        <f>ROUND(Y18*Source!I33,9)</f>
        <v>8.4239999999999995</v>
      </c>
      <c r="CY18">
        <f>AD18</f>
        <v>0</v>
      </c>
      <c r="CZ18">
        <f>AH18</f>
        <v>0</v>
      </c>
      <c r="DA18">
        <f>AL18</f>
        <v>1</v>
      </c>
      <c r="DB18">
        <f>ROUND(((ROUND(AT18*CZ18,2)*1.2)*0.3),6)</f>
        <v>0</v>
      </c>
      <c r="DC18">
        <f>ROUND(((ROUND(AT18*AG18,2)*1.2)*0.3),6)</f>
        <v>0</v>
      </c>
      <c r="DD18" t="s">
        <v>3</v>
      </c>
      <c r="DE18" t="s">
        <v>3</v>
      </c>
      <c r="DF18">
        <f t="shared" si="7"/>
        <v>0</v>
      </c>
      <c r="DG18">
        <f t="shared" si="6"/>
        <v>0</v>
      </c>
      <c r="DH18">
        <f t="shared" si="4"/>
        <v>0</v>
      </c>
      <c r="DI18">
        <f t="shared" si="3"/>
        <v>0</v>
      </c>
      <c r="DJ18">
        <f>DI18</f>
        <v>0</v>
      </c>
      <c r="DK18">
        <v>0</v>
      </c>
      <c r="DL18" t="s">
        <v>3</v>
      </c>
      <c r="DM18">
        <v>0</v>
      </c>
      <c r="DN18" t="s">
        <v>3</v>
      </c>
      <c r="DO18">
        <v>0</v>
      </c>
    </row>
    <row r="19" spans="1:119" x14ac:dyDescent="0.25">
      <c r="A19">
        <f>ROW(Source!A34)</f>
        <v>34</v>
      </c>
      <c r="B19">
        <v>57014138</v>
      </c>
      <c r="C19">
        <v>57014839</v>
      </c>
      <c r="D19">
        <v>55424304</v>
      </c>
      <c r="E19">
        <v>1081</v>
      </c>
      <c r="F19">
        <v>1</v>
      </c>
      <c r="G19">
        <v>1081</v>
      </c>
      <c r="H19">
        <v>1</v>
      </c>
      <c r="I19" t="s">
        <v>385</v>
      </c>
      <c r="J19" t="s">
        <v>3</v>
      </c>
      <c r="K19" t="s">
        <v>386</v>
      </c>
      <c r="L19">
        <v>1191</v>
      </c>
      <c r="N19">
        <v>1013</v>
      </c>
      <c r="O19" t="s">
        <v>387</v>
      </c>
      <c r="P19" t="s">
        <v>387</v>
      </c>
      <c r="Q19">
        <v>1</v>
      </c>
      <c r="W19">
        <v>0</v>
      </c>
      <c r="X19">
        <v>476480486</v>
      </c>
      <c r="Y19">
        <f>((AT19*1.2)*0.3)</f>
        <v>2.2319999999999998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1</v>
      </c>
      <c r="AJ19">
        <v>1</v>
      </c>
      <c r="AK19">
        <v>1</v>
      </c>
      <c r="AL19">
        <v>1</v>
      </c>
      <c r="AM19">
        <v>-2</v>
      </c>
      <c r="AN19">
        <v>0</v>
      </c>
      <c r="AO19">
        <v>1</v>
      </c>
      <c r="AP19">
        <v>1</v>
      </c>
      <c r="AQ19">
        <v>0</v>
      </c>
      <c r="AR19">
        <v>0</v>
      </c>
      <c r="AS19" t="s">
        <v>3</v>
      </c>
      <c r="AT19">
        <v>6.2</v>
      </c>
      <c r="AU19" t="s">
        <v>30</v>
      </c>
      <c r="AV19">
        <v>1</v>
      </c>
      <c r="AW19">
        <v>2</v>
      </c>
      <c r="AX19">
        <v>57014844</v>
      </c>
      <c r="AY19">
        <v>1</v>
      </c>
      <c r="AZ19">
        <v>0</v>
      </c>
      <c r="BA19">
        <v>23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CU19">
        <f>ROUND(AT19*Source!I34*AH19*AL19,2)</f>
        <v>0</v>
      </c>
      <c r="CV19">
        <f>ROUND(Y19*Source!I34,9)</f>
        <v>2.2320000000000002</v>
      </c>
      <c r="CW19">
        <v>0</v>
      </c>
      <c r="CX19">
        <f>ROUND(Y19*Source!I34,9)</f>
        <v>2.2320000000000002</v>
      </c>
      <c r="CY19">
        <f>AD19</f>
        <v>0</v>
      </c>
      <c r="CZ19">
        <f>AH19</f>
        <v>0</v>
      </c>
      <c r="DA19">
        <f>AL19</f>
        <v>1</v>
      </c>
      <c r="DB19">
        <f>ROUND(((ROUND(AT19*CZ19,2)*1.2)*0.3),6)</f>
        <v>0</v>
      </c>
      <c r="DC19">
        <f>ROUND(((ROUND(AT19*AG19,2)*1.2)*0.3),6)</f>
        <v>0</v>
      </c>
      <c r="DD19" t="s">
        <v>3</v>
      </c>
      <c r="DE19" t="s">
        <v>3</v>
      </c>
      <c r="DF19">
        <f t="shared" si="7"/>
        <v>0</v>
      </c>
      <c r="DG19">
        <f t="shared" si="6"/>
        <v>0</v>
      </c>
      <c r="DH19">
        <f t="shared" si="4"/>
        <v>0</v>
      </c>
      <c r="DI19">
        <f t="shared" si="3"/>
        <v>0</v>
      </c>
      <c r="DJ19">
        <f>DI19</f>
        <v>0</v>
      </c>
      <c r="DK19">
        <v>0</v>
      </c>
      <c r="DL19" t="s">
        <v>3</v>
      </c>
      <c r="DM19">
        <v>0</v>
      </c>
      <c r="DN19" t="s">
        <v>3</v>
      </c>
      <c r="DO19">
        <v>0</v>
      </c>
    </row>
    <row r="20" spans="1:119" x14ac:dyDescent="0.25">
      <c r="A20">
        <f>ROW(Source!A34)</f>
        <v>34</v>
      </c>
      <c r="B20">
        <v>57014138</v>
      </c>
      <c r="C20">
        <v>57014839</v>
      </c>
      <c r="D20">
        <v>55489513</v>
      </c>
      <c r="E20">
        <v>1</v>
      </c>
      <c r="F20">
        <v>1</v>
      </c>
      <c r="G20">
        <v>1081</v>
      </c>
      <c r="H20">
        <v>2</v>
      </c>
      <c r="I20" t="s">
        <v>388</v>
      </c>
      <c r="J20" t="s">
        <v>389</v>
      </c>
      <c r="K20" t="s">
        <v>390</v>
      </c>
      <c r="L20">
        <v>1368</v>
      </c>
      <c r="N20">
        <v>1011</v>
      </c>
      <c r="O20" t="s">
        <v>391</v>
      </c>
      <c r="P20" t="s">
        <v>391</v>
      </c>
      <c r="Q20">
        <v>1</v>
      </c>
      <c r="W20">
        <v>0</v>
      </c>
      <c r="X20">
        <v>-1520980008</v>
      </c>
      <c r="Y20">
        <f>((AT20*1.2)*0.3)</f>
        <v>0.09</v>
      </c>
      <c r="AA20">
        <v>0</v>
      </c>
      <c r="AB20">
        <v>120.23</v>
      </c>
      <c r="AC20">
        <v>13.21</v>
      </c>
      <c r="AD20">
        <v>0</v>
      </c>
      <c r="AE20">
        <v>0</v>
      </c>
      <c r="AF20">
        <v>114.83</v>
      </c>
      <c r="AG20">
        <v>12.62</v>
      </c>
      <c r="AH20">
        <v>0</v>
      </c>
      <c r="AI20">
        <v>1</v>
      </c>
      <c r="AJ20">
        <v>1</v>
      </c>
      <c r="AK20">
        <v>1</v>
      </c>
      <c r="AL20">
        <v>1</v>
      </c>
      <c r="AM20">
        <v>-2</v>
      </c>
      <c r="AN20">
        <v>0</v>
      </c>
      <c r="AO20">
        <v>1</v>
      </c>
      <c r="AP20">
        <v>1</v>
      </c>
      <c r="AQ20">
        <v>0</v>
      </c>
      <c r="AR20">
        <v>0</v>
      </c>
      <c r="AS20" t="s">
        <v>3</v>
      </c>
      <c r="AT20">
        <v>0.25</v>
      </c>
      <c r="AU20" t="s">
        <v>30</v>
      </c>
      <c r="AV20">
        <v>0</v>
      </c>
      <c r="AW20">
        <v>2</v>
      </c>
      <c r="AX20">
        <v>57014845</v>
      </c>
      <c r="AY20">
        <v>1</v>
      </c>
      <c r="AZ20">
        <v>0</v>
      </c>
      <c r="BA20">
        <v>24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CV20">
        <v>0</v>
      </c>
      <c r="CW20">
        <f>ROUND(Y20*Source!I34*DO20,9)</f>
        <v>1.1357999999999999</v>
      </c>
      <c r="CX20">
        <f>ROUND(Y20*Source!I34,9)</f>
        <v>0.09</v>
      </c>
      <c r="CY20">
        <f>AB20</f>
        <v>120.23</v>
      </c>
      <c r="CZ20">
        <f>AF20</f>
        <v>114.83</v>
      </c>
      <c r="DA20">
        <f>AJ20</f>
        <v>1</v>
      </c>
      <c r="DB20">
        <f>ROUND(((ROUND(AT20*CZ20,2)*1.2)*0.3),6)</f>
        <v>10.335599999999999</v>
      </c>
      <c r="DC20">
        <f>ROUND(((ROUND(AT20*AG20,2)*1.2)*0.3),6)</f>
        <v>1.1375999999999999</v>
      </c>
      <c r="DD20" t="s">
        <v>3</v>
      </c>
      <c r="DE20" t="s">
        <v>3</v>
      </c>
      <c r="DF20">
        <f t="shared" si="7"/>
        <v>0</v>
      </c>
      <c r="DG20">
        <f t="shared" si="6"/>
        <v>10.33</v>
      </c>
      <c r="DH20">
        <f t="shared" si="4"/>
        <v>1.1399999999999999</v>
      </c>
      <c r="DI20">
        <f t="shared" si="3"/>
        <v>0</v>
      </c>
      <c r="DJ20">
        <f>DG20</f>
        <v>10.33</v>
      </c>
      <c r="DK20">
        <v>0</v>
      </c>
      <c r="DL20" t="s">
        <v>392</v>
      </c>
      <c r="DM20">
        <v>0</v>
      </c>
      <c r="DN20" t="s">
        <v>387</v>
      </c>
      <c r="DO20">
        <v>12.62</v>
      </c>
    </row>
    <row r="21" spans="1:119" x14ac:dyDescent="0.25">
      <c r="A21">
        <f>ROW(Source!A34)</f>
        <v>34</v>
      </c>
      <c r="B21">
        <v>57014138</v>
      </c>
      <c r="C21">
        <v>57014839</v>
      </c>
      <c r="D21">
        <v>55461719</v>
      </c>
      <c r="E21">
        <v>1</v>
      </c>
      <c r="F21">
        <v>1</v>
      </c>
      <c r="G21">
        <v>1081</v>
      </c>
      <c r="H21">
        <v>3</v>
      </c>
      <c r="I21" t="s">
        <v>409</v>
      </c>
      <c r="J21" t="s">
        <v>410</v>
      </c>
      <c r="K21" t="s">
        <v>411</v>
      </c>
      <c r="L21">
        <v>1348</v>
      </c>
      <c r="N21">
        <v>1009</v>
      </c>
      <c r="O21" t="s">
        <v>361</v>
      </c>
      <c r="P21" t="s">
        <v>361</v>
      </c>
      <c r="Q21">
        <v>1000</v>
      </c>
      <c r="W21">
        <v>0</v>
      </c>
      <c r="X21">
        <v>-1265888387</v>
      </c>
      <c r="Y21">
        <f>((AT21*1)*0)</f>
        <v>0</v>
      </c>
      <c r="AA21">
        <v>10643.18</v>
      </c>
      <c r="AB21">
        <v>0</v>
      </c>
      <c r="AC21">
        <v>0</v>
      </c>
      <c r="AD21">
        <v>0</v>
      </c>
      <c r="AE21">
        <v>10643.18</v>
      </c>
      <c r="AF21">
        <v>0</v>
      </c>
      <c r="AG21">
        <v>0</v>
      </c>
      <c r="AH21">
        <v>0</v>
      </c>
      <c r="AI21">
        <v>1</v>
      </c>
      <c r="AJ21">
        <v>1</v>
      </c>
      <c r="AK21">
        <v>1</v>
      </c>
      <c r="AL21">
        <v>1</v>
      </c>
      <c r="AM21">
        <v>-2</v>
      </c>
      <c r="AN21">
        <v>0</v>
      </c>
      <c r="AO21">
        <v>1</v>
      </c>
      <c r="AP21">
        <v>1</v>
      </c>
      <c r="AQ21">
        <v>0</v>
      </c>
      <c r="AR21">
        <v>0</v>
      </c>
      <c r="AS21" t="s">
        <v>3</v>
      </c>
      <c r="AT21">
        <v>1.1000000000000001E-3</v>
      </c>
      <c r="AU21" t="s">
        <v>29</v>
      </c>
      <c r="AV21">
        <v>0</v>
      </c>
      <c r="AW21">
        <v>2</v>
      </c>
      <c r="AX21">
        <v>57014846</v>
      </c>
      <c r="AY21">
        <v>1</v>
      </c>
      <c r="AZ21">
        <v>0</v>
      </c>
      <c r="BA21">
        <v>25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CV21">
        <v>0</v>
      </c>
      <c r="CW21">
        <v>0</v>
      </c>
      <c r="CX21">
        <f>ROUND(Y21*Source!I34,9)</f>
        <v>0</v>
      </c>
      <c r="CY21">
        <f>AA21</f>
        <v>10643.18</v>
      </c>
      <c r="CZ21">
        <f>AE21</f>
        <v>10643.18</v>
      </c>
      <c r="DA21">
        <f>AI21</f>
        <v>1</v>
      </c>
      <c r="DB21">
        <f>ROUND(((ROUND(AT21*CZ21,2)*1)*0),6)</f>
        <v>0</v>
      </c>
      <c r="DC21">
        <f>ROUND(((ROUND(AT21*AG21,2)*1)*0),6)</f>
        <v>0</v>
      </c>
      <c r="DD21" t="s">
        <v>3</v>
      </c>
      <c r="DE21" t="s">
        <v>3</v>
      </c>
      <c r="DF21">
        <f t="shared" si="7"/>
        <v>0</v>
      </c>
      <c r="DG21">
        <f t="shared" si="6"/>
        <v>0</v>
      </c>
      <c r="DH21">
        <f t="shared" si="4"/>
        <v>0</v>
      </c>
      <c r="DI21">
        <f t="shared" si="3"/>
        <v>0</v>
      </c>
      <c r="DJ21">
        <f>DF21</f>
        <v>0</v>
      </c>
      <c r="DK21">
        <v>0</v>
      </c>
      <c r="DL21" t="s">
        <v>3</v>
      </c>
      <c r="DM21">
        <v>0</v>
      </c>
      <c r="DN21" t="s">
        <v>3</v>
      </c>
      <c r="DO21">
        <v>0</v>
      </c>
    </row>
    <row r="22" spans="1:119" x14ac:dyDescent="0.25">
      <c r="A22">
        <f>ROW(Source!A34)</f>
        <v>34</v>
      </c>
      <c r="B22">
        <v>57014138</v>
      </c>
      <c r="C22">
        <v>57014839</v>
      </c>
      <c r="D22">
        <v>55459793</v>
      </c>
      <c r="E22">
        <v>1</v>
      </c>
      <c r="F22">
        <v>1</v>
      </c>
      <c r="G22">
        <v>1081</v>
      </c>
      <c r="H22">
        <v>3</v>
      </c>
      <c r="I22" t="s">
        <v>412</v>
      </c>
      <c r="J22" t="s">
        <v>413</v>
      </c>
      <c r="K22" t="s">
        <v>414</v>
      </c>
      <c r="L22">
        <v>1348</v>
      </c>
      <c r="N22">
        <v>1009</v>
      </c>
      <c r="O22" t="s">
        <v>361</v>
      </c>
      <c r="P22" t="s">
        <v>361</v>
      </c>
      <c r="Q22">
        <v>1000</v>
      </c>
      <c r="W22">
        <v>0</v>
      </c>
      <c r="X22">
        <v>-761454284</v>
      </c>
      <c r="Y22">
        <f>((AT22*1)*0)</f>
        <v>0</v>
      </c>
      <c r="AA22">
        <v>64123.05</v>
      </c>
      <c r="AB22">
        <v>0</v>
      </c>
      <c r="AC22">
        <v>0</v>
      </c>
      <c r="AD22">
        <v>0</v>
      </c>
      <c r="AE22">
        <v>64123.05</v>
      </c>
      <c r="AF22">
        <v>0</v>
      </c>
      <c r="AG22">
        <v>0</v>
      </c>
      <c r="AH22">
        <v>0</v>
      </c>
      <c r="AI22">
        <v>1</v>
      </c>
      <c r="AJ22">
        <v>1</v>
      </c>
      <c r="AK22">
        <v>1</v>
      </c>
      <c r="AL22">
        <v>1</v>
      </c>
      <c r="AM22">
        <v>-2</v>
      </c>
      <c r="AN22">
        <v>0</v>
      </c>
      <c r="AO22">
        <v>1</v>
      </c>
      <c r="AP22">
        <v>1</v>
      </c>
      <c r="AQ22">
        <v>0</v>
      </c>
      <c r="AR22">
        <v>0</v>
      </c>
      <c r="AS22" t="s">
        <v>3</v>
      </c>
      <c r="AT22">
        <v>1.0000000000000001E-5</v>
      </c>
      <c r="AU22" t="s">
        <v>29</v>
      </c>
      <c r="AV22">
        <v>0</v>
      </c>
      <c r="AW22">
        <v>2</v>
      </c>
      <c r="AX22">
        <v>57014847</v>
      </c>
      <c r="AY22">
        <v>1</v>
      </c>
      <c r="AZ22">
        <v>0</v>
      </c>
      <c r="BA22">
        <v>26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CV22">
        <v>0</v>
      </c>
      <c r="CW22">
        <v>0</v>
      </c>
      <c r="CX22">
        <f>ROUND(Y22*Source!I34,9)</f>
        <v>0</v>
      </c>
      <c r="CY22">
        <f>AA22</f>
        <v>64123.05</v>
      </c>
      <c r="CZ22">
        <f>AE22</f>
        <v>64123.05</v>
      </c>
      <c r="DA22">
        <f>AI22</f>
        <v>1</v>
      </c>
      <c r="DB22">
        <f>ROUND(((ROUND(AT22*CZ22,2)*1)*0),6)</f>
        <v>0</v>
      </c>
      <c r="DC22">
        <f>ROUND(((ROUND(AT22*AG22,2)*1)*0),6)</f>
        <v>0</v>
      </c>
      <c r="DD22" t="s">
        <v>3</v>
      </c>
      <c r="DE22" t="s">
        <v>3</v>
      </c>
      <c r="DF22">
        <f t="shared" si="7"/>
        <v>0</v>
      </c>
      <c r="DG22">
        <f t="shared" si="6"/>
        <v>0</v>
      </c>
      <c r="DH22">
        <f t="shared" si="4"/>
        <v>0</v>
      </c>
      <c r="DI22">
        <f t="shared" si="3"/>
        <v>0</v>
      </c>
      <c r="DJ22">
        <f>DF22</f>
        <v>0</v>
      </c>
      <c r="DK22">
        <v>0</v>
      </c>
      <c r="DL22" t="s">
        <v>3</v>
      </c>
      <c r="DM22">
        <v>0</v>
      </c>
      <c r="DN22" t="s">
        <v>3</v>
      </c>
      <c r="DO22">
        <v>0</v>
      </c>
    </row>
    <row r="23" spans="1:119" x14ac:dyDescent="0.25">
      <c r="A23">
        <f>ROW(Source!A35)</f>
        <v>35</v>
      </c>
      <c r="B23">
        <v>57014140</v>
      </c>
      <c r="C23">
        <v>57014839</v>
      </c>
      <c r="D23">
        <v>55424304</v>
      </c>
      <c r="E23">
        <v>1081</v>
      </c>
      <c r="F23">
        <v>1</v>
      </c>
      <c r="G23">
        <v>1081</v>
      </c>
      <c r="H23">
        <v>1</v>
      </c>
      <c r="I23" t="s">
        <v>385</v>
      </c>
      <c r="J23" t="s">
        <v>3</v>
      </c>
      <c r="K23" t="s">
        <v>386</v>
      </c>
      <c r="L23">
        <v>1191</v>
      </c>
      <c r="N23">
        <v>1013</v>
      </c>
      <c r="O23" t="s">
        <v>387</v>
      </c>
      <c r="P23" t="s">
        <v>387</v>
      </c>
      <c r="Q23">
        <v>1</v>
      </c>
      <c r="W23">
        <v>0</v>
      </c>
      <c r="X23">
        <v>476480486</v>
      </c>
      <c r="Y23">
        <f>((AT23*1.2)*0.3)</f>
        <v>2.2319999999999998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1</v>
      </c>
      <c r="AJ23">
        <v>1</v>
      </c>
      <c r="AK23">
        <v>1</v>
      </c>
      <c r="AL23">
        <v>1</v>
      </c>
      <c r="AM23">
        <v>5</v>
      </c>
      <c r="AN23">
        <v>0</v>
      </c>
      <c r="AO23">
        <v>1</v>
      </c>
      <c r="AP23">
        <v>1</v>
      </c>
      <c r="AQ23">
        <v>0</v>
      </c>
      <c r="AR23">
        <v>0</v>
      </c>
      <c r="AS23" t="s">
        <v>3</v>
      </c>
      <c r="AT23">
        <v>6.2</v>
      </c>
      <c r="AU23" t="s">
        <v>30</v>
      </c>
      <c r="AV23">
        <v>1</v>
      </c>
      <c r="AW23">
        <v>2</v>
      </c>
      <c r="AX23">
        <v>57014844</v>
      </c>
      <c r="AY23">
        <v>1</v>
      </c>
      <c r="AZ23">
        <v>0</v>
      </c>
      <c r="BA23">
        <v>28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CU23">
        <f>ROUND(AT23*Source!I35*AH23*AL23,2)</f>
        <v>0</v>
      </c>
      <c r="CV23">
        <f>ROUND(Y23*Source!I35,9)</f>
        <v>2.2320000000000002</v>
      </c>
      <c r="CW23">
        <v>0</v>
      </c>
      <c r="CX23">
        <f>ROUND(Y23*Source!I35,9)</f>
        <v>2.2320000000000002</v>
      </c>
      <c r="CY23">
        <f>AD23</f>
        <v>0</v>
      </c>
      <c r="CZ23">
        <f>AH23</f>
        <v>0</v>
      </c>
      <c r="DA23">
        <f>AL23</f>
        <v>1</v>
      </c>
      <c r="DB23">
        <f>ROUND(((ROUND(AT23*CZ23,2)*1.2)*0.3),6)</f>
        <v>0</v>
      </c>
      <c r="DC23">
        <f>ROUND(((ROUND(AT23*AG23,2)*1.2)*0.3),6)</f>
        <v>0</v>
      </c>
      <c r="DD23" t="s">
        <v>3</v>
      </c>
      <c r="DE23" t="s">
        <v>3</v>
      </c>
      <c r="DF23">
        <f t="shared" si="7"/>
        <v>0</v>
      </c>
      <c r="DG23">
        <f t="shared" si="6"/>
        <v>0</v>
      </c>
      <c r="DH23">
        <f t="shared" si="4"/>
        <v>0</v>
      </c>
      <c r="DI23">
        <f t="shared" si="3"/>
        <v>0</v>
      </c>
      <c r="DJ23">
        <f>DI23</f>
        <v>0</v>
      </c>
      <c r="DK23">
        <v>0</v>
      </c>
      <c r="DL23" t="s">
        <v>3</v>
      </c>
      <c r="DM23">
        <v>0</v>
      </c>
      <c r="DN23" t="s">
        <v>3</v>
      </c>
      <c r="DO23">
        <v>0</v>
      </c>
    </row>
    <row r="24" spans="1:119" x14ac:dyDescent="0.25">
      <c r="A24">
        <f>ROW(Source!A35)</f>
        <v>35</v>
      </c>
      <c r="B24">
        <v>57014140</v>
      </c>
      <c r="C24">
        <v>57014839</v>
      </c>
      <c r="D24">
        <v>55489513</v>
      </c>
      <c r="E24">
        <v>1</v>
      </c>
      <c r="F24">
        <v>1</v>
      </c>
      <c r="G24">
        <v>1081</v>
      </c>
      <c r="H24">
        <v>2</v>
      </c>
      <c r="I24" t="s">
        <v>388</v>
      </c>
      <c r="J24" t="s">
        <v>389</v>
      </c>
      <c r="K24" t="s">
        <v>390</v>
      </c>
      <c r="L24">
        <v>1368</v>
      </c>
      <c r="N24">
        <v>1011</v>
      </c>
      <c r="O24" t="s">
        <v>391</v>
      </c>
      <c r="P24" t="s">
        <v>391</v>
      </c>
      <c r="Q24">
        <v>1</v>
      </c>
      <c r="W24">
        <v>0</v>
      </c>
      <c r="X24">
        <v>-1520980008</v>
      </c>
      <c r="Y24">
        <f>((AT24*1.2)*0.3)</f>
        <v>0.09</v>
      </c>
      <c r="AA24">
        <v>0</v>
      </c>
      <c r="AB24">
        <v>1942.87</v>
      </c>
      <c r="AC24">
        <v>744.56</v>
      </c>
      <c r="AD24">
        <v>0</v>
      </c>
      <c r="AE24">
        <v>0</v>
      </c>
      <c r="AF24">
        <v>114.83</v>
      </c>
      <c r="AG24">
        <v>12.62</v>
      </c>
      <c r="AH24">
        <v>0</v>
      </c>
      <c r="AI24">
        <v>1</v>
      </c>
      <c r="AJ24">
        <v>16.16</v>
      </c>
      <c r="AK24">
        <v>56.35</v>
      </c>
      <c r="AL24">
        <v>1</v>
      </c>
      <c r="AM24">
        <v>2</v>
      </c>
      <c r="AN24">
        <v>0</v>
      </c>
      <c r="AO24">
        <v>1</v>
      </c>
      <c r="AP24">
        <v>1</v>
      </c>
      <c r="AQ24">
        <v>0</v>
      </c>
      <c r="AR24">
        <v>0</v>
      </c>
      <c r="AS24" t="s">
        <v>3</v>
      </c>
      <c r="AT24">
        <v>0.25</v>
      </c>
      <c r="AU24" t="s">
        <v>30</v>
      </c>
      <c r="AV24">
        <v>0</v>
      </c>
      <c r="AW24">
        <v>2</v>
      </c>
      <c r="AX24">
        <v>57014845</v>
      </c>
      <c r="AY24">
        <v>1</v>
      </c>
      <c r="AZ24">
        <v>0</v>
      </c>
      <c r="BA24">
        <v>29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CV24">
        <v>0</v>
      </c>
      <c r="CW24">
        <f>ROUND(Y24*Source!I35*DO24,9)</f>
        <v>1.1357999999999999</v>
      </c>
      <c r="CX24">
        <f>ROUND(Y24*Source!I35,9)</f>
        <v>0.09</v>
      </c>
      <c r="CY24">
        <f>AB24</f>
        <v>1942.87</v>
      </c>
      <c r="CZ24">
        <f>AF24</f>
        <v>114.83</v>
      </c>
      <c r="DA24">
        <f>AJ24</f>
        <v>16.16</v>
      </c>
      <c r="DB24">
        <f>ROUND(((ROUND(AT24*CZ24,2)*1.2)*0.3),6)</f>
        <v>10.335599999999999</v>
      </c>
      <c r="DC24">
        <f>ROUND(((ROUND(AT24*AG24,2)*1.2)*0.3),6)</f>
        <v>1.1375999999999999</v>
      </c>
      <c r="DD24" t="s">
        <v>3</v>
      </c>
      <c r="DE24" t="s">
        <v>3</v>
      </c>
      <c r="DF24">
        <f t="shared" si="7"/>
        <v>0</v>
      </c>
      <c r="DG24">
        <f>ROUND(ROUND(AF24*AJ24,2)*CX24,2)</f>
        <v>167.01</v>
      </c>
      <c r="DH24">
        <f>ROUND(ROUND(AG24*AK24,2)*CX24,2)</f>
        <v>64</v>
      </c>
      <c r="DI24">
        <f t="shared" si="3"/>
        <v>0</v>
      </c>
      <c r="DJ24">
        <f>DG24</f>
        <v>167.01</v>
      </c>
      <c r="DK24">
        <v>0</v>
      </c>
      <c r="DL24" t="s">
        <v>392</v>
      </c>
      <c r="DM24">
        <v>0</v>
      </c>
      <c r="DN24" t="s">
        <v>387</v>
      </c>
      <c r="DO24">
        <v>12.62</v>
      </c>
    </row>
    <row r="25" spans="1:119" x14ac:dyDescent="0.25">
      <c r="A25">
        <f>ROW(Source!A35)</f>
        <v>35</v>
      </c>
      <c r="B25">
        <v>57014140</v>
      </c>
      <c r="C25">
        <v>57014839</v>
      </c>
      <c r="D25">
        <v>55461719</v>
      </c>
      <c r="E25">
        <v>1</v>
      </c>
      <c r="F25">
        <v>1</v>
      </c>
      <c r="G25">
        <v>1081</v>
      </c>
      <c r="H25">
        <v>3</v>
      </c>
      <c r="I25" t="s">
        <v>409</v>
      </c>
      <c r="J25" t="s">
        <v>410</v>
      </c>
      <c r="K25" t="s">
        <v>411</v>
      </c>
      <c r="L25">
        <v>1348</v>
      </c>
      <c r="N25">
        <v>1009</v>
      </c>
      <c r="O25" t="s">
        <v>361</v>
      </c>
      <c r="P25" t="s">
        <v>361</v>
      </c>
      <c r="Q25">
        <v>1000</v>
      </c>
      <c r="W25">
        <v>0</v>
      </c>
      <c r="X25">
        <v>-1265888387</v>
      </c>
      <c r="Y25">
        <f>((AT25*1)*0)</f>
        <v>0</v>
      </c>
      <c r="AA25">
        <v>147514.47</v>
      </c>
      <c r="AB25">
        <v>0</v>
      </c>
      <c r="AC25">
        <v>0</v>
      </c>
      <c r="AD25">
        <v>0</v>
      </c>
      <c r="AE25">
        <v>10643.18</v>
      </c>
      <c r="AF25">
        <v>0</v>
      </c>
      <c r="AG25">
        <v>0</v>
      </c>
      <c r="AH25">
        <v>0</v>
      </c>
      <c r="AI25">
        <v>13.86</v>
      </c>
      <c r="AJ25">
        <v>1</v>
      </c>
      <c r="AK25">
        <v>1</v>
      </c>
      <c r="AL25">
        <v>1</v>
      </c>
      <c r="AM25">
        <v>2</v>
      </c>
      <c r="AN25">
        <v>0</v>
      </c>
      <c r="AO25">
        <v>1</v>
      </c>
      <c r="AP25">
        <v>1</v>
      </c>
      <c r="AQ25">
        <v>0</v>
      </c>
      <c r="AR25">
        <v>0</v>
      </c>
      <c r="AS25" t="s">
        <v>3</v>
      </c>
      <c r="AT25">
        <v>1.1000000000000001E-3</v>
      </c>
      <c r="AU25" t="s">
        <v>29</v>
      </c>
      <c r="AV25">
        <v>0</v>
      </c>
      <c r="AW25">
        <v>2</v>
      </c>
      <c r="AX25">
        <v>57014846</v>
      </c>
      <c r="AY25">
        <v>1</v>
      </c>
      <c r="AZ25">
        <v>0</v>
      </c>
      <c r="BA25">
        <v>30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CV25">
        <v>0</v>
      </c>
      <c r="CW25">
        <v>0</v>
      </c>
      <c r="CX25">
        <f>ROUND(Y25*Source!I35,9)</f>
        <v>0</v>
      </c>
      <c r="CY25">
        <f>AA25</f>
        <v>147514.47</v>
      </c>
      <c r="CZ25">
        <f>AE25</f>
        <v>10643.18</v>
      </c>
      <c r="DA25">
        <f>AI25</f>
        <v>13.86</v>
      </c>
      <c r="DB25">
        <f>ROUND(((ROUND(AT25*CZ25,2)*1)*0),6)</f>
        <v>0</v>
      </c>
      <c r="DC25">
        <f>ROUND(((ROUND(AT25*AG25,2)*1)*0),6)</f>
        <v>0</v>
      </c>
      <c r="DD25" t="s">
        <v>3</v>
      </c>
      <c r="DE25" t="s">
        <v>3</v>
      </c>
      <c r="DF25">
        <f>ROUND(ROUND(AE25*AI25,2)*CX25,2)</f>
        <v>0</v>
      </c>
      <c r="DG25">
        <f t="shared" ref="DG25:DG33" si="8">ROUND(ROUND(AF25,2)*CX25,2)</f>
        <v>0</v>
      </c>
      <c r="DH25">
        <f t="shared" ref="DH25:DH56" si="9">ROUND(ROUND(AG25,2)*CX25,2)</f>
        <v>0</v>
      </c>
      <c r="DI25">
        <f t="shared" si="3"/>
        <v>0</v>
      </c>
      <c r="DJ25">
        <f>DF25</f>
        <v>0</v>
      </c>
      <c r="DK25">
        <v>0</v>
      </c>
      <c r="DL25" t="s">
        <v>3</v>
      </c>
      <c r="DM25">
        <v>0</v>
      </c>
      <c r="DN25" t="s">
        <v>3</v>
      </c>
      <c r="DO25">
        <v>0</v>
      </c>
    </row>
    <row r="26" spans="1:119" x14ac:dyDescent="0.25">
      <c r="A26">
        <f>ROW(Source!A35)</f>
        <v>35</v>
      </c>
      <c r="B26">
        <v>57014140</v>
      </c>
      <c r="C26">
        <v>57014839</v>
      </c>
      <c r="D26">
        <v>55459793</v>
      </c>
      <c r="E26">
        <v>1</v>
      </c>
      <c r="F26">
        <v>1</v>
      </c>
      <c r="G26">
        <v>1081</v>
      </c>
      <c r="H26">
        <v>3</v>
      </c>
      <c r="I26" t="s">
        <v>412</v>
      </c>
      <c r="J26" t="s">
        <v>413</v>
      </c>
      <c r="K26" t="s">
        <v>414</v>
      </c>
      <c r="L26">
        <v>1348</v>
      </c>
      <c r="N26">
        <v>1009</v>
      </c>
      <c r="O26" t="s">
        <v>361</v>
      </c>
      <c r="P26" t="s">
        <v>361</v>
      </c>
      <c r="Q26">
        <v>1000</v>
      </c>
      <c r="W26">
        <v>0</v>
      </c>
      <c r="X26">
        <v>-761454284</v>
      </c>
      <c r="Y26">
        <f>((AT26*1)*0)</f>
        <v>0</v>
      </c>
      <c r="AA26">
        <v>1930745.04</v>
      </c>
      <c r="AB26">
        <v>0</v>
      </c>
      <c r="AC26">
        <v>0</v>
      </c>
      <c r="AD26">
        <v>0</v>
      </c>
      <c r="AE26">
        <v>64123.05</v>
      </c>
      <c r="AF26">
        <v>0</v>
      </c>
      <c r="AG26">
        <v>0</v>
      </c>
      <c r="AH26">
        <v>0</v>
      </c>
      <c r="AI26">
        <v>30.11</v>
      </c>
      <c r="AJ26">
        <v>1</v>
      </c>
      <c r="AK26">
        <v>1</v>
      </c>
      <c r="AL26">
        <v>1</v>
      </c>
      <c r="AM26">
        <v>2</v>
      </c>
      <c r="AN26">
        <v>0</v>
      </c>
      <c r="AO26">
        <v>1</v>
      </c>
      <c r="AP26">
        <v>1</v>
      </c>
      <c r="AQ26">
        <v>0</v>
      </c>
      <c r="AR26">
        <v>0</v>
      </c>
      <c r="AS26" t="s">
        <v>3</v>
      </c>
      <c r="AT26">
        <v>1.0000000000000001E-5</v>
      </c>
      <c r="AU26" t="s">
        <v>29</v>
      </c>
      <c r="AV26">
        <v>0</v>
      </c>
      <c r="AW26">
        <v>2</v>
      </c>
      <c r="AX26">
        <v>57014847</v>
      </c>
      <c r="AY26">
        <v>1</v>
      </c>
      <c r="AZ26">
        <v>0</v>
      </c>
      <c r="BA26">
        <v>31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CV26">
        <v>0</v>
      </c>
      <c r="CW26">
        <v>0</v>
      </c>
      <c r="CX26">
        <f>ROUND(Y26*Source!I35,9)</f>
        <v>0</v>
      </c>
      <c r="CY26">
        <f>AA26</f>
        <v>1930745.04</v>
      </c>
      <c r="CZ26">
        <f>AE26</f>
        <v>64123.05</v>
      </c>
      <c r="DA26">
        <f>AI26</f>
        <v>30.11</v>
      </c>
      <c r="DB26">
        <f>ROUND(((ROUND(AT26*CZ26,2)*1)*0),6)</f>
        <v>0</v>
      </c>
      <c r="DC26">
        <f>ROUND(((ROUND(AT26*AG26,2)*1)*0),6)</f>
        <v>0</v>
      </c>
      <c r="DD26" t="s">
        <v>3</v>
      </c>
      <c r="DE26" t="s">
        <v>3</v>
      </c>
      <c r="DF26">
        <f>ROUND(ROUND(AE26*AI26,2)*CX26,2)</f>
        <v>0</v>
      </c>
      <c r="DG26">
        <f t="shared" si="8"/>
        <v>0</v>
      </c>
      <c r="DH26">
        <f t="shared" si="9"/>
        <v>0</v>
      </c>
      <c r="DI26">
        <f t="shared" si="3"/>
        <v>0</v>
      </c>
      <c r="DJ26">
        <f>DF26</f>
        <v>0</v>
      </c>
      <c r="DK26">
        <v>0</v>
      </c>
      <c r="DL26" t="s">
        <v>3</v>
      </c>
      <c r="DM26">
        <v>0</v>
      </c>
      <c r="DN26" t="s">
        <v>3</v>
      </c>
      <c r="DO26">
        <v>0</v>
      </c>
    </row>
    <row r="27" spans="1:119" x14ac:dyDescent="0.25">
      <c r="A27">
        <f>ROW(Source!A36)</f>
        <v>36</v>
      </c>
      <c r="B27">
        <v>57014138</v>
      </c>
      <c r="C27">
        <v>57014849</v>
      </c>
      <c r="D27">
        <v>55424304</v>
      </c>
      <c r="E27">
        <v>1081</v>
      </c>
      <c r="F27">
        <v>1</v>
      </c>
      <c r="G27">
        <v>1081</v>
      </c>
      <c r="H27">
        <v>1</v>
      </c>
      <c r="I27" t="s">
        <v>385</v>
      </c>
      <c r="J27" t="s">
        <v>3</v>
      </c>
      <c r="K27" t="s">
        <v>386</v>
      </c>
      <c r="L27">
        <v>1191</v>
      </c>
      <c r="N27">
        <v>1013</v>
      </c>
      <c r="O27" t="s">
        <v>387</v>
      </c>
      <c r="P27" t="s">
        <v>387</v>
      </c>
      <c r="Q27">
        <v>1</v>
      </c>
      <c r="W27">
        <v>0</v>
      </c>
      <c r="X27">
        <v>476480486</v>
      </c>
      <c r="Y27">
        <f>((AT27*1.2)*0.3)</f>
        <v>0.48960000000000004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1</v>
      </c>
      <c r="AJ27">
        <v>1</v>
      </c>
      <c r="AK27">
        <v>1</v>
      </c>
      <c r="AL27">
        <v>1</v>
      </c>
      <c r="AM27">
        <v>-2</v>
      </c>
      <c r="AN27">
        <v>0</v>
      </c>
      <c r="AO27">
        <v>1</v>
      </c>
      <c r="AP27">
        <v>1</v>
      </c>
      <c r="AQ27">
        <v>0</v>
      </c>
      <c r="AR27">
        <v>0</v>
      </c>
      <c r="AS27" t="s">
        <v>3</v>
      </c>
      <c r="AT27">
        <v>1.36</v>
      </c>
      <c r="AU27" t="s">
        <v>30</v>
      </c>
      <c r="AV27">
        <v>1</v>
      </c>
      <c r="AW27">
        <v>2</v>
      </c>
      <c r="AX27">
        <v>57014856</v>
      </c>
      <c r="AY27">
        <v>1</v>
      </c>
      <c r="AZ27">
        <v>0</v>
      </c>
      <c r="BA27">
        <v>33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CU27">
        <f>ROUND(AT27*Source!I36*AH27*AL27,2)</f>
        <v>0</v>
      </c>
      <c r="CV27">
        <f>ROUND(Y27*Source!I36,9)</f>
        <v>5.8752000000000004</v>
      </c>
      <c r="CW27">
        <v>0</v>
      </c>
      <c r="CX27">
        <f>ROUND(Y27*Source!I36,9)</f>
        <v>5.8752000000000004</v>
      </c>
      <c r="CY27">
        <f>AD27</f>
        <v>0</v>
      </c>
      <c r="CZ27">
        <f>AH27</f>
        <v>0</v>
      </c>
      <c r="DA27">
        <f>AL27</f>
        <v>1</v>
      </c>
      <c r="DB27">
        <f>ROUND(((ROUND(AT27*CZ27,2)*1.2)*0.3),6)</f>
        <v>0</v>
      </c>
      <c r="DC27">
        <f>ROUND(((ROUND(AT27*AG27,2)*1.2)*0.3),6)</f>
        <v>0</v>
      </c>
      <c r="DD27" t="s">
        <v>3</v>
      </c>
      <c r="DE27" t="s">
        <v>3</v>
      </c>
      <c r="DF27">
        <f t="shared" ref="DF27:DF35" si="10">ROUND(ROUND(AE27,2)*CX27,2)</f>
        <v>0</v>
      </c>
      <c r="DG27">
        <f t="shared" si="8"/>
        <v>0</v>
      </c>
      <c r="DH27">
        <f t="shared" si="9"/>
        <v>0</v>
      </c>
      <c r="DI27">
        <f t="shared" si="3"/>
        <v>0</v>
      </c>
      <c r="DJ27">
        <f>DI27</f>
        <v>0</v>
      </c>
      <c r="DK27">
        <v>0</v>
      </c>
      <c r="DL27" t="s">
        <v>3</v>
      </c>
      <c r="DM27">
        <v>0</v>
      </c>
      <c r="DN27" t="s">
        <v>3</v>
      </c>
      <c r="DO27">
        <v>0</v>
      </c>
    </row>
    <row r="28" spans="1:119" x14ac:dyDescent="0.25">
      <c r="A28">
        <f>ROW(Source!A36)</f>
        <v>36</v>
      </c>
      <c r="B28">
        <v>57014138</v>
      </c>
      <c r="C28">
        <v>57014849</v>
      </c>
      <c r="D28">
        <v>55490330</v>
      </c>
      <c r="E28">
        <v>1</v>
      </c>
      <c r="F28">
        <v>1</v>
      </c>
      <c r="G28">
        <v>1081</v>
      </c>
      <c r="H28">
        <v>2</v>
      </c>
      <c r="I28" t="s">
        <v>403</v>
      </c>
      <c r="J28" t="s">
        <v>404</v>
      </c>
      <c r="K28" t="s">
        <v>405</v>
      </c>
      <c r="L28">
        <v>1368</v>
      </c>
      <c r="N28">
        <v>1011</v>
      </c>
      <c r="O28" t="s">
        <v>391</v>
      </c>
      <c r="P28" t="s">
        <v>391</v>
      </c>
      <c r="Q28">
        <v>1</v>
      </c>
      <c r="W28">
        <v>0</v>
      </c>
      <c r="X28">
        <v>-2083101341</v>
      </c>
      <c r="Y28">
        <f>((AT28*1.2)*0.3)</f>
        <v>6.1200000000000004E-3</v>
      </c>
      <c r="AA28">
        <v>0</v>
      </c>
      <c r="AB28">
        <v>0.84</v>
      </c>
      <c r="AC28">
        <v>0</v>
      </c>
      <c r="AD28">
        <v>0</v>
      </c>
      <c r="AE28">
        <v>0</v>
      </c>
      <c r="AF28">
        <v>0.8</v>
      </c>
      <c r="AG28">
        <v>0</v>
      </c>
      <c r="AH28">
        <v>0</v>
      </c>
      <c r="AI28">
        <v>1</v>
      </c>
      <c r="AJ28">
        <v>1</v>
      </c>
      <c r="AK28">
        <v>1</v>
      </c>
      <c r="AL28">
        <v>1</v>
      </c>
      <c r="AM28">
        <v>-2</v>
      </c>
      <c r="AN28">
        <v>0</v>
      </c>
      <c r="AO28">
        <v>1</v>
      </c>
      <c r="AP28">
        <v>1</v>
      </c>
      <c r="AQ28">
        <v>0</v>
      </c>
      <c r="AR28">
        <v>0</v>
      </c>
      <c r="AS28" t="s">
        <v>3</v>
      </c>
      <c r="AT28">
        <v>1.7000000000000001E-2</v>
      </c>
      <c r="AU28" t="s">
        <v>30</v>
      </c>
      <c r="AV28">
        <v>0</v>
      </c>
      <c r="AW28">
        <v>2</v>
      </c>
      <c r="AX28">
        <v>57014857</v>
      </c>
      <c r="AY28">
        <v>1</v>
      </c>
      <c r="AZ28">
        <v>0</v>
      </c>
      <c r="BA28">
        <v>34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CV28">
        <v>0</v>
      </c>
      <c r="CW28">
        <f>ROUND(Y28*Source!I36*DO28,9)</f>
        <v>0</v>
      </c>
      <c r="CX28">
        <f>ROUND(Y28*Source!I36,9)</f>
        <v>7.3440000000000005E-2</v>
      </c>
      <c r="CY28">
        <f>AB28</f>
        <v>0.84</v>
      </c>
      <c r="CZ28">
        <f>AF28</f>
        <v>0.8</v>
      </c>
      <c r="DA28">
        <f>AJ28</f>
        <v>1</v>
      </c>
      <c r="DB28">
        <f>ROUND(((ROUND(AT28*CZ28,2)*1.2)*0.3),6)</f>
        <v>3.5999999999999999E-3</v>
      </c>
      <c r="DC28">
        <f>ROUND(((ROUND(AT28*AG28,2)*1.2)*0.3),6)</f>
        <v>0</v>
      </c>
      <c r="DD28" t="s">
        <v>3</v>
      </c>
      <c r="DE28" t="s">
        <v>3</v>
      </c>
      <c r="DF28">
        <f t="shared" si="10"/>
        <v>0</v>
      </c>
      <c r="DG28">
        <f t="shared" si="8"/>
        <v>0.06</v>
      </c>
      <c r="DH28">
        <f t="shared" si="9"/>
        <v>0</v>
      </c>
      <c r="DI28">
        <f t="shared" si="3"/>
        <v>0</v>
      </c>
      <c r="DJ28">
        <f>DG28</f>
        <v>0.06</v>
      </c>
      <c r="DK28">
        <v>0</v>
      </c>
      <c r="DL28" t="s">
        <v>3</v>
      </c>
      <c r="DM28">
        <v>0</v>
      </c>
      <c r="DN28" t="s">
        <v>3</v>
      </c>
      <c r="DO28">
        <v>0</v>
      </c>
    </row>
    <row r="29" spans="1:119" x14ac:dyDescent="0.25">
      <c r="A29">
        <f>ROW(Source!A36)</f>
        <v>36</v>
      </c>
      <c r="B29">
        <v>57014138</v>
      </c>
      <c r="C29">
        <v>57014849</v>
      </c>
      <c r="D29">
        <v>55490296</v>
      </c>
      <c r="E29">
        <v>1</v>
      </c>
      <c r="F29">
        <v>1</v>
      </c>
      <c r="G29">
        <v>1081</v>
      </c>
      <c r="H29">
        <v>2</v>
      </c>
      <c r="I29" t="s">
        <v>415</v>
      </c>
      <c r="J29" t="s">
        <v>416</v>
      </c>
      <c r="K29" t="s">
        <v>417</v>
      </c>
      <c r="L29">
        <v>1368</v>
      </c>
      <c r="N29">
        <v>1011</v>
      </c>
      <c r="O29" t="s">
        <v>391</v>
      </c>
      <c r="P29" t="s">
        <v>391</v>
      </c>
      <c r="Q29">
        <v>1</v>
      </c>
      <c r="W29">
        <v>0</v>
      </c>
      <c r="X29">
        <v>-643591644</v>
      </c>
      <c r="Y29">
        <f>((AT29*1.2)*0.3)</f>
        <v>7.1999999999999998E-3</v>
      </c>
      <c r="AA29">
        <v>0</v>
      </c>
      <c r="AB29">
        <v>0.49</v>
      </c>
      <c r="AC29">
        <v>0</v>
      </c>
      <c r="AD29">
        <v>0</v>
      </c>
      <c r="AE29">
        <v>0</v>
      </c>
      <c r="AF29">
        <v>0.47</v>
      </c>
      <c r="AG29">
        <v>0</v>
      </c>
      <c r="AH29">
        <v>0</v>
      </c>
      <c r="AI29">
        <v>1</v>
      </c>
      <c r="AJ29">
        <v>1</v>
      </c>
      <c r="AK29">
        <v>1</v>
      </c>
      <c r="AL29">
        <v>1</v>
      </c>
      <c r="AM29">
        <v>-2</v>
      </c>
      <c r="AN29">
        <v>0</v>
      </c>
      <c r="AO29">
        <v>1</v>
      </c>
      <c r="AP29">
        <v>1</v>
      </c>
      <c r="AQ29">
        <v>0</v>
      </c>
      <c r="AR29">
        <v>0</v>
      </c>
      <c r="AS29" t="s">
        <v>3</v>
      </c>
      <c r="AT29">
        <v>0.02</v>
      </c>
      <c r="AU29" t="s">
        <v>30</v>
      </c>
      <c r="AV29">
        <v>0</v>
      </c>
      <c r="AW29">
        <v>2</v>
      </c>
      <c r="AX29">
        <v>57014858</v>
      </c>
      <c r="AY29">
        <v>1</v>
      </c>
      <c r="AZ29">
        <v>0</v>
      </c>
      <c r="BA29">
        <v>35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CV29">
        <v>0</v>
      </c>
      <c r="CW29">
        <f>ROUND(Y29*Source!I36*DO29,9)</f>
        <v>0</v>
      </c>
      <c r="CX29">
        <f>ROUND(Y29*Source!I36,9)</f>
        <v>8.6400000000000005E-2</v>
      </c>
      <c r="CY29">
        <f>AB29</f>
        <v>0.49</v>
      </c>
      <c r="CZ29">
        <f>AF29</f>
        <v>0.47</v>
      </c>
      <c r="DA29">
        <f>AJ29</f>
        <v>1</v>
      </c>
      <c r="DB29">
        <f>ROUND(((ROUND(AT29*CZ29,2)*1.2)*0.3),6)</f>
        <v>3.5999999999999999E-3</v>
      </c>
      <c r="DC29">
        <f>ROUND(((ROUND(AT29*AG29,2)*1.2)*0.3),6)</f>
        <v>0</v>
      </c>
      <c r="DD29" t="s">
        <v>3</v>
      </c>
      <c r="DE29" t="s">
        <v>3</v>
      </c>
      <c r="DF29">
        <f t="shared" si="10"/>
        <v>0</v>
      </c>
      <c r="DG29">
        <f t="shared" si="8"/>
        <v>0.04</v>
      </c>
      <c r="DH29">
        <f t="shared" si="9"/>
        <v>0</v>
      </c>
      <c r="DI29">
        <f t="shared" si="3"/>
        <v>0</v>
      </c>
      <c r="DJ29">
        <f>DG29</f>
        <v>0.04</v>
      </c>
      <c r="DK29">
        <v>0</v>
      </c>
      <c r="DL29" t="s">
        <v>3</v>
      </c>
      <c r="DM29">
        <v>0</v>
      </c>
      <c r="DN29" t="s">
        <v>3</v>
      </c>
      <c r="DO29">
        <v>0</v>
      </c>
    </row>
    <row r="30" spans="1:119" x14ac:dyDescent="0.25">
      <c r="A30">
        <f>ROW(Source!A36)</f>
        <v>36</v>
      </c>
      <c r="B30">
        <v>57014138</v>
      </c>
      <c r="C30">
        <v>57014849</v>
      </c>
      <c r="D30">
        <v>55461074</v>
      </c>
      <c r="E30">
        <v>1</v>
      </c>
      <c r="F30">
        <v>1</v>
      </c>
      <c r="G30">
        <v>1081</v>
      </c>
      <c r="H30">
        <v>3</v>
      </c>
      <c r="I30" t="s">
        <v>418</v>
      </c>
      <c r="J30" t="s">
        <v>419</v>
      </c>
      <c r="K30" t="s">
        <v>420</v>
      </c>
      <c r="L30">
        <v>1346</v>
      </c>
      <c r="N30">
        <v>1009</v>
      </c>
      <c r="O30" t="s">
        <v>365</v>
      </c>
      <c r="P30" t="s">
        <v>365</v>
      </c>
      <c r="Q30">
        <v>1</v>
      </c>
      <c r="W30">
        <v>0</v>
      </c>
      <c r="X30">
        <v>-861631226</v>
      </c>
      <c r="Y30">
        <f>((AT30*1)*0)</f>
        <v>0</v>
      </c>
      <c r="AA30">
        <v>27.62</v>
      </c>
      <c r="AB30">
        <v>0</v>
      </c>
      <c r="AC30">
        <v>0</v>
      </c>
      <c r="AD30">
        <v>0</v>
      </c>
      <c r="AE30">
        <v>27.62</v>
      </c>
      <c r="AF30">
        <v>0</v>
      </c>
      <c r="AG30">
        <v>0</v>
      </c>
      <c r="AH30">
        <v>0</v>
      </c>
      <c r="AI30">
        <v>1</v>
      </c>
      <c r="AJ30">
        <v>1</v>
      </c>
      <c r="AK30">
        <v>1</v>
      </c>
      <c r="AL30">
        <v>1</v>
      </c>
      <c r="AM30">
        <v>-2</v>
      </c>
      <c r="AN30">
        <v>0</v>
      </c>
      <c r="AO30">
        <v>1</v>
      </c>
      <c r="AP30">
        <v>1</v>
      </c>
      <c r="AQ30">
        <v>0</v>
      </c>
      <c r="AR30">
        <v>0</v>
      </c>
      <c r="AS30" t="s">
        <v>3</v>
      </c>
      <c r="AT30">
        <v>6.2700000000000004E-3</v>
      </c>
      <c r="AU30" t="s">
        <v>29</v>
      </c>
      <c r="AV30">
        <v>0</v>
      </c>
      <c r="AW30">
        <v>2</v>
      </c>
      <c r="AX30">
        <v>57014859</v>
      </c>
      <c r="AY30">
        <v>1</v>
      </c>
      <c r="AZ30">
        <v>0</v>
      </c>
      <c r="BA30">
        <v>36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CV30">
        <v>0</v>
      </c>
      <c r="CW30">
        <v>0</v>
      </c>
      <c r="CX30">
        <f>ROUND(Y30*Source!I36,9)</f>
        <v>0</v>
      </c>
      <c r="CY30">
        <f>AA30</f>
        <v>27.62</v>
      </c>
      <c r="CZ30">
        <f>AE30</f>
        <v>27.62</v>
      </c>
      <c r="DA30">
        <f>AI30</f>
        <v>1</v>
      </c>
      <c r="DB30">
        <f>ROUND(((ROUND(AT30*CZ30,2)*1)*0),6)</f>
        <v>0</v>
      </c>
      <c r="DC30">
        <f>ROUND(((ROUND(AT30*AG30,2)*1)*0),6)</f>
        <v>0</v>
      </c>
      <c r="DD30" t="s">
        <v>3</v>
      </c>
      <c r="DE30" t="s">
        <v>3</v>
      </c>
      <c r="DF30">
        <f t="shared" si="10"/>
        <v>0</v>
      </c>
      <c r="DG30">
        <f t="shared" si="8"/>
        <v>0</v>
      </c>
      <c r="DH30">
        <f t="shared" si="9"/>
        <v>0</v>
      </c>
      <c r="DI30">
        <f t="shared" si="3"/>
        <v>0</v>
      </c>
      <c r="DJ30">
        <f>DF30</f>
        <v>0</v>
      </c>
      <c r="DK30">
        <v>0</v>
      </c>
      <c r="DL30" t="s">
        <v>3</v>
      </c>
      <c r="DM30">
        <v>0</v>
      </c>
      <c r="DN30" t="s">
        <v>3</v>
      </c>
      <c r="DO30">
        <v>0</v>
      </c>
    </row>
    <row r="31" spans="1:119" x14ac:dyDescent="0.25">
      <c r="A31">
        <f>ROW(Source!A36)</f>
        <v>36</v>
      </c>
      <c r="B31">
        <v>57014138</v>
      </c>
      <c r="C31">
        <v>57014849</v>
      </c>
      <c r="D31">
        <v>55459793</v>
      </c>
      <c r="E31">
        <v>1</v>
      </c>
      <c r="F31">
        <v>1</v>
      </c>
      <c r="G31">
        <v>1081</v>
      </c>
      <c r="H31">
        <v>3</v>
      </c>
      <c r="I31" t="s">
        <v>412</v>
      </c>
      <c r="J31" t="s">
        <v>413</v>
      </c>
      <c r="K31" t="s">
        <v>414</v>
      </c>
      <c r="L31">
        <v>1348</v>
      </c>
      <c r="N31">
        <v>1009</v>
      </c>
      <c r="O31" t="s">
        <v>361</v>
      </c>
      <c r="P31" t="s">
        <v>361</v>
      </c>
      <c r="Q31">
        <v>1000</v>
      </c>
      <c r="W31">
        <v>0</v>
      </c>
      <c r="X31">
        <v>-761454284</v>
      </c>
      <c r="Y31">
        <f>((AT31*1)*0)</f>
        <v>0</v>
      </c>
      <c r="AA31">
        <v>64123.05</v>
      </c>
      <c r="AB31">
        <v>0</v>
      </c>
      <c r="AC31">
        <v>0</v>
      </c>
      <c r="AD31">
        <v>0</v>
      </c>
      <c r="AE31">
        <v>64123.05</v>
      </c>
      <c r="AF31">
        <v>0</v>
      </c>
      <c r="AG31">
        <v>0</v>
      </c>
      <c r="AH31">
        <v>0</v>
      </c>
      <c r="AI31">
        <v>1</v>
      </c>
      <c r="AJ31">
        <v>1</v>
      </c>
      <c r="AK31">
        <v>1</v>
      </c>
      <c r="AL31">
        <v>1</v>
      </c>
      <c r="AM31">
        <v>-2</v>
      </c>
      <c r="AN31">
        <v>0</v>
      </c>
      <c r="AO31">
        <v>1</v>
      </c>
      <c r="AP31">
        <v>1</v>
      </c>
      <c r="AQ31">
        <v>0</v>
      </c>
      <c r="AR31">
        <v>0</v>
      </c>
      <c r="AS31" t="s">
        <v>3</v>
      </c>
      <c r="AT31">
        <v>1.0000000000000001E-5</v>
      </c>
      <c r="AU31" t="s">
        <v>29</v>
      </c>
      <c r="AV31">
        <v>0</v>
      </c>
      <c r="AW31">
        <v>2</v>
      </c>
      <c r="AX31">
        <v>57014860</v>
      </c>
      <c r="AY31">
        <v>1</v>
      </c>
      <c r="AZ31">
        <v>0</v>
      </c>
      <c r="BA31">
        <v>37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CV31">
        <v>0</v>
      </c>
      <c r="CW31">
        <v>0</v>
      </c>
      <c r="CX31">
        <f>ROUND(Y31*Source!I36,9)</f>
        <v>0</v>
      </c>
      <c r="CY31">
        <f>AA31</f>
        <v>64123.05</v>
      </c>
      <c r="CZ31">
        <f>AE31</f>
        <v>64123.05</v>
      </c>
      <c r="DA31">
        <f>AI31</f>
        <v>1</v>
      </c>
      <c r="DB31">
        <f>ROUND(((ROUND(AT31*CZ31,2)*1)*0),6)</f>
        <v>0</v>
      </c>
      <c r="DC31">
        <f>ROUND(((ROUND(AT31*AG31,2)*1)*0),6)</f>
        <v>0</v>
      </c>
      <c r="DD31" t="s">
        <v>3</v>
      </c>
      <c r="DE31" t="s">
        <v>3</v>
      </c>
      <c r="DF31">
        <f t="shared" si="10"/>
        <v>0</v>
      </c>
      <c r="DG31">
        <f t="shared" si="8"/>
        <v>0</v>
      </c>
      <c r="DH31">
        <f t="shared" si="9"/>
        <v>0</v>
      </c>
      <c r="DI31">
        <f t="shared" si="3"/>
        <v>0</v>
      </c>
      <c r="DJ31">
        <f>DF31</f>
        <v>0</v>
      </c>
      <c r="DK31">
        <v>0</v>
      </c>
      <c r="DL31" t="s">
        <v>3</v>
      </c>
      <c r="DM31">
        <v>0</v>
      </c>
      <c r="DN31" t="s">
        <v>3</v>
      </c>
      <c r="DO31">
        <v>0</v>
      </c>
    </row>
    <row r="32" spans="1:119" x14ac:dyDescent="0.25">
      <c r="A32">
        <f>ROW(Source!A36)</f>
        <v>36</v>
      </c>
      <c r="B32">
        <v>57014138</v>
      </c>
      <c r="C32">
        <v>57014849</v>
      </c>
      <c r="D32">
        <v>55469253</v>
      </c>
      <c r="E32">
        <v>1</v>
      </c>
      <c r="F32">
        <v>1</v>
      </c>
      <c r="G32">
        <v>1081</v>
      </c>
      <c r="H32">
        <v>3</v>
      </c>
      <c r="I32" t="s">
        <v>421</v>
      </c>
      <c r="J32" t="s">
        <v>422</v>
      </c>
      <c r="K32" t="s">
        <v>423</v>
      </c>
      <c r="L32">
        <v>1354</v>
      </c>
      <c r="N32">
        <v>1010</v>
      </c>
      <c r="O32" t="s">
        <v>251</v>
      </c>
      <c r="P32" t="s">
        <v>251</v>
      </c>
      <c r="Q32">
        <v>1</v>
      </c>
      <c r="W32">
        <v>0</v>
      </c>
      <c r="X32">
        <v>-32785108</v>
      </c>
      <c r="Y32">
        <f>((AT32*1)*0)</f>
        <v>0</v>
      </c>
      <c r="AA32">
        <v>15.25</v>
      </c>
      <c r="AB32">
        <v>0</v>
      </c>
      <c r="AC32">
        <v>0</v>
      </c>
      <c r="AD32">
        <v>0</v>
      </c>
      <c r="AE32">
        <v>15.25</v>
      </c>
      <c r="AF32">
        <v>0</v>
      </c>
      <c r="AG32">
        <v>0</v>
      </c>
      <c r="AH32">
        <v>0</v>
      </c>
      <c r="AI32">
        <v>1</v>
      </c>
      <c r="AJ32">
        <v>1</v>
      </c>
      <c r="AK32">
        <v>1</v>
      </c>
      <c r="AL32">
        <v>1</v>
      </c>
      <c r="AM32">
        <v>-2</v>
      </c>
      <c r="AN32">
        <v>0</v>
      </c>
      <c r="AO32">
        <v>1</v>
      </c>
      <c r="AP32">
        <v>1</v>
      </c>
      <c r="AQ32">
        <v>0</v>
      </c>
      <c r="AR32">
        <v>0</v>
      </c>
      <c r="AS32" t="s">
        <v>3</v>
      </c>
      <c r="AT32">
        <v>0.1</v>
      </c>
      <c r="AU32" t="s">
        <v>29</v>
      </c>
      <c r="AV32">
        <v>0</v>
      </c>
      <c r="AW32">
        <v>2</v>
      </c>
      <c r="AX32">
        <v>57014861</v>
      </c>
      <c r="AY32">
        <v>1</v>
      </c>
      <c r="AZ32">
        <v>0</v>
      </c>
      <c r="BA32">
        <v>38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CV32">
        <v>0</v>
      </c>
      <c r="CW32">
        <v>0</v>
      </c>
      <c r="CX32">
        <f>ROUND(Y32*Source!I36,9)</f>
        <v>0</v>
      </c>
      <c r="CY32">
        <f>AA32</f>
        <v>15.25</v>
      </c>
      <c r="CZ32">
        <f>AE32</f>
        <v>15.25</v>
      </c>
      <c r="DA32">
        <f>AI32</f>
        <v>1</v>
      </c>
      <c r="DB32">
        <f>ROUND(((ROUND(AT32*CZ32,2)*1)*0),6)</f>
        <v>0</v>
      </c>
      <c r="DC32">
        <f>ROUND(((ROUND(AT32*AG32,2)*1)*0),6)</f>
        <v>0</v>
      </c>
      <c r="DD32" t="s">
        <v>3</v>
      </c>
      <c r="DE32" t="s">
        <v>3</v>
      </c>
      <c r="DF32">
        <f t="shared" si="10"/>
        <v>0</v>
      </c>
      <c r="DG32">
        <f t="shared" si="8"/>
        <v>0</v>
      </c>
      <c r="DH32">
        <f t="shared" si="9"/>
        <v>0</v>
      </c>
      <c r="DI32">
        <f t="shared" si="3"/>
        <v>0</v>
      </c>
      <c r="DJ32">
        <f>DF32</f>
        <v>0</v>
      </c>
      <c r="DK32">
        <v>0</v>
      </c>
      <c r="DL32" t="s">
        <v>3</v>
      </c>
      <c r="DM32">
        <v>0</v>
      </c>
      <c r="DN32" t="s">
        <v>3</v>
      </c>
      <c r="DO32">
        <v>0</v>
      </c>
    </row>
    <row r="33" spans="1:119" x14ac:dyDescent="0.25">
      <c r="A33">
        <f>ROW(Source!A37)</f>
        <v>37</v>
      </c>
      <c r="B33">
        <v>57014140</v>
      </c>
      <c r="C33">
        <v>57014849</v>
      </c>
      <c r="D33">
        <v>55424304</v>
      </c>
      <c r="E33">
        <v>1081</v>
      </c>
      <c r="F33">
        <v>1</v>
      </c>
      <c r="G33">
        <v>1081</v>
      </c>
      <c r="H33">
        <v>1</v>
      </c>
      <c r="I33" t="s">
        <v>385</v>
      </c>
      <c r="J33" t="s">
        <v>3</v>
      </c>
      <c r="K33" t="s">
        <v>386</v>
      </c>
      <c r="L33">
        <v>1191</v>
      </c>
      <c r="N33">
        <v>1013</v>
      </c>
      <c r="O33" t="s">
        <v>387</v>
      </c>
      <c r="P33" t="s">
        <v>387</v>
      </c>
      <c r="Q33">
        <v>1</v>
      </c>
      <c r="W33">
        <v>0</v>
      </c>
      <c r="X33">
        <v>476480486</v>
      </c>
      <c r="Y33">
        <f>((AT33*1.2)*0.3)</f>
        <v>0.48960000000000004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1</v>
      </c>
      <c r="AJ33">
        <v>1</v>
      </c>
      <c r="AK33">
        <v>1</v>
      </c>
      <c r="AL33">
        <v>1</v>
      </c>
      <c r="AM33">
        <v>5</v>
      </c>
      <c r="AN33">
        <v>0</v>
      </c>
      <c r="AO33">
        <v>1</v>
      </c>
      <c r="AP33">
        <v>1</v>
      </c>
      <c r="AQ33">
        <v>0</v>
      </c>
      <c r="AR33">
        <v>0</v>
      </c>
      <c r="AS33" t="s">
        <v>3</v>
      </c>
      <c r="AT33">
        <v>1.36</v>
      </c>
      <c r="AU33" t="s">
        <v>30</v>
      </c>
      <c r="AV33">
        <v>1</v>
      </c>
      <c r="AW33">
        <v>2</v>
      </c>
      <c r="AX33">
        <v>57014856</v>
      </c>
      <c r="AY33">
        <v>1</v>
      </c>
      <c r="AZ33">
        <v>0</v>
      </c>
      <c r="BA33">
        <v>40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CU33">
        <f>ROUND(AT33*Source!I37*AH33*AL33,2)</f>
        <v>0</v>
      </c>
      <c r="CV33">
        <f>ROUND(Y33*Source!I37,9)</f>
        <v>5.8752000000000004</v>
      </c>
      <c r="CW33">
        <v>0</v>
      </c>
      <c r="CX33">
        <f>ROUND(Y33*Source!I37,9)</f>
        <v>5.8752000000000004</v>
      </c>
      <c r="CY33">
        <f>AD33</f>
        <v>0</v>
      </c>
      <c r="CZ33">
        <f>AH33</f>
        <v>0</v>
      </c>
      <c r="DA33">
        <f>AL33</f>
        <v>1</v>
      </c>
      <c r="DB33">
        <f>ROUND(((ROUND(AT33*CZ33,2)*1.2)*0.3),6)</f>
        <v>0</v>
      </c>
      <c r="DC33">
        <f>ROUND(((ROUND(AT33*AG33,2)*1.2)*0.3),6)</f>
        <v>0</v>
      </c>
      <c r="DD33" t="s">
        <v>3</v>
      </c>
      <c r="DE33" t="s">
        <v>3</v>
      </c>
      <c r="DF33">
        <f t="shared" si="10"/>
        <v>0</v>
      </c>
      <c r="DG33">
        <f t="shared" si="8"/>
        <v>0</v>
      </c>
      <c r="DH33">
        <f t="shared" si="9"/>
        <v>0</v>
      </c>
      <c r="DI33">
        <f t="shared" si="3"/>
        <v>0</v>
      </c>
      <c r="DJ33">
        <f>DI33</f>
        <v>0</v>
      </c>
      <c r="DK33">
        <v>0</v>
      </c>
      <c r="DL33" t="s">
        <v>3</v>
      </c>
      <c r="DM33">
        <v>0</v>
      </c>
      <c r="DN33" t="s">
        <v>3</v>
      </c>
      <c r="DO33">
        <v>0</v>
      </c>
    </row>
    <row r="34" spans="1:119" x14ac:dyDescent="0.25">
      <c r="A34">
        <f>ROW(Source!A37)</f>
        <v>37</v>
      </c>
      <c r="B34">
        <v>57014140</v>
      </c>
      <c r="C34">
        <v>57014849</v>
      </c>
      <c r="D34">
        <v>55490330</v>
      </c>
      <c r="E34">
        <v>1</v>
      </c>
      <c r="F34">
        <v>1</v>
      </c>
      <c r="G34">
        <v>1081</v>
      </c>
      <c r="H34">
        <v>2</v>
      </c>
      <c r="I34" t="s">
        <v>403</v>
      </c>
      <c r="J34" t="s">
        <v>404</v>
      </c>
      <c r="K34" t="s">
        <v>405</v>
      </c>
      <c r="L34">
        <v>1368</v>
      </c>
      <c r="N34">
        <v>1011</v>
      </c>
      <c r="O34" t="s">
        <v>391</v>
      </c>
      <c r="P34" t="s">
        <v>391</v>
      </c>
      <c r="Q34">
        <v>1</v>
      </c>
      <c r="W34">
        <v>0</v>
      </c>
      <c r="X34">
        <v>-2083101341</v>
      </c>
      <c r="Y34">
        <f>((AT34*1.2)*0.3)</f>
        <v>6.1200000000000004E-3</v>
      </c>
      <c r="AA34">
        <v>0</v>
      </c>
      <c r="AB34">
        <v>7.92</v>
      </c>
      <c r="AC34">
        <v>0</v>
      </c>
      <c r="AD34">
        <v>0</v>
      </c>
      <c r="AE34">
        <v>0</v>
      </c>
      <c r="AF34">
        <v>0.8</v>
      </c>
      <c r="AG34">
        <v>0</v>
      </c>
      <c r="AH34">
        <v>0</v>
      </c>
      <c r="AI34">
        <v>1</v>
      </c>
      <c r="AJ34">
        <v>9.4600000000000009</v>
      </c>
      <c r="AK34">
        <v>1</v>
      </c>
      <c r="AL34">
        <v>1</v>
      </c>
      <c r="AM34">
        <v>2</v>
      </c>
      <c r="AN34">
        <v>0</v>
      </c>
      <c r="AO34">
        <v>1</v>
      </c>
      <c r="AP34">
        <v>1</v>
      </c>
      <c r="AQ34">
        <v>0</v>
      </c>
      <c r="AR34">
        <v>0</v>
      </c>
      <c r="AS34" t="s">
        <v>3</v>
      </c>
      <c r="AT34">
        <v>1.7000000000000001E-2</v>
      </c>
      <c r="AU34" t="s">
        <v>30</v>
      </c>
      <c r="AV34">
        <v>0</v>
      </c>
      <c r="AW34">
        <v>2</v>
      </c>
      <c r="AX34">
        <v>57014857</v>
      </c>
      <c r="AY34">
        <v>1</v>
      </c>
      <c r="AZ34">
        <v>0</v>
      </c>
      <c r="BA34">
        <v>41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CV34">
        <v>0</v>
      </c>
      <c r="CW34">
        <f>ROUND(Y34*Source!I37*DO34,9)</f>
        <v>0</v>
      </c>
      <c r="CX34">
        <f>ROUND(Y34*Source!I37,9)</f>
        <v>7.3440000000000005E-2</v>
      </c>
      <c r="CY34">
        <f>AB34</f>
        <v>7.92</v>
      </c>
      <c r="CZ34">
        <f>AF34</f>
        <v>0.8</v>
      </c>
      <c r="DA34">
        <f>AJ34</f>
        <v>9.4600000000000009</v>
      </c>
      <c r="DB34">
        <f>ROUND(((ROUND(AT34*CZ34,2)*1.2)*0.3),6)</f>
        <v>3.5999999999999999E-3</v>
      </c>
      <c r="DC34">
        <f>ROUND(((ROUND(AT34*AG34,2)*1.2)*0.3),6)</f>
        <v>0</v>
      </c>
      <c r="DD34" t="s">
        <v>3</v>
      </c>
      <c r="DE34" t="s">
        <v>3</v>
      </c>
      <c r="DF34">
        <f t="shared" si="10"/>
        <v>0</v>
      </c>
      <c r="DG34">
        <f>ROUND(ROUND(AF34*AJ34,2)*CX34,2)</f>
        <v>0.56000000000000005</v>
      </c>
      <c r="DH34">
        <f t="shared" si="9"/>
        <v>0</v>
      </c>
      <c r="DI34">
        <f t="shared" si="3"/>
        <v>0</v>
      </c>
      <c r="DJ34">
        <f>DG34</f>
        <v>0.56000000000000005</v>
      </c>
      <c r="DK34">
        <v>0</v>
      </c>
      <c r="DL34" t="s">
        <v>3</v>
      </c>
      <c r="DM34">
        <v>0</v>
      </c>
      <c r="DN34" t="s">
        <v>3</v>
      </c>
      <c r="DO34">
        <v>0</v>
      </c>
    </row>
    <row r="35" spans="1:119" x14ac:dyDescent="0.25">
      <c r="A35">
        <f>ROW(Source!A37)</f>
        <v>37</v>
      </c>
      <c r="B35">
        <v>57014140</v>
      </c>
      <c r="C35">
        <v>57014849</v>
      </c>
      <c r="D35">
        <v>55490296</v>
      </c>
      <c r="E35">
        <v>1</v>
      </c>
      <c r="F35">
        <v>1</v>
      </c>
      <c r="G35">
        <v>1081</v>
      </c>
      <c r="H35">
        <v>2</v>
      </c>
      <c r="I35" t="s">
        <v>415</v>
      </c>
      <c r="J35" t="s">
        <v>416</v>
      </c>
      <c r="K35" t="s">
        <v>417</v>
      </c>
      <c r="L35">
        <v>1368</v>
      </c>
      <c r="N35">
        <v>1011</v>
      </c>
      <c r="O35" t="s">
        <v>391</v>
      </c>
      <c r="P35" t="s">
        <v>391</v>
      </c>
      <c r="Q35">
        <v>1</v>
      </c>
      <c r="W35">
        <v>0</v>
      </c>
      <c r="X35">
        <v>-643591644</v>
      </c>
      <c r="Y35">
        <f>((AT35*1.2)*0.3)</f>
        <v>7.1999999999999998E-3</v>
      </c>
      <c r="AA35">
        <v>0</v>
      </c>
      <c r="AB35">
        <v>4.75</v>
      </c>
      <c r="AC35">
        <v>0</v>
      </c>
      <c r="AD35">
        <v>0</v>
      </c>
      <c r="AE35">
        <v>0</v>
      </c>
      <c r="AF35">
        <v>0.47</v>
      </c>
      <c r="AG35">
        <v>0</v>
      </c>
      <c r="AH35">
        <v>0</v>
      </c>
      <c r="AI35">
        <v>1</v>
      </c>
      <c r="AJ35">
        <v>9.66</v>
      </c>
      <c r="AK35">
        <v>1</v>
      </c>
      <c r="AL35">
        <v>1</v>
      </c>
      <c r="AM35">
        <v>2</v>
      </c>
      <c r="AN35">
        <v>0</v>
      </c>
      <c r="AO35">
        <v>1</v>
      </c>
      <c r="AP35">
        <v>1</v>
      </c>
      <c r="AQ35">
        <v>0</v>
      </c>
      <c r="AR35">
        <v>0</v>
      </c>
      <c r="AS35" t="s">
        <v>3</v>
      </c>
      <c r="AT35">
        <v>0.02</v>
      </c>
      <c r="AU35" t="s">
        <v>30</v>
      </c>
      <c r="AV35">
        <v>0</v>
      </c>
      <c r="AW35">
        <v>2</v>
      </c>
      <c r="AX35">
        <v>57014858</v>
      </c>
      <c r="AY35">
        <v>1</v>
      </c>
      <c r="AZ35">
        <v>0</v>
      </c>
      <c r="BA35">
        <v>42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CV35">
        <v>0</v>
      </c>
      <c r="CW35">
        <f>ROUND(Y35*Source!I37*DO35,9)</f>
        <v>0</v>
      </c>
      <c r="CX35">
        <f>ROUND(Y35*Source!I37,9)</f>
        <v>8.6400000000000005E-2</v>
      </c>
      <c r="CY35">
        <f>AB35</f>
        <v>4.75</v>
      </c>
      <c r="CZ35">
        <f>AF35</f>
        <v>0.47</v>
      </c>
      <c r="DA35">
        <f>AJ35</f>
        <v>9.66</v>
      </c>
      <c r="DB35">
        <f>ROUND(((ROUND(AT35*CZ35,2)*1.2)*0.3),6)</f>
        <v>3.5999999999999999E-3</v>
      </c>
      <c r="DC35">
        <f>ROUND(((ROUND(AT35*AG35,2)*1.2)*0.3),6)</f>
        <v>0</v>
      </c>
      <c r="DD35" t="s">
        <v>3</v>
      </c>
      <c r="DE35" t="s">
        <v>3</v>
      </c>
      <c r="DF35">
        <f t="shared" si="10"/>
        <v>0</v>
      </c>
      <c r="DG35">
        <f>ROUND(ROUND(AF35*AJ35,2)*CX35,2)</f>
        <v>0.39</v>
      </c>
      <c r="DH35">
        <f t="shared" si="9"/>
        <v>0</v>
      </c>
      <c r="DI35">
        <f t="shared" si="3"/>
        <v>0</v>
      </c>
      <c r="DJ35">
        <f>DG35</f>
        <v>0.39</v>
      </c>
      <c r="DK35">
        <v>0</v>
      </c>
      <c r="DL35" t="s">
        <v>3</v>
      </c>
      <c r="DM35">
        <v>0</v>
      </c>
      <c r="DN35" t="s">
        <v>3</v>
      </c>
      <c r="DO35">
        <v>0</v>
      </c>
    </row>
    <row r="36" spans="1:119" x14ac:dyDescent="0.25">
      <c r="A36">
        <f>ROW(Source!A37)</f>
        <v>37</v>
      </c>
      <c r="B36">
        <v>57014140</v>
      </c>
      <c r="C36">
        <v>57014849</v>
      </c>
      <c r="D36">
        <v>55461074</v>
      </c>
      <c r="E36">
        <v>1</v>
      </c>
      <c r="F36">
        <v>1</v>
      </c>
      <c r="G36">
        <v>1081</v>
      </c>
      <c r="H36">
        <v>3</v>
      </c>
      <c r="I36" t="s">
        <v>418</v>
      </c>
      <c r="J36" t="s">
        <v>419</v>
      </c>
      <c r="K36" t="s">
        <v>420</v>
      </c>
      <c r="L36">
        <v>1346</v>
      </c>
      <c r="N36">
        <v>1009</v>
      </c>
      <c r="O36" t="s">
        <v>365</v>
      </c>
      <c r="P36" t="s">
        <v>365</v>
      </c>
      <c r="Q36">
        <v>1</v>
      </c>
      <c r="W36">
        <v>0</v>
      </c>
      <c r="X36">
        <v>-861631226</v>
      </c>
      <c r="Y36">
        <f>((AT36*1)*0)</f>
        <v>0</v>
      </c>
      <c r="AA36">
        <v>163.51</v>
      </c>
      <c r="AB36">
        <v>0</v>
      </c>
      <c r="AC36">
        <v>0</v>
      </c>
      <c r="AD36">
        <v>0</v>
      </c>
      <c r="AE36">
        <v>27.62</v>
      </c>
      <c r="AF36">
        <v>0</v>
      </c>
      <c r="AG36">
        <v>0</v>
      </c>
      <c r="AH36">
        <v>0</v>
      </c>
      <c r="AI36">
        <v>5.92</v>
      </c>
      <c r="AJ36">
        <v>1</v>
      </c>
      <c r="AK36">
        <v>1</v>
      </c>
      <c r="AL36">
        <v>1</v>
      </c>
      <c r="AM36">
        <v>2</v>
      </c>
      <c r="AN36">
        <v>0</v>
      </c>
      <c r="AO36">
        <v>1</v>
      </c>
      <c r="AP36">
        <v>1</v>
      </c>
      <c r="AQ36">
        <v>0</v>
      </c>
      <c r="AR36">
        <v>0</v>
      </c>
      <c r="AS36" t="s">
        <v>3</v>
      </c>
      <c r="AT36">
        <v>6.2700000000000004E-3</v>
      </c>
      <c r="AU36" t="s">
        <v>29</v>
      </c>
      <c r="AV36">
        <v>0</v>
      </c>
      <c r="AW36">
        <v>2</v>
      </c>
      <c r="AX36">
        <v>57014859</v>
      </c>
      <c r="AY36">
        <v>1</v>
      </c>
      <c r="AZ36">
        <v>0</v>
      </c>
      <c r="BA36">
        <v>43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CV36">
        <v>0</v>
      </c>
      <c r="CW36">
        <v>0</v>
      </c>
      <c r="CX36">
        <f>ROUND(Y36*Source!I37,9)</f>
        <v>0</v>
      </c>
      <c r="CY36">
        <f>AA36</f>
        <v>163.51</v>
      </c>
      <c r="CZ36">
        <f>AE36</f>
        <v>27.62</v>
      </c>
      <c r="DA36">
        <f>AI36</f>
        <v>5.92</v>
      </c>
      <c r="DB36">
        <f>ROUND(((ROUND(AT36*CZ36,2)*1)*0),6)</f>
        <v>0</v>
      </c>
      <c r="DC36">
        <f>ROUND(((ROUND(AT36*AG36,2)*1)*0),6)</f>
        <v>0</v>
      </c>
      <c r="DD36" t="s">
        <v>3</v>
      </c>
      <c r="DE36" t="s">
        <v>3</v>
      </c>
      <c r="DF36">
        <f>ROUND(ROUND(AE36*AI36,2)*CX36,2)</f>
        <v>0</v>
      </c>
      <c r="DG36">
        <f t="shared" ref="DG36:DG67" si="11">ROUND(ROUND(AF36,2)*CX36,2)</f>
        <v>0</v>
      </c>
      <c r="DH36">
        <f t="shared" si="9"/>
        <v>0</v>
      </c>
      <c r="DI36">
        <f t="shared" si="3"/>
        <v>0</v>
      </c>
      <c r="DJ36">
        <f>DF36</f>
        <v>0</v>
      </c>
      <c r="DK36">
        <v>0</v>
      </c>
      <c r="DL36" t="s">
        <v>3</v>
      </c>
      <c r="DM36">
        <v>0</v>
      </c>
      <c r="DN36" t="s">
        <v>3</v>
      </c>
      <c r="DO36">
        <v>0</v>
      </c>
    </row>
    <row r="37" spans="1:119" x14ac:dyDescent="0.25">
      <c r="A37">
        <f>ROW(Source!A37)</f>
        <v>37</v>
      </c>
      <c r="B37">
        <v>57014140</v>
      </c>
      <c r="C37">
        <v>57014849</v>
      </c>
      <c r="D37">
        <v>55459793</v>
      </c>
      <c r="E37">
        <v>1</v>
      </c>
      <c r="F37">
        <v>1</v>
      </c>
      <c r="G37">
        <v>1081</v>
      </c>
      <c r="H37">
        <v>3</v>
      </c>
      <c r="I37" t="s">
        <v>412</v>
      </c>
      <c r="J37" t="s">
        <v>413</v>
      </c>
      <c r="K37" t="s">
        <v>414</v>
      </c>
      <c r="L37">
        <v>1348</v>
      </c>
      <c r="N37">
        <v>1009</v>
      </c>
      <c r="O37" t="s">
        <v>361</v>
      </c>
      <c r="P37" t="s">
        <v>361</v>
      </c>
      <c r="Q37">
        <v>1000</v>
      </c>
      <c r="W37">
        <v>0</v>
      </c>
      <c r="X37">
        <v>-761454284</v>
      </c>
      <c r="Y37">
        <f>((AT37*1)*0)</f>
        <v>0</v>
      </c>
      <c r="AA37">
        <v>1930745.04</v>
      </c>
      <c r="AB37">
        <v>0</v>
      </c>
      <c r="AC37">
        <v>0</v>
      </c>
      <c r="AD37">
        <v>0</v>
      </c>
      <c r="AE37">
        <v>64123.05</v>
      </c>
      <c r="AF37">
        <v>0</v>
      </c>
      <c r="AG37">
        <v>0</v>
      </c>
      <c r="AH37">
        <v>0</v>
      </c>
      <c r="AI37">
        <v>30.11</v>
      </c>
      <c r="AJ37">
        <v>1</v>
      </c>
      <c r="AK37">
        <v>1</v>
      </c>
      <c r="AL37">
        <v>1</v>
      </c>
      <c r="AM37">
        <v>2</v>
      </c>
      <c r="AN37">
        <v>0</v>
      </c>
      <c r="AO37">
        <v>1</v>
      </c>
      <c r="AP37">
        <v>1</v>
      </c>
      <c r="AQ37">
        <v>0</v>
      </c>
      <c r="AR37">
        <v>0</v>
      </c>
      <c r="AS37" t="s">
        <v>3</v>
      </c>
      <c r="AT37">
        <v>1.0000000000000001E-5</v>
      </c>
      <c r="AU37" t="s">
        <v>29</v>
      </c>
      <c r="AV37">
        <v>0</v>
      </c>
      <c r="AW37">
        <v>2</v>
      </c>
      <c r="AX37">
        <v>57014860</v>
      </c>
      <c r="AY37">
        <v>1</v>
      </c>
      <c r="AZ37">
        <v>0</v>
      </c>
      <c r="BA37">
        <v>44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CV37">
        <v>0</v>
      </c>
      <c r="CW37">
        <v>0</v>
      </c>
      <c r="CX37">
        <f>ROUND(Y37*Source!I37,9)</f>
        <v>0</v>
      </c>
      <c r="CY37">
        <f>AA37</f>
        <v>1930745.04</v>
      </c>
      <c r="CZ37">
        <f>AE37</f>
        <v>64123.05</v>
      </c>
      <c r="DA37">
        <f>AI37</f>
        <v>30.11</v>
      </c>
      <c r="DB37">
        <f>ROUND(((ROUND(AT37*CZ37,2)*1)*0),6)</f>
        <v>0</v>
      </c>
      <c r="DC37">
        <f>ROUND(((ROUND(AT37*AG37,2)*1)*0),6)</f>
        <v>0</v>
      </c>
      <c r="DD37" t="s">
        <v>3</v>
      </c>
      <c r="DE37" t="s">
        <v>3</v>
      </c>
      <c r="DF37">
        <f>ROUND(ROUND(AE37*AI37,2)*CX37,2)</f>
        <v>0</v>
      </c>
      <c r="DG37">
        <f t="shared" si="11"/>
        <v>0</v>
      </c>
      <c r="DH37">
        <f t="shared" si="9"/>
        <v>0</v>
      </c>
      <c r="DI37">
        <f t="shared" si="3"/>
        <v>0</v>
      </c>
      <c r="DJ37">
        <f>DF37</f>
        <v>0</v>
      </c>
      <c r="DK37">
        <v>0</v>
      </c>
      <c r="DL37" t="s">
        <v>3</v>
      </c>
      <c r="DM37">
        <v>0</v>
      </c>
      <c r="DN37" t="s">
        <v>3</v>
      </c>
      <c r="DO37">
        <v>0</v>
      </c>
    </row>
    <row r="38" spans="1:119" x14ac:dyDescent="0.25">
      <c r="A38">
        <f>ROW(Source!A37)</f>
        <v>37</v>
      </c>
      <c r="B38">
        <v>57014140</v>
      </c>
      <c r="C38">
        <v>57014849</v>
      </c>
      <c r="D38">
        <v>55469253</v>
      </c>
      <c r="E38">
        <v>1</v>
      </c>
      <c r="F38">
        <v>1</v>
      </c>
      <c r="G38">
        <v>1081</v>
      </c>
      <c r="H38">
        <v>3</v>
      </c>
      <c r="I38" t="s">
        <v>421</v>
      </c>
      <c r="J38" t="s">
        <v>422</v>
      </c>
      <c r="K38" t="s">
        <v>423</v>
      </c>
      <c r="L38">
        <v>1354</v>
      </c>
      <c r="N38">
        <v>1010</v>
      </c>
      <c r="O38" t="s">
        <v>251</v>
      </c>
      <c r="P38" t="s">
        <v>251</v>
      </c>
      <c r="Q38">
        <v>1</v>
      </c>
      <c r="W38">
        <v>0</v>
      </c>
      <c r="X38">
        <v>-32785108</v>
      </c>
      <c r="Y38">
        <f>((AT38*1)*0)</f>
        <v>0</v>
      </c>
      <c r="AA38">
        <v>36.14</v>
      </c>
      <c r="AB38">
        <v>0</v>
      </c>
      <c r="AC38">
        <v>0</v>
      </c>
      <c r="AD38">
        <v>0</v>
      </c>
      <c r="AE38">
        <v>15.25</v>
      </c>
      <c r="AF38">
        <v>0</v>
      </c>
      <c r="AG38">
        <v>0</v>
      </c>
      <c r="AH38">
        <v>0</v>
      </c>
      <c r="AI38">
        <v>2.37</v>
      </c>
      <c r="AJ38">
        <v>1</v>
      </c>
      <c r="AK38">
        <v>1</v>
      </c>
      <c r="AL38">
        <v>1</v>
      </c>
      <c r="AM38">
        <v>2</v>
      </c>
      <c r="AN38">
        <v>0</v>
      </c>
      <c r="AO38">
        <v>1</v>
      </c>
      <c r="AP38">
        <v>1</v>
      </c>
      <c r="AQ38">
        <v>0</v>
      </c>
      <c r="AR38">
        <v>0</v>
      </c>
      <c r="AS38" t="s">
        <v>3</v>
      </c>
      <c r="AT38">
        <v>0.1</v>
      </c>
      <c r="AU38" t="s">
        <v>29</v>
      </c>
      <c r="AV38">
        <v>0</v>
      </c>
      <c r="AW38">
        <v>2</v>
      </c>
      <c r="AX38">
        <v>57014861</v>
      </c>
      <c r="AY38">
        <v>1</v>
      </c>
      <c r="AZ38">
        <v>0</v>
      </c>
      <c r="BA38">
        <v>45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CV38">
        <v>0</v>
      </c>
      <c r="CW38">
        <v>0</v>
      </c>
      <c r="CX38">
        <f>ROUND(Y38*Source!I37,9)</f>
        <v>0</v>
      </c>
      <c r="CY38">
        <f>AA38</f>
        <v>36.14</v>
      </c>
      <c r="CZ38">
        <f>AE38</f>
        <v>15.25</v>
      </c>
      <c r="DA38">
        <f>AI38</f>
        <v>2.37</v>
      </c>
      <c r="DB38">
        <f>ROUND(((ROUND(AT38*CZ38,2)*1)*0),6)</f>
        <v>0</v>
      </c>
      <c r="DC38">
        <f>ROUND(((ROUND(AT38*AG38,2)*1)*0),6)</f>
        <v>0</v>
      </c>
      <c r="DD38" t="s">
        <v>3</v>
      </c>
      <c r="DE38" t="s">
        <v>3</v>
      </c>
      <c r="DF38">
        <f>ROUND(ROUND(AE38*AI38,2)*CX38,2)</f>
        <v>0</v>
      </c>
      <c r="DG38">
        <f t="shared" si="11"/>
        <v>0</v>
      </c>
      <c r="DH38">
        <f t="shared" si="9"/>
        <v>0</v>
      </c>
      <c r="DI38">
        <f t="shared" si="3"/>
        <v>0</v>
      </c>
      <c r="DJ38">
        <f>DF38</f>
        <v>0</v>
      </c>
      <c r="DK38">
        <v>0</v>
      </c>
      <c r="DL38" t="s">
        <v>3</v>
      </c>
      <c r="DM38">
        <v>0</v>
      </c>
      <c r="DN38" t="s">
        <v>3</v>
      </c>
      <c r="DO38">
        <v>0</v>
      </c>
    </row>
    <row r="39" spans="1:119" x14ac:dyDescent="0.25">
      <c r="A39">
        <f>ROW(Source!A38)</f>
        <v>38</v>
      </c>
      <c r="B39">
        <v>57014138</v>
      </c>
      <c r="C39">
        <v>57014863</v>
      </c>
      <c r="D39">
        <v>55424304</v>
      </c>
      <c r="E39">
        <v>1081</v>
      </c>
      <c r="F39">
        <v>1</v>
      </c>
      <c r="G39">
        <v>1081</v>
      </c>
      <c r="H39">
        <v>1</v>
      </c>
      <c r="I39" t="s">
        <v>385</v>
      </c>
      <c r="J39" t="s">
        <v>3</v>
      </c>
      <c r="K39" t="s">
        <v>386</v>
      </c>
      <c r="L39">
        <v>1191</v>
      </c>
      <c r="N39">
        <v>1013</v>
      </c>
      <c r="O39" t="s">
        <v>387</v>
      </c>
      <c r="P39" t="s">
        <v>387</v>
      </c>
      <c r="Q39">
        <v>1</v>
      </c>
      <c r="W39">
        <v>0</v>
      </c>
      <c r="X39">
        <v>476480486</v>
      </c>
      <c r="Y39">
        <f>((AT39*1.2)*0.3)</f>
        <v>0.6048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1</v>
      </c>
      <c r="AJ39">
        <v>1</v>
      </c>
      <c r="AK39">
        <v>1</v>
      </c>
      <c r="AL39">
        <v>1</v>
      </c>
      <c r="AM39">
        <v>-2</v>
      </c>
      <c r="AN39">
        <v>0</v>
      </c>
      <c r="AO39">
        <v>1</v>
      </c>
      <c r="AP39">
        <v>1</v>
      </c>
      <c r="AQ39">
        <v>0</v>
      </c>
      <c r="AR39">
        <v>0</v>
      </c>
      <c r="AS39" t="s">
        <v>3</v>
      </c>
      <c r="AT39">
        <v>1.68</v>
      </c>
      <c r="AU39" t="s">
        <v>30</v>
      </c>
      <c r="AV39">
        <v>1</v>
      </c>
      <c r="AW39">
        <v>2</v>
      </c>
      <c r="AX39">
        <v>57014865</v>
      </c>
      <c r="AY39">
        <v>1</v>
      </c>
      <c r="AZ39">
        <v>0</v>
      </c>
      <c r="BA39">
        <v>47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CU39">
        <f>ROUND(AT39*Source!I38*AH39*AL39,2)</f>
        <v>0</v>
      </c>
      <c r="CV39">
        <f>ROUND(Y39*Source!I38,9)</f>
        <v>70.156800000000004</v>
      </c>
      <c r="CW39">
        <v>0</v>
      </c>
      <c r="CX39">
        <f>ROUND(Y39*Source!I38,9)</f>
        <v>70.156800000000004</v>
      </c>
      <c r="CY39">
        <f>AD39</f>
        <v>0</v>
      </c>
      <c r="CZ39">
        <f>AH39</f>
        <v>0</v>
      </c>
      <c r="DA39">
        <f>AL39</f>
        <v>1</v>
      </c>
      <c r="DB39">
        <f>ROUND(((ROUND(AT39*CZ39,2)*1.2)*0.3),6)</f>
        <v>0</v>
      </c>
      <c r="DC39">
        <f>ROUND(((ROUND(AT39*AG39,2)*1.2)*0.3),6)</f>
        <v>0</v>
      </c>
      <c r="DD39" t="s">
        <v>3</v>
      </c>
      <c r="DE39" t="s">
        <v>3</v>
      </c>
      <c r="DF39">
        <f t="shared" ref="DF39:DF45" si="12">ROUND(ROUND(AE39,2)*CX39,2)</f>
        <v>0</v>
      </c>
      <c r="DG39">
        <f t="shared" si="11"/>
        <v>0</v>
      </c>
      <c r="DH39">
        <f t="shared" si="9"/>
        <v>0</v>
      </c>
      <c r="DI39">
        <f t="shared" si="3"/>
        <v>0</v>
      </c>
      <c r="DJ39">
        <f>DI39</f>
        <v>0</v>
      </c>
      <c r="DK39">
        <v>0</v>
      </c>
      <c r="DL39" t="s">
        <v>3</v>
      </c>
      <c r="DM39">
        <v>0</v>
      </c>
      <c r="DN39" t="s">
        <v>3</v>
      </c>
      <c r="DO39">
        <v>0</v>
      </c>
    </row>
    <row r="40" spans="1:119" x14ac:dyDescent="0.25">
      <c r="A40">
        <f>ROW(Source!A39)</f>
        <v>39</v>
      </c>
      <c r="B40">
        <v>57014140</v>
      </c>
      <c r="C40">
        <v>57014863</v>
      </c>
      <c r="D40">
        <v>55424304</v>
      </c>
      <c r="E40">
        <v>1081</v>
      </c>
      <c r="F40">
        <v>1</v>
      </c>
      <c r="G40">
        <v>1081</v>
      </c>
      <c r="H40">
        <v>1</v>
      </c>
      <c r="I40" t="s">
        <v>385</v>
      </c>
      <c r="J40" t="s">
        <v>3</v>
      </c>
      <c r="K40" t="s">
        <v>386</v>
      </c>
      <c r="L40">
        <v>1191</v>
      </c>
      <c r="N40">
        <v>1013</v>
      </c>
      <c r="O40" t="s">
        <v>387</v>
      </c>
      <c r="P40" t="s">
        <v>387</v>
      </c>
      <c r="Q40">
        <v>1</v>
      </c>
      <c r="W40">
        <v>0</v>
      </c>
      <c r="X40">
        <v>476480486</v>
      </c>
      <c r="Y40">
        <f>((AT40*1.2)*0.3)</f>
        <v>0.6048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1</v>
      </c>
      <c r="AJ40">
        <v>1</v>
      </c>
      <c r="AK40">
        <v>1</v>
      </c>
      <c r="AL40">
        <v>1</v>
      </c>
      <c r="AM40">
        <v>5</v>
      </c>
      <c r="AN40">
        <v>0</v>
      </c>
      <c r="AO40">
        <v>1</v>
      </c>
      <c r="AP40">
        <v>1</v>
      </c>
      <c r="AQ40">
        <v>0</v>
      </c>
      <c r="AR40">
        <v>0</v>
      </c>
      <c r="AS40" t="s">
        <v>3</v>
      </c>
      <c r="AT40">
        <v>1.68</v>
      </c>
      <c r="AU40" t="s">
        <v>30</v>
      </c>
      <c r="AV40">
        <v>1</v>
      </c>
      <c r="AW40">
        <v>2</v>
      </c>
      <c r="AX40">
        <v>57014865</v>
      </c>
      <c r="AY40">
        <v>1</v>
      </c>
      <c r="AZ40">
        <v>0</v>
      </c>
      <c r="BA40">
        <v>48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CU40">
        <f>ROUND(AT40*Source!I39*AH40*AL40,2)</f>
        <v>0</v>
      </c>
      <c r="CV40">
        <f>ROUND(Y40*Source!I39,9)</f>
        <v>70.156800000000004</v>
      </c>
      <c r="CW40">
        <v>0</v>
      </c>
      <c r="CX40">
        <f>ROUND(Y40*Source!I39,9)</f>
        <v>70.156800000000004</v>
      </c>
      <c r="CY40">
        <f>AD40</f>
        <v>0</v>
      </c>
      <c r="CZ40">
        <f>AH40</f>
        <v>0</v>
      </c>
      <c r="DA40">
        <f>AL40</f>
        <v>1</v>
      </c>
      <c r="DB40">
        <f>ROUND(((ROUND(AT40*CZ40,2)*1.2)*0.3),6)</f>
        <v>0</v>
      </c>
      <c r="DC40">
        <f>ROUND(((ROUND(AT40*AG40,2)*1.2)*0.3),6)</f>
        <v>0</v>
      </c>
      <c r="DD40" t="s">
        <v>3</v>
      </c>
      <c r="DE40" t="s">
        <v>3</v>
      </c>
      <c r="DF40">
        <f t="shared" si="12"/>
        <v>0</v>
      </c>
      <c r="DG40">
        <f t="shared" si="11"/>
        <v>0</v>
      </c>
      <c r="DH40">
        <f t="shared" si="9"/>
        <v>0</v>
      </c>
      <c r="DI40">
        <f t="shared" si="3"/>
        <v>0</v>
      </c>
      <c r="DJ40">
        <f>DI40</f>
        <v>0</v>
      </c>
      <c r="DK40">
        <v>0</v>
      </c>
      <c r="DL40" t="s">
        <v>3</v>
      </c>
      <c r="DM40">
        <v>0</v>
      </c>
      <c r="DN40" t="s">
        <v>3</v>
      </c>
      <c r="DO40">
        <v>0</v>
      </c>
    </row>
    <row r="41" spans="1:119" x14ac:dyDescent="0.25">
      <c r="A41">
        <f>ROW(Source!A40)</f>
        <v>40</v>
      </c>
      <c r="B41">
        <v>57014138</v>
      </c>
      <c r="C41">
        <v>57014866</v>
      </c>
      <c r="D41">
        <v>55424304</v>
      </c>
      <c r="E41">
        <v>1081</v>
      </c>
      <c r="F41">
        <v>1</v>
      </c>
      <c r="G41">
        <v>1081</v>
      </c>
      <c r="H41">
        <v>1</v>
      </c>
      <c r="I41" t="s">
        <v>385</v>
      </c>
      <c r="J41" t="s">
        <v>3</v>
      </c>
      <c r="K41" t="s">
        <v>386</v>
      </c>
      <c r="L41">
        <v>1191</v>
      </c>
      <c r="N41">
        <v>1013</v>
      </c>
      <c r="O41" t="s">
        <v>387</v>
      </c>
      <c r="P41" t="s">
        <v>387</v>
      </c>
      <c r="Q41">
        <v>1</v>
      </c>
      <c r="W41">
        <v>0</v>
      </c>
      <c r="X41">
        <v>476480486</v>
      </c>
      <c r="Y41">
        <f>((AT41*1.2)*0.3)</f>
        <v>0.72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1</v>
      </c>
      <c r="AJ41">
        <v>1</v>
      </c>
      <c r="AK41">
        <v>1</v>
      </c>
      <c r="AL41">
        <v>1</v>
      </c>
      <c r="AM41">
        <v>-2</v>
      </c>
      <c r="AN41">
        <v>0</v>
      </c>
      <c r="AO41">
        <v>1</v>
      </c>
      <c r="AP41">
        <v>1</v>
      </c>
      <c r="AQ41">
        <v>0</v>
      </c>
      <c r="AR41">
        <v>0</v>
      </c>
      <c r="AS41" t="s">
        <v>3</v>
      </c>
      <c r="AT41">
        <v>2</v>
      </c>
      <c r="AU41" t="s">
        <v>30</v>
      </c>
      <c r="AV41">
        <v>1</v>
      </c>
      <c r="AW41">
        <v>2</v>
      </c>
      <c r="AX41">
        <v>57014871</v>
      </c>
      <c r="AY41">
        <v>1</v>
      </c>
      <c r="AZ41">
        <v>0</v>
      </c>
      <c r="BA41">
        <v>49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CU41">
        <f>ROUND(AT41*Source!I40*AH41*AL41,2)</f>
        <v>0</v>
      </c>
      <c r="CV41">
        <f>ROUND(Y41*Source!I40,9)</f>
        <v>133.91999999999999</v>
      </c>
      <c r="CW41">
        <v>0</v>
      </c>
      <c r="CX41">
        <f>ROUND(Y41*Source!I40,9)</f>
        <v>133.91999999999999</v>
      </c>
      <c r="CY41">
        <f>AD41</f>
        <v>0</v>
      </c>
      <c r="CZ41">
        <f>AH41</f>
        <v>0</v>
      </c>
      <c r="DA41">
        <f>AL41</f>
        <v>1</v>
      </c>
      <c r="DB41">
        <f>ROUND(((ROUND(AT41*CZ41,2)*1.2)*0.3),6)</f>
        <v>0</v>
      </c>
      <c r="DC41">
        <f>ROUND(((ROUND(AT41*AG41,2)*1.2)*0.3),6)</f>
        <v>0</v>
      </c>
      <c r="DD41" t="s">
        <v>3</v>
      </c>
      <c r="DE41" t="s">
        <v>3</v>
      </c>
      <c r="DF41">
        <f t="shared" si="12"/>
        <v>0</v>
      </c>
      <c r="DG41">
        <f t="shared" si="11"/>
        <v>0</v>
      </c>
      <c r="DH41">
        <f t="shared" si="9"/>
        <v>0</v>
      </c>
      <c r="DI41">
        <f t="shared" si="3"/>
        <v>0</v>
      </c>
      <c r="DJ41">
        <f>DI41</f>
        <v>0</v>
      </c>
      <c r="DK41">
        <v>0</v>
      </c>
      <c r="DL41" t="s">
        <v>3</v>
      </c>
      <c r="DM41">
        <v>0</v>
      </c>
      <c r="DN41" t="s">
        <v>3</v>
      </c>
      <c r="DO41">
        <v>0</v>
      </c>
    </row>
    <row r="42" spans="1:119" x14ac:dyDescent="0.25">
      <c r="A42">
        <f>ROW(Source!A40)</f>
        <v>40</v>
      </c>
      <c r="B42">
        <v>57014138</v>
      </c>
      <c r="C42">
        <v>57014866</v>
      </c>
      <c r="D42">
        <v>55460240</v>
      </c>
      <c r="E42">
        <v>1</v>
      </c>
      <c r="F42">
        <v>1</v>
      </c>
      <c r="G42">
        <v>1081</v>
      </c>
      <c r="H42">
        <v>3</v>
      </c>
      <c r="I42" t="s">
        <v>424</v>
      </c>
      <c r="J42" t="s">
        <v>425</v>
      </c>
      <c r="K42" t="s">
        <v>426</v>
      </c>
      <c r="L42">
        <v>1348</v>
      </c>
      <c r="N42">
        <v>1009</v>
      </c>
      <c r="O42" t="s">
        <v>361</v>
      </c>
      <c r="P42" t="s">
        <v>361</v>
      </c>
      <c r="Q42">
        <v>1000</v>
      </c>
      <c r="W42">
        <v>0</v>
      </c>
      <c r="X42">
        <v>710003313</v>
      </c>
      <c r="Y42">
        <f>((AT42*1)*0)</f>
        <v>0</v>
      </c>
      <c r="AA42">
        <v>17742.23</v>
      </c>
      <c r="AB42">
        <v>0</v>
      </c>
      <c r="AC42">
        <v>0</v>
      </c>
      <c r="AD42">
        <v>0</v>
      </c>
      <c r="AE42">
        <v>17742.23</v>
      </c>
      <c r="AF42">
        <v>0</v>
      </c>
      <c r="AG42">
        <v>0</v>
      </c>
      <c r="AH42">
        <v>0</v>
      </c>
      <c r="AI42">
        <v>1</v>
      </c>
      <c r="AJ42">
        <v>1</v>
      </c>
      <c r="AK42">
        <v>1</v>
      </c>
      <c r="AL42">
        <v>1</v>
      </c>
      <c r="AM42">
        <v>-2</v>
      </c>
      <c r="AN42">
        <v>0</v>
      </c>
      <c r="AO42">
        <v>1</v>
      </c>
      <c r="AP42">
        <v>1</v>
      </c>
      <c r="AQ42">
        <v>0</v>
      </c>
      <c r="AR42">
        <v>0</v>
      </c>
      <c r="AS42" t="s">
        <v>3</v>
      </c>
      <c r="AT42">
        <v>1.4999999999999999E-4</v>
      </c>
      <c r="AU42" t="s">
        <v>29</v>
      </c>
      <c r="AV42">
        <v>0</v>
      </c>
      <c r="AW42">
        <v>2</v>
      </c>
      <c r="AX42">
        <v>57014872</v>
      </c>
      <c r="AY42">
        <v>1</v>
      </c>
      <c r="AZ42">
        <v>0</v>
      </c>
      <c r="BA42">
        <v>50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CV42">
        <v>0</v>
      </c>
      <c r="CW42">
        <v>0</v>
      </c>
      <c r="CX42">
        <f>ROUND(Y42*Source!I40,9)</f>
        <v>0</v>
      </c>
      <c r="CY42">
        <f>AA42</f>
        <v>17742.23</v>
      </c>
      <c r="CZ42">
        <f>AE42</f>
        <v>17742.23</v>
      </c>
      <c r="DA42">
        <f>AI42</f>
        <v>1</v>
      </c>
      <c r="DB42">
        <f>ROUND(((ROUND(AT42*CZ42,2)*1)*0),6)</f>
        <v>0</v>
      </c>
      <c r="DC42">
        <f>ROUND(((ROUND(AT42*AG42,2)*1)*0),6)</f>
        <v>0</v>
      </c>
      <c r="DD42" t="s">
        <v>3</v>
      </c>
      <c r="DE42" t="s">
        <v>3</v>
      </c>
      <c r="DF42">
        <f t="shared" si="12"/>
        <v>0</v>
      </c>
      <c r="DG42">
        <f t="shared" si="11"/>
        <v>0</v>
      </c>
      <c r="DH42">
        <f t="shared" si="9"/>
        <v>0</v>
      </c>
      <c r="DI42">
        <f t="shared" si="3"/>
        <v>0</v>
      </c>
      <c r="DJ42">
        <f>DF42</f>
        <v>0</v>
      </c>
      <c r="DK42">
        <v>0</v>
      </c>
      <c r="DL42" t="s">
        <v>3</v>
      </c>
      <c r="DM42">
        <v>0</v>
      </c>
      <c r="DN42" t="s">
        <v>3</v>
      </c>
      <c r="DO42">
        <v>0</v>
      </c>
    </row>
    <row r="43" spans="1:119" x14ac:dyDescent="0.25">
      <c r="A43">
        <f>ROW(Source!A40)</f>
        <v>40</v>
      </c>
      <c r="B43">
        <v>57014138</v>
      </c>
      <c r="C43">
        <v>57014866</v>
      </c>
      <c r="D43">
        <v>55482233</v>
      </c>
      <c r="E43">
        <v>1</v>
      </c>
      <c r="F43">
        <v>1</v>
      </c>
      <c r="G43">
        <v>1081</v>
      </c>
      <c r="H43">
        <v>3</v>
      </c>
      <c r="I43" t="s">
        <v>427</v>
      </c>
      <c r="J43" t="s">
        <v>428</v>
      </c>
      <c r="K43" t="s">
        <v>429</v>
      </c>
      <c r="L43">
        <v>1346</v>
      </c>
      <c r="N43">
        <v>1009</v>
      </c>
      <c r="O43" t="s">
        <v>365</v>
      </c>
      <c r="P43" t="s">
        <v>365</v>
      </c>
      <c r="Q43">
        <v>1</v>
      </c>
      <c r="W43">
        <v>0</v>
      </c>
      <c r="X43">
        <v>1566362712</v>
      </c>
      <c r="Y43">
        <f>((AT43*1)*0)</f>
        <v>0</v>
      </c>
      <c r="AA43">
        <v>493.08</v>
      </c>
      <c r="AB43">
        <v>0</v>
      </c>
      <c r="AC43">
        <v>0</v>
      </c>
      <c r="AD43">
        <v>0</v>
      </c>
      <c r="AE43">
        <v>493.08</v>
      </c>
      <c r="AF43">
        <v>0</v>
      </c>
      <c r="AG43">
        <v>0</v>
      </c>
      <c r="AH43">
        <v>0</v>
      </c>
      <c r="AI43">
        <v>1</v>
      </c>
      <c r="AJ43">
        <v>1</v>
      </c>
      <c r="AK43">
        <v>1</v>
      </c>
      <c r="AL43">
        <v>1</v>
      </c>
      <c r="AM43">
        <v>-2</v>
      </c>
      <c r="AN43">
        <v>0</v>
      </c>
      <c r="AO43">
        <v>1</v>
      </c>
      <c r="AP43">
        <v>1</v>
      </c>
      <c r="AQ43">
        <v>0</v>
      </c>
      <c r="AR43">
        <v>0</v>
      </c>
      <c r="AS43" t="s">
        <v>3</v>
      </c>
      <c r="AT43">
        <v>1.4999999999999999E-2</v>
      </c>
      <c r="AU43" t="s">
        <v>29</v>
      </c>
      <c r="AV43">
        <v>0</v>
      </c>
      <c r="AW43">
        <v>2</v>
      </c>
      <c r="AX43">
        <v>57014873</v>
      </c>
      <c r="AY43">
        <v>1</v>
      </c>
      <c r="AZ43">
        <v>0</v>
      </c>
      <c r="BA43">
        <v>51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CV43">
        <v>0</v>
      </c>
      <c r="CW43">
        <v>0</v>
      </c>
      <c r="CX43">
        <f>ROUND(Y43*Source!I40,9)</f>
        <v>0</v>
      </c>
      <c r="CY43">
        <f>AA43</f>
        <v>493.08</v>
      </c>
      <c r="CZ43">
        <f>AE43</f>
        <v>493.08</v>
      </c>
      <c r="DA43">
        <f>AI43</f>
        <v>1</v>
      </c>
      <c r="DB43">
        <f>ROUND(((ROUND(AT43*CZ43,2)*1)*0),6)</f>
        <v>0</v>
      </c>
      <c r="DC43">
        <f>ROUND(((ROUND(AT43*AG43,2)*1)*0),6)</f>
        <v>0</v>
      </c>
      <c r="DD43" t="s">
        <v>3</v>
      </c>
      <c r="DE43" t="s">
        <v>3</v>
      </c>
      <c r="DF43">
        <f t="shared" si="12"/>
        <v>0</v>
      </c>
      <c r="DG43">
        <f t="shared" si="11"/>
        <v>0</v>
      </c>
      <c r="DH43">
        <f t="shared" si="9"/>
        <v>0</v>
      </c>
      <c r="DI43">
        <f t="shared" si="3"/>
        <v>0</v>
      </c>
      <c r="DJ43">
        <f>DF43</f>
        <v>0</v>
      </c>
      <c r="DK43">
        <v>0</v>
      </c>
      <c r="DL43" t="s">
        <v>3</v>
      </c>
      <c r="DM43">
        <v>0</v>
      </c>
      <c r="DN43" t="s">
        <v>3</v>
      </c>
      <c r="DO43">
        <v>0</v>
      </c>
    </row>
    <row r="44" spans="1:119" x14ac:dyDescent="0.25">
      <c r="A44">
        <f>ROW(Source!A40)</f>
        <v>40</v>
      </c>
      <c r="B44">
        <v>57014138</v>
      </c>
      <c r="C44">
        <v>57014866</v>
      </c>
      <c r="D44">
        <v>55488138</v>
      </c>
      <c r="E44">
        <v>1</v>
      </c>
      <c r="F44">
        <v>1</v>
      </c>
      <c r="G44">
        <v>1081</v>
      </c>
      <c r="H44">
        <v>3</v>
      </c>
      <c r="I44" t="s">
        <v>430</v>
      </c>
      <c r="J44" t="s">
        <v>431</v>
      </c>
      <c r="K44" t="s">
        <v>432</v>
      </c>
      <c r="L44">
        <v>1303</v>
      </c>
      <c r="N44">
        <v>1003</v>
      </c>
      <c r="O44" t="s">
        <v>433</v>
      </c>
      <c r="P44" t="s">
        <v>433</v>
      </c>
      <c r="Q44">
        <v>1000</v>
      </c>
      <c r="W44">
        <v>0</v>
      </c>
      <c r="X44">
        <v>-478298912</v>
      </c>
      <c r="Y44">
        <f>((AT44*1)*0)</f>
        <v>0</v>
      </c>
      <c r="AA44">
        <v>2880.4</v>
      </c>
      <c r="AB44">
        <v>0</v>
      </c>
      <c r="AC44">
        <v>0</v>
      </c>
      <c r="AD44">
        <v>0</v>
      </c>
      <c r="AE44">
        <v>2880.4</v>
      </c>
      <c r="AF44">
        <v>0</v>
      </c>
      <c r="AG44">
        <v>0</v>
      </c>
      <c r="AH44">
        <v>0</v>
      </c>
      <c r="AI44">
        <v>1</v>
      </c>
      <c r="AJ44">
        <v>1</v>
      </c>
      <c r="AK44">
        <v>1</v>
      </c>
      <c r="AL44">
        <v>1</v>
      </c>
      <c r="AM44">
        <v>-2</v>
      </c>
      <c r="AN44">
        <v>0</v>
      </c>
      <c r="AO44">
        <v>1</v>
      </c>
      <c r="AP44">
        <v>1</v>
      </c>
      <c r="AQ44">
        <v>0</v>
      </c>
      <c r="AR44">
        <v>0</v>
      </c>
      <c r="AS44" t="s">
        <v>3</v>
      </c>
      <c r="AT44">
        <v>5.0000000000000001E-3</v>
      </c>
      <c r="AU44" t="s">
        <v>29</v>
      </c>
      <c r="AV44">
        <v>0</v>
      </c>
      <c r="AW44">
        <v>2</v>
      </c>
      <c r="AX44">
        <v>57014874</v>
      </c>
      <c r="AY44">
        <v>1</v>
      </c>
      <c r="AZ44">
        <v>0</v>
      </c>
      <c r="BA44">
        <v>52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CV44">
        <v>0</v>
      </c>
      <c r="CW44">
        <v>0</v>
      </c>
      <c r="CX44">
        <f>ROUND(Y44*Source!I40,9)</f>
        <v>0</v>
      </c>
      <c r="CY44">
        <f>AA44</f>
        <v>2880.4</v>
      </c>
      <c r="CZ44">
        <f>AE44</f>
        <v>2880.4</v>
      </c>
      <c r="DA44">
        <f>AI44</f>
        <v>1</v>
      </c>
      <c r="DB44">
        <f>ROUND(((ROUND(AT44*CZ44,2)*1)*0),6)</f>
        <v>0</v>
      </c>
      <c r="DC44">
        <f>ROUND(((ROUND(AT44*AG44,2)*1)*0),6)</f>
        <v>0</v>
      </c>
      <c r="DD44" t="s">
        <v>3</v>
      </c>
      <c r="DE44" t="s">
        <v>3</v>
      </c>
      <c r="DF44">
        <f t="shared" si="12"/>
        <v>0</v>
      </c>
      <c r="DG44">
        <f t="shared" si="11"/>
        <v>0</v>
      </c>
      <c r="DH44">
        <f t="shared" si="9"/>
        <v>0</v>
      </c>
      <c r="DI44">
        <f t="shared" si="3"/>
        <v>0</v>
      </c>
      <c r="DJ44">
        <f>DF44</f>
        <v>0</v>
      </c>
      <c r="DK44">
        <v>0</v>
      </c>
      <c r="DL44" t="s">
        <v>3</v>
      </c>
      <c r="DM44">
        <v>0</v>
      </c>
      <c r="DN44" t="s">
        <v>3</v>
      </c>
      <c r="DO44">
        <v>0</v>
      </c>
    </row>
    <row r="45" spans="1:119" x14ac:dyDescent="0.25">
      <c r="A45">
        <f>ROW(Source!A41)</f>
        <v>41</v>
      </c>
      <c r="B45">
        <v>57014140</v>
      </c>
      <c r="C45">
        <v>57014866</v>
      </c>
      <c r="D45">
        <v>55424304</v>
      </c>
      <c r="E45">
        <v>1081</v>
      </c>
      <c r="F45">
        <v>1</v>
      </c>
      <c r="G45">
        <v>1081</v>
      </c>
      <c r="H45">
        <v>1</v>
      </c>
      <c r="I45" t="s">
        <v>385</v>
      </c>
      <c r="J45" t="s">
        <v>3</v>
      </c>
      <c r="K45" t="s">
        <v>386</v>
      </c>
      <c r="L45">
        <v>1191</v>
      </c>
      <c r="N45">
        <v>1013</v>
      </c>
      <c r="O45" t="s">
        <v>387</v>
      </c>
      <c r="P45" t="s">
        <v>387</v>
      </c>
      <c r="Q45">
        <v>1</v>
      </c>
      <c r="W45">
        <v>0</v>
      </c>
      <c r="X45">
        <v>476480486</v>
      </c>
      <c r="Y45">
        <f>((AT45*1.2)*0.3)</f>
        <v>0.72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1</v>
      </c>
      <c r="AJ45">
        <v>1</v>
      </c>
      <c r="AK45">
        <v>1</v>
      </c>
      <c r="AL45">
        <v>1</v>
      </c>
      <c r="AM45">
        <v>5</v>
      </c>
      <c r="AN45">
        <v>0</v>
      </c>
      <c r="AO45">
        <v>1</v>
      </c>
      <c r="AP45">
        <v>1</v>
      </c>
      <c r="AQ45">
        <v>0</v>
      </c>
      <c r="AR45">
        <v>0</v>
      </c>
      <c r="AS45" t="s">
        <v>3</v>
      </c>
      <c r="AT45">
        <v>2</v>
      </c>
      <c r="AU45" t="s">
        <v>30</v>
      </c>
      <c r="AV45">
        <v>1</v>
      </c>
      <c r="AW45">
        <v>2</v>
      </c>
      <c r="AX45">
        <v>57014871</v>
      </c>
      <c r="AY45">
        <v>1</v>
      </c>
      <c r="AZ45">
        <v>0</v>
      </c>
      <c r="BA45">
        <v>54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CU45">
        <f>ROUND(AT45*Source!I41*AH45*AL45,2)</f>
        <v>0</v>
      </c>
      <c r="CV45">
        <f>ROUND(Y45*Source!I41,9)</f>
        <v>133.91999999999999</v>
      </c>
      <c r="CW45">
        <v>0</v>
      </c>
      <c r="CX45">
        <f>ROUND(Y45*Source!I41,9)</f>
        <v>133.91999999999999</v>
      </c>
      <c r="CY45">
        <f>AD45</f>
        <v>0</v>
      </c>
      <c r="CZ45">
        <f>AH45</f>
        <v>0</v>
      </c>
      <c r="DA45">
        <f>AL45</f>
        <v>1</v>
      </c>
      <c r="DB45">
        <f>ROUND(((ROUND(AT45*CZ45,2)*1.2)*0.3),6)</f>
        <v>0</v>
      </c>
      <c r="DC45">
        <f>ROUND(((ROUND(AT45*AG45,2)*1.2)*0.3),6)</f>
        <v>0</v>
      </c>
      <c r="DD45" t="s">
        <v>3</v>
      </c>
      <c r="DE45" t="s">
        <v>3</v>
      </c>
      <c r="DF45">
        <f t="shared" si="12"/>
        <v>0</v>
      </c>
      <c r="DG45">
        <f t="shared" si="11"/>
        <v>0</v>
      </c>
      <c r="DH45">
        <f t="shared" si="9"/>
        <v>0</v>
      </c>
      <c r="DI45">
        <f t="shared" si="3"/>
        <v>0</v>
      </c>
      <c r="DJ45">
        <f>DI45</f>
        <v>0</v>
      </c>
      <c r="DK45">
        <v>0</v>
      </c>
      <c r="DL45" t="s">
        <v>3</v>
      </c>
      <c r="DM45">
        <v>0</v>
      </c>
      <c r="DN45" t="s">
        <v>3</v>
      </c>
      <c r="DO45">
        <v>0</v>
      </c>
    </row>
    <row r="46" spans="1:119" x14ac:dyDescent="0.25">
      <c r="A46">
        <f>ROW(Source!A41)</f>
        <v>41</v>
      </c>
      <c r="B46">
        <v>57014140</v>
      </c>
      <c r="C46">
        <v>57014866</v>
      </c>
      <c r="D46">
        <v>55460240</v>
      </c>
      <c r="E46">
        <v>1</v>
      </c>
      <c r="F46">
        <v>1</v>
      </c>
      <c r="G46">
        <v>1081</v>
      </c>
      <c r="H46">
        <v>3</v>
      </c>
      <c r="I46" t="s">
        <v>424</v>
      </c>
      <c r="J46" t="s">
        <v>425</v>
      </c>
      <c r="K46" t="s">
        <v>426</v>
      </c>
      <c r="L46">
        <v>1348</v>
      </c>
      <c r="N46">
        <v>1009</v>
      </c>
      <c r="O46" t="s">
        <v>361</v>
      </c>
      <c r="P46" t="s">
        <v>361</v>
      </c>
      <c r="Q46">
        <v>1000</v>
      </c>
      <c r="W46">
        <v>0</v>
      </c>
      <c r="X46">
        <v>710003313</v>
      </c>
      <c r="Y46">
        <f>((AT46*1)*0)</f>
        <v>0</v>
      </c>
      <c r="AA46">
        <v>133421.57</v>
      </c>
      <c r="AB46">
        <v>0</v>
      </c>
      <c r="AC46">
        <v>0</v>
      </c>
      <c r="AD46">
        <v>0</v>
      </c>
      <c r="AE46">
        <v>17742.23</v>
      </c>
      <c r="AF46">
        <v>0</v>
      </c>
      <c r="AG46">
        <v>0</v>
      </c>
      <c r="AH46">
        <v>0</v>
      </c>
      <c r="AI46">
        <v>7.52</v>
      </c>
      <c r="AJ46">
        <v>1</v>
      </c>
      <c r="AK46">
        <v>1</v>
      </c>
      <c r="AL46">
        <v>1</v>
      </c>
      <c r="AM46">
        <v>2</v>
      </c>
      <c r="AN46">
        <v>0</v>
      </c>
      <c r="AO46">
        <v>1</v>
      </c>
      <c r="AP46">
        <v>1</v>
      </c>
      <c r="AQ46">
        <v>0</v>
      </c>
      <c r="AR46">
        <v>0</v>
      </c>
      <c r="AS46" t="s">
        <v>3</v>
      </c>
      <c r="AT46">
        <v>1.4999999999999999E-4</v>
      </c>
      <c r="AU46" t="s">
        <v>29</v>
      </c>
      <c r="AV46">
        <v>0</v>
      </c>
      <c r="AW46">
        <v>2</v>
      </c>
      <c r="AX46">
        <v>57014872</v>
      </c>
      <c r="AY46">
        <v>1</v>
      </c>
      <c r="AZ46">
        <v>0</v>
      </c>
      <c r="BA46">
        <v>55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CV46">
        <v>0</v>
      </c>
      <c r="CW46">
        <v>0</v>
      </c>
      <c r="CX46">
        <f>ROUND(Y46*Source!I41,9)</f>
        <v>0</v>
      </c>
      <c r="CY46">
        <f>AA46</f>
        <v>133421.57</v>
      </c>
      <c r="CZ46">
        <f>AE46</f>
        <v>17742.23</v>
      </c>
      <c r="DA46">
        <f>AI46</f>
        <v>7.52</v>
      </c>
      <c r="DB46">
        <f>ROUND(((ROUND(AT46*CZ46,2)*1)*0),6)</f>
        <v>0</v>
      </c>
      <c r="DC46">
        <f>ROUND(((ROUND(AT46*AG46,2)*1)*0),6)</f>
        <v>0</v>
      </c>
      <c r="DD46" t="s">
        <v>3</v>
      </c>
      <c r="DE46" t="s">
        <v>3</v>
      </c>
      <c r="DF46">
        <f>ROUND(ROUND(AE46*AI46,2)*CX46,2)</f>
        <v>0</v>
      </c>
      <c r="DG46">
        <f t="shared" si="11"/>
        <v>0</v>
      </c>
      <c r="DH46">
        <f t="shared" si="9"/>
        <v>0</v>
      </c>
      <c r="DI46">
        <f t="shared" si="3"/>
        <v>0</v>
      </c>
      <c r="DJ46">
        <f>DF46</f>
        <v>0</v>
      </c>
      <c r="DK46">
        <v>0</v>
      </c>
      <c r="DL46" t="s">
        <v>3</v>
      </c>
      <c r="DM46">
        <v>0</v>
      </c>
      <c r="DN46" t="s">
        <v>3</v>
      </c>
      <c r="DO46">
        <v>0</v>
      </c>
    </row>
    <row r="47" spans="1:119" x14ac:dyDescent="0.25">
      <c r="A47">
        <f>ROW(Source!A41)</f>
        <v>41</v>
      </c>
      <c r="B47">
        <v>57014140</v>
      </c>
      <c r="C47">
        <v>57014866</v>
      </c>
      <c r="D47">
        <v>55482233</v>
      </c>
      <c r="E47">
        <v>1</v>
      </c>
      <c r="F47">
        <v>1</v>
      </c>
      <c r="G47">
        <v>1081</v>
      </c>
      <c r="H47">
        <v>3</v>
      </c>
      <c r="I47" t="s">
        <v>427</v>
      </c>
      <c r="J47" t="s">
        <v>428</v>
      </c>
      <c r="K47" t="s">
        <v>429</v>
      </c>
      <c r="L47">
        <v>1346</v>
      </c>
      <c r="N47">
        <v>1009</v>
      </c>
      <c r="O47" t="s">
        <v>365</v>
      </c>
      <c r="P47" t="s">
        <v>365</v>
      </c>
      <c r="Q47">
        <v>1</v>
      </c>
      <c r="W47">
        <v>0</v>
      </c>
      <c r="X47">
        <v>1566362712</v>
      </c>
      <c r="Y47">
        <f>((AT47*1)*0)</f>
        <v>0</v>
      </c>
      <c r="AA47">
        <v>3047.23</v>
      </c>
      <c r="AB47">
        <v>0</v>
      </c>
      <c r="AC47">
        <v>0</v>
      </c>
      <c r="AD47">
        <v>0</v>
      </c>
      <c r="AE47">
        <v>493.08</v>
      </c>
      <c r="AF47">
        <v>0</v>
      </c>
      <c r="AG47">
        <v>0</v>
      </c>
      <c r="AH47">
        <v>0</v>
      </c>
      <c r="AI47">
        <v>6.18</v>
      </c>
      <c r="AJ47">
        <v>1</v>
      </c>
      <c r="AK47">
        <v>1</v>
      </c>
      <c r="AL47">
        <v>1</v>
      </c>
      <c r="AM47">
        <v>2</v>
      </c>
      <c r="AN47">
        <v>0</v>
      </c>
      <c r="AO47">
        <v>1</v>
      </c>
      <c r="AP47">
        <v>1</v>
      </c>
      <c r="AQ47">
        <v>0</v>
      </c>
      <c r="AR47">
        <v>0</v>
      </c>
      <c r="AS47" t="s">
        <v>3</v>
      </c>
      <c r="AT47">
        <v>1.4999999999999999E-2</v>
      </c>
      <c r="AU47" t="s">
        <v>29</v>
      </c>
      <c r="AV47">
        <v>0</v>
      </c>
      <c r="AW47">
        <v>2</v>
      </c>
      <c r="AX47">
        <v>57014873</v>
      </c>
      <c r="AY47">
        <v>1</v>
      </c>
      <c r="AZ47">
        <v>0</v>
      </c>
      <c r="BA47">
        <v>56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CV47">
        <v>0</v>
      </c>
      <c r="CW47">
        <v>0</v>
      </c>
      <c r="CX47">
        <f>ROUND(Y47*Source!I41,9)</f>
        <v>0</v>
      </c>
      <c r="CY47">
        <f>AA47</f>
        <v>3047.23</v>
      </c>
      <c r="CZ47">
        <f>AE47</f>
        <v>493.08</v>
      </c>
      <c r="DA47">
        <f>AI47</f>
        <v>6.18</v>
      </c>
      <c r="DB47">
        <f>ROUND(((ROUND(AT47*CZ47,2)*1)*0),6)</f>
        <v>0</v>
      </c>
      <c r="DC47">
        <f>ROUND(((ROUND(AT47*AG47,2)*1)*0),6)</f>
        <v>0</v>
      </c>
      <c r="DD47" t="s">
        <v>3</v>
      </c>
      <c r="DE47" t="s">
        <v>3</v>
      </c>
      <c r="DF47">
        <f>ROUND(ROUND(AE47*AI47,2)*CX47,2)</f>
        <v>0</v>
      </c>
      <c r="DG47">
        <f t="shared" si="11"/>
        <v>0</v>
      </c>
      <c r="DH47">
        <f t="shared" si="9"/>
        <v>0</v>
      </c>
      <c r="DI47">
        <f t="shared" si="3"/>
        <v>0</v>
      </c>
      <c r="DJ47">
        <f>DF47</f>
        <v>0</v>
      </c>
      <c r="DK47">
        <v>0</v>
      </c>
      <c r="DL47" t="s">
        <v>3</v>
      </c>
      <c r="DM47">
        <v>0</v>
      </c>
      <c r="DN47" t="s">
        <v>3</v>
      </c>
      <c r="DO47">
        <v>0</v>
      </c>
    </row>
    <row r="48" spans="1:119" x14ac:dyDescent="0.25">
      <c r="A48">
        <f>ROW(Source!A41)</f>
        <v>41</v>
      </c>
      <c r="B48">
        <v>57014140</v>
      </c>
      <c r="C48">
        <v>57014866</v>
      </c>
      <c r="D48">
        <v>55488138</v>
      </c>
      <c r="E48">
        <v>1</v>
      </c>
      <c r="F48">
        <v>1</v>
      </c>
      <c r="G48">
        <v>1081</v>
      </c>
      <c r="H48">
        <v>3</v>
      </c>
      <c r="I48" t="s">
        <v>430</v>
      </c>
      <c r="J48" t="s">
        <v>431</v>
      </c>
      <c r="K48" t="s">
        <v>432</v>
      </c>
      <c r="L48">
        <v>1303</v>
      </c>
      <c r="N48">
        <v>1003</v>
      </c>
      <c r="O48" t="s">
        <v>433</v>
      </c>
      <c r="P48" t="s">
        <v>433</v>
      </c>
      <c r="Q48">
        <v>1000</v>
      </c>
      <c r="W48">
        <v>0</v>
      </c>
      <c r="X48">
        <v>-478298912</v>
      </c>
      <c r="Y48">
        <f>((AT48*1)*0)</f>
        <v>0</v>
      </c>
      <c r="AA48">
        <v>41189.72</v>
      </c>
      <c r="AB48">
        <v>0</v>
      </c>
      <c r="AC48">
        <v>0</v>
      </c>
      <c r="AD48">
        <v>0</v>
      </c>
      <c r="AE48">
        <v>2880.4</v>
      </c>
      <c r="AF48">
        <v>0</v>
      </c>
      <c r="AG48">
        <v>0</v>
      </c>
      <c r="AH48">
        <v>0</v>
      </c>
      <c r="AI48">
        <v>14.3</v>
      </c>
      <c r="AJ48">
        <v>1</v>
      </c>
      <c r="AK48">
        <v>1</v>
      </c>
      <c r="AL48">
        <v>1</v>
      </c>
      <c r="AM48">
        <v>2</v>
      </c>
      <c r="AN48">
        <v>0</v>
      </c>
      <c r="AO48">
        <v>1</v>
      </c>
      <c r="AP48">
        <v>1</v>
      </c>
      <c r="AQ48">
        <v>0</v>
      </c>
      <c r="AR48">
        <v>0</v>
      </c>
      <c r="AS48" t="s">
        <v>3</v>
      </c>
      <c r="AT48">
        <v>5.0000000000000001E-3</v>
      </c>
      <c r="AU48" t="s">
        <v>29</v>
      </c>
      <c r="AV48">
        <v>0</v>
      </c>
      <c r="AW48">
        <v>2</v>
      </c>
      <c r="AX48">
        <v>57014874</v>
      </c>
      <c r="AY48">
        <v>1</v>
      </c>
      <c r="AZ48">
        <v>0</v>
      </c>
      <c r="BA48">
        <v>57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CV48">
        <v>0</v>
      </c>
      <c r="CW48">
        <v>0</v>
      </c>
      <c r="CX48">
        <f>ROUND(Y48*Source!I41,9)</f>
        <v>0</v>
      </c>
      <c r="CY48">
        <f>AA48</f>
        <v>41189.72</v>
      </c>
      <c r="CZ48">
        <f>AE48</f>
        <v>2880.4</v>
      </c>
      <c r="DA48">
        <f>AI48</f>
        <v>14.3</v>
      </c>
      <c r="DB48">
        <f>ROUND(((ROUND(AT48*CZ48,2)*1)*0),6)</f>
        <v>0</v>
      </c>
      <c r="DC48">
        <f>ROUND(((ROUND(AT48*AG48,2)*1)*0),6)</f>
        <v>0</v>
      </c>
      <c r="DD48" t="s">
        <v>3</v>
      </c>
      <c r="DE48" t="s">
        <v>3</v>
      </c>
      <c r="DF48">
        <f>ROUND(ROUND(AE48*AI48,2)*CX48,2)</f>
        <v>0</v>
      </c>
      <c r="DG48">
        <f t="shared" si="11"/>
        <v>0</v>
      </c>
      <c r="DH48">
        <f t="shared" si="9"/>
        <v>0</v>
      </c>
      <c r="DI48">
        <f t="shared" si="3"/>
        <v>0</v>
      </c>
      <c r="DJ48">
        <f>DF48</f>
        <v>0</v>
      </c>
      <c r="DK48">
        <v>0</v>
      </c>
      <c r="DL48" t="s">
        <v>3</v>
      </c>
      <c r="DM48">
        <v>0</v>
      </c>
      <c r="DN48" t="s">
        <v>3</v>
      </c>
      <c r="DO48">
        <v>0</v>
      </c>
    </row>
    <row r="49" spans="1:119" x14ac:dyDescent="0.25">
      <c r="A49">
        <f>ROW(Source!A42)</f>
        <v>42</v>
      </c>
      <c r="B49">
        <v>57014138</v>
      </c>
      <c r="C49">
        <v>57014876</v>
      </c>
      <c r="D49">
        <v>55424304</v>
      </c>
      <c r="E49">
        <v>1081</v>
      </c>
      <c r="F49">
        <v>1</v>
      </c>
      <c r="G49">
        <v>1081</v>
      </c>
      <c r="H49">
        <v>1</v>
      </c>
      <c r="I49" t="s">
        <v>385</v>
      </c>
      <c r="J49" t="s">
        <v>3</v>
      </c>
      <c r="K49" t="s">
        <v>386</v>
      </c>
      <c r="L49">
        <v>1191</v>
      </c>
      <c r="N49">
        <v>1013</v>
      </c>
      <c r="O49" t="s">
        <v>387</v>
      </c>
      <c r="P49" t="s">
        <v>387</v>
      </c>
      <c r="Q49">
        <v>1</v>
      </c>
      <c r="W49">
        <v>0</v>
      </c>
      <c r="X49">
        <v>476480486</v>
      </c>
      <c r="Y49">
        <f>((AT49*1.2)*0.3)</f>
        <v>8.6399999999999988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1</v>
      </c>
      <c r="AJ49">
        <v>1</v>
      </c>
      <c r="AK49">
        <v>1</v>
      </c>
      <c r="AL49">
        <v>1</v>
      </c>
      <c r="AM49">
        <v>-2</v>
      </c>
      <c r="AN49">
        <v>0</v>
      </c>
      <c r="AO49">
        <v>1</v>
      </c>
      <c r="AP49">
        <v>1</v>
      </c>
      <c r="AQ49">
        <v>0</v>
      </c>
      <c r="AR49">
        <v>0</v>
      </c>
      <c r="AS49" t="s">
        <v>3</v>
      </c>
      <c r="AT49">
        <v>24</v>
      </c>
      <c r="AU49" t="s">
        <v>30</v>
      </c>
      <c r="AV49">
        <v>1</v>
      </c>
      <c r="AW49">
        <v>2</v>
      </c>
      <c r="AX49">
        <v>57014882</v>
      </c>
      <c r="AY49">
        <v>1</v>
      </c>
      <c r="AZ49">
        <v>0</v>
      </c>
      <c r="BA49">
        <v>59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CU49">
        <f>ROUND(AT49*Source!I42*AH49*AL49,2)</f>
        <v>0</v>
      </c>
      <c r="CV49">
        <f>ROUND(Y49*Source!I42,9)</f>
        <v>0.6048</v>
      </c>
      <c r="CW49">
        <v>0</v>
      </c>
      <c r="CX49">
        <f>ROUND(Y49*Source!I42,9)</f>
        <v>0.6048</v>
      </c>
      <c r="CY49">
        <f>AD49</f>
        <v>0</v>
      </c>
      <c r="CZ49">
        <f>AH49</f>
        <v>0</v>
      </c>
      <c r="DA49">
        <f>AL49</f>
        <v>1</v>
      </c>
      <c r="DB49">
        <f>ROUND(((ROUND(AT49*CZ49,2)*1.2)*0.3),6)</f>
        <v>0</v>
      </c>
      <c r="DC49">
        <f>ROUND(((ROUND(AT49*AG49,2)*1.2)*0.3),6)</f>
        <v>0</v>
      </c>
      <c r="DD49" t="s">
        <v>3</v>
      </c>
      <c r="DE49" t="s">
        <v>3</v>
      </c>
      <c r="DF49">
        <f t="shared" ref="DF49:DF54" si="13">ROUND(ROUND(AE49,2)*CX49,2)</f>
        <v>0</v>
      </c>
      <c r="DG49">
        <f t="shared" si="11"/>
        <v>0</v>
      </c>
      <c r="DH49">
        <f t="shared" si="9"/>
        <v>0</v>
      </c>
      <c r="DI49">
        <f t="shared" si="3"/>
        <v>0</v>
      </c>
      <c r="DJ49">
        <f>DI49</f>
        <v>0</v>
      </c>
      <c r="DK49">
        <v>0</v>
      </c>
      <c r="DL49" t="s">
        <v>3</v>
      </c>
      <c r="DM49">
        <v>0</v>
      </c>
      <c r="DN49" t="s">
        <v>3</v>
      </c>
      <c r="DO49">
        <v>0</v>
      </c>
    </row>
    <row r="50" spans="1:119" x14ac:dyDescent="0.25">
      <c r="A50">
        <f>ROW(Source!A42)</f>
        <v>42</v>
      </c>
      <c r="B50">
        <v>57014138</v>
      </c>
      <c r="C50">
        <v>57014876</v>
      </c>
      <c r="D50">
        <v>55459907</v>
      </c>
      <c r="E50">
        <v>1</v>
      </c>
      <c r="F50">
        <v>1</v>
      </c>
      <c r="G50">
        <v>1081</v>
      </c>
      <c r="H50">
        <v>3</v>
      </c>
      <c r="I50" t="s">
        <v>434</v>
      </c>
      <c r="J50" t="s">
        <v>435</v>
      </c>
      <c r="K50" t="s">
        <v>436</v>
      </c>
      <c r="L50">
        <v>1348</v>
      </c>
      <c r="N50">
        <v>1009</v>
      </c>
      <c r="O50" t="s">
        <v>361</v>
      </c>
      <c r="P50" t="s">
        <v>361</v>
      </c>
      <c r="Q50">
        <v>1000</v>
      </c>
      <c r="W50">
        <v>0</v>
      </c>
      <c r="X50">
        <v>-921548447</v>
      </c>
      <c r="Y50">
        <f>((AT50*1)*0)</f>
        <v>0</v>
      </c>
      <c r="AA50">
        <v>7246.05</v>
      </c>
      <c r="AB50">
        <v>0</v>
      </c>
      <c r="AC50">
        <v>0</v>
      </c>
      <c r="AD50">
        <v>0</v>
      </c>
      <c r="AE50">
        <v>7246.05</v>
      </c>
      <c r="AF50">
        <v>0</v>
      </c>
      <c r="AG50">
        <v>0</v>
      </c>
      <c r="AH50">
        <v>0</v>
      </c>
      <c r="AI50">
        <v>1</v>
      </c>
      <c r="AJ50">
        <v>1</v>
      </c>
      <c r="AK50">
        <v>1</v>
      </c>
      <c r="AL50">
        <v>1</v>
      </c>
      <c r="AM50">
        <v>-2</v>
      </c>
      <c r="AN50">
        <v>0</v>
      </c>
      <c r="AO50">
        <v>1</v>
      </c>
      <c r="AP50">
        <v>1</v>
      </c>
      <c r="AQ50">
        <v>0</v>
      </c>
      <c r="AR50">
        <v>0</v>
      </c>
      <c r="AS50" t="s">
        <v>3</v>
      </c>
      <c r="AT50">
        <v>6.0000000000000001E-3</v>
      </c>
      <c r="AU50" t="s">
        <v>29</v>
      </c>
      <c r="AV50">
        <v>0</v>
      </c>
      <c r="AW50">
        <v>2</v>
      </c>
      <c r="AX50">
        <v>57014883</v>
      </c>
      <c r="AY50">
        <v>1</v>
      </c>
      <c r="AZ50">
        <v>0</v>
      </c>
      <c r="BA50">
        <v>60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CV50">
        <v>0</v>
      </c>
      <c r="CW50">
        <v>0</v>
      </c>
      <c r="CX50">
        <f>ROUND(Y50*Source!I42,9)</f>
        <v>0</v>
      </c>
      <c r="CY50">
        <f>AA50</f>
        <v>7246.05</v>
      </c>
      <c r="CZ50">
        <f>AE50</f>
        <v>7246.05</v>
      </c>
      <c r="DA50">
        <f>AI50</f>
        <v>1</v>
      </c>
      <c r="DB50">
        <f>ROUND(((ROUND(AT50*CZ50,2)*1)*0),6)</f>
        <v>0</v>
      </c>
      <c r="DC50">
        <f>ROUND(((ROUND(AT50*AG50,2)*1)*0),6)</f>
        <v>0</v>
      </c>
      <c r="DD50" t="s">
        <v>3</v>
      </c>
      <c r="DE50" t="s">
        <v>3</v>
      </c>
      <c r="DF50">
        <f t="shared" si="13"/>
        <v>0</v>
      </c>
      <c r="DG50">
        <f t="shared" si="11"/>
        <v>0</v>
      </c>
      <c r="DH50">
        <f t="shared" si="9"/>
        <v>0</v>
      </c>
      <c r="DI50">
        <f t="shared" si="3"/>
        <v>0</v>
      </c>
      <c r="DJ50">
        <f>DF50</f>
        <v>0</v>
      </c>
      <c r="DK50">
        <v>0</v>
      </c>
      <c r="DL50" t="s">
        <v>3</v>
      </c>
      <c r="DM50">
        <v>0</v>
      </c>
      <c r="DN50" t="s">
        <v>3</v>
      </c>
      <c r="DO50">
        <v>0</v>
      </c>
    </row>
    <row r="51" spans="1:119" x14ac:dyDescent="0.25">
      <c r="A51">
        <f>ROW(Source!A42)</f>
        <v>42</v>
      </c>
      <c r="B51">
        <v>57014138</v>
      </c>
      <c r="C51">
        <v>57014876</v>
      </c>
      <c r="D51">
        <v>55460316</v>
      </c>
      <c r="E51">
        <v>1</v>
      </c>
      <c r="F51">
        <v>1</v>
      </c>
      <c r="G51">
        <v>1081</v>
      </c>
      <c r="H51">
        <v>3</v>
      </c>
      <c r="I51" t="s">
        <v>437</v>
      </c>
      <c r="J51" t="s">
        <v>438</v>
      </c>
      <c r="K51" t="s">
        <v>439</v>
      </c>
      <c r="L51">
        <v>1346</v>
      </c>
      <c r="N51">
        <v>1009</v>
      </c>
      <c r="O51" t="s">
        <v>365</v>
      </c>
      <c r="P51" t="s">
        <v>365</v>
      </c>
      <c r="Q51">
        <v>1</v>
      </c>
      <c r="W51">
        <v>0</v>
      </c>
      <c r="X51">
        <v>-1613042688</v>
      </c>
      <c r="Y51">
        <f>((AT51*1)*0)</f>
        <v>0</v>
      </c>
      <c r="AA51">
        <v>104.63</v>
      </c>
      <c r="AB51">
        <v>0</v>
      </c>
      <c r="AC51">
        <v>0</v>
      </c>
      <c r="AD51">
        <v>0</v>
      </c>
      <c r="AE51">
        <v>104.63</v>
      </c>
      <c r="AF51">
        <v>0</v>
      </c>
      <c r="AG51">
        <v>0</v>
      </c>
      <c r="AH51">
        <v>0</v>
      </c>
      <c r="AI51">
        <v>1</v>
      </c>
      <c r="AJ51">
        <v>1</v>
      </c>
      <c r="AK51">
        <v>1</v>
      </c>
      <c r="AL51">
        <v>1</v>
      </c>
      <c r="AM51">
        <v>-2</v>
      </c>
      <c r="AN51">
        <v>0</v>
      </c>
      <c r="AO51">
        <v>1</v>
      </c>
      <c r="AP51">
        <v>1</v>
      </c>
      <c r="AQ51">
        <v>0</v>
      </c>
      <c r="AR51">
        <v>0</v>
      </c>
      <c r="AS51" t="s">
        <v>3</v>
      </c>
      <c r="AT51">
        <v>0.2</v>
      </c>
      <c r="AU51" t="s">
        <v>29</v>
      </c>
      <c r="AV51">
        <v>0</v>
      </c>
      <c r="AW51">
        <v>2</v>
      </c>
      <c r="AX51">
        <v>57014884</v>
      </c>
      <c r="AY51">
        <v>1</v>
      </c>
      <c r="AZ51">
        <v>0</v>
      </c>
      <c r="BA51">
        <v>61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CV51">
        <v>0</v>
      </c>
      <c r="CW51">
        <v>0</v>
      </c>
      <c r="CX51">
        <f>ROUND(Y51*Source!I42,9)</f>
        <v>0</v>
      </c>
      <c r="CY51">
        <f>AA51</f>
        <v>104.63</v>
      </c>
      <c r="CZ51">
        <f>AE51</f>
        <v>104.63</v>
      </c>
      <c r="DA51">
        <f>AI51</f>
        <v>1</v>
      </c>
      <c r="DB51">
        <f>ROUND(((ROUND(AT51*CZ51,2)*1)*0),6)</f>
        <v>0</v>
      </c>
      <c r="DC51">
        <f>ROUND(((ROUND(AT51*AG51,2)*1)*0),6)</f>
        <v>0</v>
      </c>
      <c r="DD51" t="s">
        <v>3</v>
      </c>
      <c r="DE51" t="s">
        <v>3</v>
      </c>
      <c r="DF51">
        <f t="shared" si="13"/>
        <v>0</v>
      </c>
      <c r="DG51">
        <f t="shared" si="11"/>
        <v>0</v>
      </c>
      <c r="DH51">
        <f t="shared" si="9"/>
        <v>0</v>
      </c>
      <c r="DI51">
        <f t="shared" si="3"/>
        <v>0</v>
      </c>
      <c r="DJ51">
        <f>DF51</f>
        <v>0</v>
      </c>
      <c r="DK51">
        <v>0</v>
      </c>
      <c r="DL51" t="s">
        <v>3</v>
      </c>
      <c r="DM51">
        <v>0</v>
      </c>
      <c r="DN51" t="s">
        <v>3</v>
      </c>
      <c r="DO51">
        <v>0</v>
      </c>
    </row>
    <row r="52" spans="1:119" x14ac:dyDescent="0.25">
      <c r="A52">
        <f>ROW(Source!A42)</f>
        <v>42</v>
      </c>
      <c r="B52">
        <v>57014138</v>
      </c>
      <c r="C52">
        <v>57014876</v>
      </c>
      <c r="D52">
        <v>55461791</v>
      </c>
      <c r="E52">
        <v>1</v>
      </c>
      <c r="F52">
        <v>1</v>
      </c>
      <c r="G52">
        <v>1081</v>
      </c>
      <c r="H52">
        <v>3</v>
      </c>
      <c r="I52" t="s">
        <v>440</v>
      </c>
      <c r="J52" t="s">
        <v>441</v>
      </c>
      <c r="K52" t="s">
        <v>442</v>
      </c>
      <c r="L52">
        <v>1355</v>
      </c>
      <c r="N52">
        <v>1010</v>
      </c>
      <c r="O52" t="s">
        <v>64</v>
      </c>
      <c r="P52" t="s">
        <v>64</v>
      </c>
      <c r="Q52">
        <v>100</v>
      </c>
      <c r="W52">
        <v>0</v>
      </c>
      <c r="X52">
        <v>-429645653</v>
      </c>
      <c r="Y52">
        <f>((AT52*1)*0)</f>
        <v>0</v>
      </c>
      <c r="AA52">
        <v>10.6</v>
      </c>
      <c r="AB52">
        <v>0</v>
      </c>
      <c r="AC52">
        <v>0</v>
      </c>
      <c r="AD52">
        <v>0</v>
      </c>
      <c r="AE52">
        <v>10.6</v>
      </c>
      <c r="AF52">
        <v>0</v>
      </c>
      <c r="AG52">
        <v>0</v>
      </c>
      <c r="AH52">
        <v>0</v>
      </c>
      <c r="AI52">
        <v>1</v>
      </c>
      <c r="AJ52">
        <v>1</v>
      </c>
      <c r="AK52">
        <v>1</v>
      </c>
      <c r="AL52">
        <v>1</v>
      </c>
      <c r="AM52">
        <v>-2</v>
      </c>
      <c r="AN52">
        <v>0</v>
      </c>
      <c r="AO52">
        <v>1</v>
      </c>
      <c r="AP52">
        <v>1</v>
      </c>
      <c r="AQ52">
        <v>0</v>
      </c>
      <c r="AR52">
        <v>0</v>
      </c>
      <c r="AS52" t="s">
        <v>3</v>
      </c>
      <c r="AT52">
        <v>2</v>
      </c>
      <c r="AU52" t="s">
        <v>29</v>
      </c>
      <c r="AV52">
        <v>0</v>
      </c>
      <c r="AW52">
        <v>2</v>
      </c>
      <c r="AX52">
        <v>57014885</v>
      </c>
      <c r="AY52">
        <v>1</v>
      </c>
      <c r="AZ52">
        <v>0</v>
      </c>
      <c r="BA52">
        <v>62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CV52">
        <v>0</v>
      </c>
      <c r="CW52">
        <v>0</v>
      </c>
      <c r="CX52">
        <f>ROUND(Y52*Source!I42,9)</f>
        <v>0</v>
      </c>
      <c r="CY52">
        <f>AA52</f>
        <v>10.6</v>
      </c>
      <c r="CZ52">
        <f>AE52</f>
        <v>10.6</v>
      </c>
      <c r="DA52">
        <f>AI52</f>
        <v>1</v>
      </c>
      <c r="DB52">
        <f>ROUND(((ROUND(AT52*CZ52,2)*1)*0),6)</f>
        <v>0</v>
      </c>
      <c r="DC52">
        <f>ROUND(((ROUND(AT52*AG52,2)*1)*0),6)</f>
        <v>0</v>
      </c>
      <c r="DD52" t="s">
        <v>3</v>
      </c>
      <c r="DE52" t="s">
        <v>3</v>
      </c>
      <c r="DF52">
        <f t="shared" si="13"/>
        <v>0</v>
      </c>
      <c r="DG52">
        <f t="shared" si="11"/>
        <v>0</v>
      </c>
      <c r="DH52">
        <f t="shared" si="9"/>
        <v>0</v>
      </c>
      <c r="DI52">
        <f t="shared" si="3"/>
        <v>0</v>
      </c>
      <c r="DJ52">
        <f>DF52</f>
        <v>0</v>
      </c>
      <c r="DK52">
        <v>0</v>
      </c>
      <c r="DL52" t="s">
        <v>3</v>
      </c>
      <c r="DM52">
        <v>0</v>
      </c>
      <c r="DN52" t="s">
        <v>3</v>
      </c>
      <c r="DO52">
        <v>0</v>
      </c>
    </row>
    <row r="53" spans="1:119" x14ac:dyDescent="0.25">
      <c r="A53">
        <f>ROW(Source!A42)</f>
        <v>42</v>
      </c>
      <c r="B53">
        <v>57014138</v>
      </c>
      <c r="C53">
        <v>57014876</v>
      </c>
      <c r="D53">
        <v>55424290</v>
      </c>
      <c r="E53">
        <v>1081</v>
      </c>
      <c r="F53">
        <v>1</v>
      </c>
      <c r="G53">
        <v>1081</v>
      </c>
      <c r="H53">
        <v>3</v>
      </c>
      <c r="I53" t="s">
        <v>443</v>
      </c>
      <c r="J53" t="s">
        <v>3</v>
      </c>
      <c r="K53" t="s">
        <v>444</v>
      </c>
      <c r="L53">
        <v>1348</v>
      </c>
      <c r="N53">
        <v>1009</v>
      </c>
      <c r="O53" t="s">
        <v>361</v>
      </c>
      <c r="P53" t="s">
        <v>361</v>
      </c>
      <c r="Q53">
        <v>1000</v>
      </c>
      <c r="W53">
        <v>0</v>
      </c>
      <c r="X53">
        <v>-783086922</v>
      </c>
      <c r="Y53">
        <f>((AT53*1)*0)</f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1</v>
      </c>
      <c r="AJ53">
        <v>1</v>
      </c>
      <c r="AK53">
        <v>1</v>
      </c>
      <c r="AL53">
        <v>1</v>
      </c>
      <c r="AM53">
        <v>-2</v>
      </c>
      <c r="AN53">
        <v>0</v>
      </c>
      <c r="AO53">
        <v>1</v>
      </c>
      <c r="AP53">
        <v>1</v>
      </c>
      <c r="AQ53">
        <v>0</v>
      </c>
      <c r="AR53">
        <v>0</v>
      </c>
      <c r="AS53" t="s">
        <v>3</v>
      </c>
      <c r="AT53">
        <v>0.03</v>
      </c>
      <c r="AU53" t="s">
        <v>29</v>
      </c>
      <c r="AV53">
        <v>0</v>
      </c>
      <c r="AW53">
        <v>2</v>
      </c>
      <c r="AX53">
        <v>57014887</v>
      </c>
      <c r="AY53">
        <v>1</v>
      </c>
      <c r="AZ53">
        <v>0</v>
      </c>
      <c r="BA53">
        <v>64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CV53">
        <v>0</v>
      </c>
      <c r="CW53">
        <v>0</v>
      </c>
      <c r="CX53">
        <f>ROUND(Y53*Source!I42,9)</f>
        <v>0</v>
      </c>
      <c r="CY53">
        <f>AA53</f>
        <v>0</v>
      </c>
      <c r="CZ53">
        <f>AE53</f>
        <v>0</v>
      </c>
      <c r="DA53">
        <f>AI53</f>
        <v>1</v>
      </c>
      <c r="DB53">
        <f>ROUND(((ROUND(AT53*CZ53,2)*1)*0),6)</f>
        <v>0</v>
      </c>
      <c r="DC53">
        <f>ROUND(((ROUND(AT53*AG53,2)*1)*0),6)</f>
        <v>0</v>
      </c>
      <c r="DD53" t="s">
        <v>3</v>
      </c>
      <c r="DE53" t="s">
        <v>3</v>
      </c>
      <c r="DF53">
        <f t="shared" si="13"/>
        <v>0</v>
      </c>
      <c r="DG53">
        <f t="shared" si="11"/>
        <v>0</v>
      </c>
      <c r="DH53">
        <f t="shared" si="9"/>
        <v>0</v>
      </c>
      <c r="DI53">
        <f t="shared" si="3"/>
        <v>0</v>
      </c>
      <c r="DJ53">
        <f>DF53</f>
        <v>0</v>
      </c>
      <c r="DK53">
        <v>0</v>
      </c>
      <c r="DL53" t="s">
        <v>3</v>
      </c>
      <c r="DM53">
        <v>0</v>
      </c>
      <c r="DN53" t="s">
        <v>3</v>
      </c>
      <c r="DO53">
        <v>0</v>
      </c>
    </row>
    <row r="54" spans="1:119" x14ac:dyDescent="0.25">
      <c r="A54">
        <f>ROW(Source!A43)</f>
        <v>43</v>
      </c>
      <c r="B54">
        <v>57014140</v>
      </c>
      <c r="C54">
        <v>57014876</v>
      </c>
      <c r="D54">
        <v>55424304</v>
      </c>
      <c r="E54">
        <v>1081</v>
      </c>
      <c r="F54">
        <v>1</v>
      </c>
      <c r="G54">
        <v>1081</v>
      </c>
      <c r="H54">
        <v>1</v>
      </c>
      <c r="I54" t="s">
        <v>385</v>
      </c>
      <c r="J54" t="s">
        <v>3</v>
      </c>
      <c r="K54" t="s">
        <v>386</v>
      </c>
      <c r="L54">
        <v>1191</v>
      </c>
      <c r="N54">
        <v>1013</v>
      </c>
      <c r="O54" t="s">
        <v>387</v>
      </c>
      <c r="P54" t="s">
        <v>387</v>
      </c>
      <c r="Q54">
        <v>1</v>
      </c>
      <c r="W54">
        <v>0</v>
      </c>
      <c r="X54">
        <v>476480486</v>
      </c>
      <c r="Y54">
        <f>((AT54*1.2)*0.3)</f>
        <v>8.6399999999999988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1</v>
      </c>
      <c r="AJ54">
        <v>1</v>
      </c>
      <c r="AK54">
        <v>1</v>
      </c>
      <c r="AL54">
        <v>1</v>
      </c>
      <c r="AM54">
        <v>5</v>
      </c>
      <c r="AN54">
        <v>0</v>
      </c>
      <c r="AO54">
        <v>1</v>
      </c>
      <c r="AP54">
        <v>1</v>
      </c>
      <c r="AQ54">
        <v>0</v>
      </c>
      <c r="AR54">
        <v>0</v>
      </c>
      <c r="AS54" t="s">
        <v>3</v>
      </c>
      <c r="AT54">
        <v>24</v>
      </c>
      <c r="AU54" t="s">
        <v>30</v>
      </c>
      <c r="AV54">
        <v>1</v>
      </c>
      <c r="AW54">
        <v>2</v>
      </c>
      <c r="AX54">
        <v>57014882</v>
      </c>
      <c r="AY54">
        <v>1</v>
      </c>
      <c r="AZ54">
        <v>0</v>
      </c>
      <c r="BA54">
        <v>65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CU54">
        <f>ROUND(AT54*Source!I43*AH54*AL54,2)</f>
        <v>0</v>
      </c>
      <c r="CV54">
        <f>ROUND(Y54*Source!I43,9)</f>
        <v>0.6048</v>
      </c>
      <c r="CW54">
        <v>0</v>
      </c>
      <c r="CX54">
        <f>ROUND(Y54*Source!I43,9)</f>
        <v>0.6048</v>
      </c>
      <c r="CY54">
        <f>AD54</f>
        <v>0</v>
      </c>
      <c r="CZ54">
        <f>AH54</f>
        <v>0</v>
      </c>
      <c r="DA54">
        <f>AL54</f>
        <v>1</v>
      </c>
      <c r="DB54">
        <f>ROUND(((ROUND(AT54*CZ54,2)*1.2)*0.3),6)</f>
        <v>0</v>
      </c>
      <c r="DC54">
        <f>ROUND(((ROUND(AT54*AG54,2)*1.2)*0.3),6)</f>
        <v>0</v>
      </c>
      <c r="DD54" t="s">
        <v>3</v>
      </c>
      <c r="DE54" t="s">
        <v>3</v>
      </c>
      <c r="DF54">
        <f t="shared" si="13"/>
        <v>0</v>
      </c>
      <c r="DG54">
        <f t="shared" si="11"/>
        <v>0</v>
      </c>
      <c r="DH54">
        <f t="shared" si="9"/>
        <v>0</v>
      </c>
      <c r="DI54">
        <f t="shared" si="3"/>
        <v>0</v>
      </c>
      <c r="DJ54">
        <f>DI54</f>
        <v>0</v>
      </c>
      <c r="DK54">
        <v>0</v>
      </c>
      <c r="DL54" t="s">
        <v>3</v>
      </c>
      <c r="DM54">
        <v>0</v>
      </c>
      <c r="DN54" t="s">
        <v>3</v>
      </c>
      <c r="DO54">
        <v>0</v>
      </c>
    </row>
    <row r="55" spans="1:119" x14ac:dyDescent="0.25">
      <c r="A55">
        <f>ROW(Source!A43)</f>
        <v>43</v>
      </c>
      <c r="B55">
        <v>57014140</v>
      </c>
      <c r="C55">
        <v>57014876</v>
      </c>
      <c r="D55">
        <v>55459907</v>
      </c>
      <c r="E55">
        <v>1</v>
      </c>
      <c r="F55">
        <v>1</v>
      </c>
      <c r="G55">
        <v>1081</v>
      </c>
      <c r="H55">
        <v>3</v>
      </c>
      <c r="I55" t="s">
        <v>434</v>
      </c>
      <c r="J55" t="s">
        <v>435</v>
      </c>
      <c r="K55" t="s">
        <v>436</v>
      </c>
      <c r="L55">
        <v>1348</v>
      </c>
      <c r="N55">
        <v>1009</v>
      </c>
      <c r="O55" t="s">
        <v>361</v>
      </c>
      <c r="P55" t="s">
        <v>361</v>
      </c>
      <c r="Q55">
        <v>1000</v>
      </c>
      <c r="W55">
        <v>0</v>
      </c>
      <c r="X55">
        <v>-921548447</v>
      </c>
      <c r="Y55">
        <f>((AT55*1)*0)</f>
        <v>0</v>
      </c>
      <c r="AA55">
        <v>60649.440000000002</v>
      </c>
      <c r="AB55">
        <v>0</v>
      </c>
      <c r="AC55">
        <v>0</v>
      </c>
      <c r="AD55">
        <v>0</v>
      </c>
      <c r="AE55">
        <v>7246.05</v>
      </c>
      <c r="AF55">
        <v>0</v>
      </c>
      <c r="AG55">
        <v>0</v>
      </c>
      <c r="AH55">
        <v>0</v>
      </c>
      <c r="AI55">
        <v>8.3699999999999992</v>
      </c>
      <c r="AJ55">
        <v>1</v>
      </c>
      <c r="AK55">
        <v>1</v>
      </c>
      <c r="AL55">
        <v>1</v>
      </c>
      <c r="AM55">
        <v>2</v>
      </c>
      <c r="AN55">
        <v>0</v>
      </c>
      <c r="AO55">
        <v>1</v>
      </c>
      <c r="AP55">
        <v>1</v>
      </c>
      <c r="AQ55">
        <v>0</v>
      </c>
      <c r="AR55">
        <v>0</v>
      </c>
      <c r="AS55" t="s">
        <v>3</v>
      </c>
      <c r="AT55">
        <v>6.0000000000000001E-3</v>
      </c>
      <c r="AU55" t="s">
        <v>29</v>
      </c>
      <c r="AV55">
        <v>0</v>
      </c>
      <c r="AW55">
        <v>2</v>
      </c>
      <c r="AX55">
        <v>57014883</v>
      </c>
      <c r="AY55">
        <v>1</v>
      </c>
      <c r="AZ55">
        <v>0</v>
      </c>
      <c r="BA55">
        <v>66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CV55">
        <v>0</v>
      </c>
      <c r="CW55">
        <v>0</v>
      </c>
      <c r="CX55">
        <f>ROUND(Y55*Source!I43,9)</f>
        <v>0</v>
      </c>
      <c r="CY55">
        <f>AA55</f>
        <v>60649.440000000002</v>
      </c>
      <c r="CZ55">
        <f>AE55</f>
        <v>7246.05</v>
      </c>
      <c r="DA55">
        <f>AI55</f>
        <v>8.3699999999999992</v>
      </c>
      <c r="DB55">
        <f>ROUND(((ROUND(AT55*CZ55,2)*1)*0),6)</f>
        <v>0</v>
      </c>
      <c r="DC55">
        <f>ROUND(((ROUND(AT55*AG55,2)*1)*0),6)</f>
        <v>0</v>
      </c>
      <c r="DD55" t="s">
        <v>3</v>
      </c>
      <c r="DE55" t="s">
        <v>3</v>
      </c>
      <c r="DF55">
        <f>ROUND(ROUND(AE55*AI55,2)*CX55,2)</f>
        <v>0</v>
      </c>
      <c r="DG55">
        <f t="shared" si="11"/>
        <v>0</v>
      </c>
      <c r="DH55">
        <f t="shared" si="9"/>
        <v>0</v>
      </c>
      <c r="DI55">
        <f t="shared" si="3"/>
        <v>0</v>
      </c>
      <c r="DJ55">
        <f>DF55</f>
        <v>0</v>
      </c>
      <c r="DK55">
        <v>0</v>
      </c>
      <c r="DL55" t="s">
        <v>3</v>
      </c>
      <c r="DM55">
        <v>0</v>
      </c>
      <c r="DN55" t="s">
        <v>3</v>
      </c>
      <c r="DO55">
        <v>0</v>
      </c>
    </row>
    <row r="56" spans="1:119" x14ac:dyDescent="0.25">
      <c r="A56">
        <f>ROW(Source!A43)</f>
        <v>43</v>
      </c>
      <c r="B56">
        <v>57014140</v>
      </c>
      <c r="C56">
        <v>57014876</v>
      </c>
      <c r="D56">
        <v>55460316</v>
      </c>
      <c r="E56">
        <v>1</v>
      </c>
      <c r="F56">
        <v>1</v>
      </c>
      <c r="G56">
        <v>1081</v>
      </c>
      <c r="H56">
        <v>3</v>
      </c>
      <c r="I56" t="s">
        <v>437</v>
      </c>
      <c r="J56" t="s">
        <v>438</v>
      </c>
      <c r="K56" t="s">
        <v>439</v>
      </c>
      <c r="L56">
        <v>1346</v>
      </c>
      <c r="N56">
        <v>1009</v>
      </c>
      <c r="O56" t="s">
        <v>365</v>
      </c>
      <c r="P56" t="s">
        <v>365</v>
      </c>
      <c r="Q56">
        <v>1</v>
      </c>
      <c r="W56">
        <v>0</v>
      </c>
      <c r="X56">
        <v>-1613042688</v>
      </c>
      <c r="Y56">
        <f>((AT56*1)*0)</f>
        <v>0</v>
      </c>
      <c r="AA56">
        <v>183.1</v>
      </c>
      <c r="AB56">
        <v>0</v>
      </c>
      <c r="AC56">
        <v>0</v>
      </c>
      <c r="AD56">
        <v>0</v>
      </c>
      <c r="AE56">
        <v>104.63</v>
      </c>
      <c r="AF56">
        <v>0</v>
      </c>
      <c r="AG56">
        <v>0</v>
      </c>
      <c r="AH56">
        <v>0</v>
      </c>
      <c r="AI56">
        <v>1.75</v>
      </c>
      <c r="AJ56">
        <v>1</v>
      </c>
      <c r="AK56">
        <v>1</v>
      </c>
      <c r="AL56">
        <v>1</v>
      </c>
      <c r="AM56">
        <v>2</v>
      </c>
      <c r="AN56">
        <v>0</v>
      </c>
      <c r="AO56">
        <v>1</v>
      </c>
      <c r="AP56">
        <v>1</v>
      </c>
      <c r="AQ56">
        <v>0</v>
      </c>
      <c r="AR56">
        <v>0</v>
      </c>
      <c r="AS56" t="s">
        <v>3</v>
      </c>
      <c r="AT56">
        <v>0.2</v>
      </c>
      <c r="AU56" t="s">
        <v>29</v>
      </c>
      <c r="AV56">
        <v>0</v>
      </c>
      <c r="AW56">
        <v>2</v>
      </c>
      <c r="AX56">
        <v>57014884</v>
      </c>
      <c r="AY56">
        <v>1</v>
      </c>
      <c r="AZ56">
        <v>0</v>
      </c>
      <c r="BA56">
        <v>67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CV56">
        <v>0</v>
      </c>
      <c r="CW56">
        <v>0</v>
      </c>
      <c r="CX56">
        <f>ROUND(Y56*Source!I43,9)</f>
        <v>0</v>
      </c>
      <c r="CY56">
        <f>AA56</f>
        <v>183.1</v>
      </c>
      <c r="CZ56">
        <f>AE56</f>
        <v>104.63</v>
      </c>
      <c r="DA56">
        <f>AI56</f>
        <v>1.75</v>
      </c>
      <c r="DB56">
        <f>ROUND(((ROUND(AT56*CZ56,2)*1)*0),6)</f>
        <v>0</v>
      </c>
      <c r="DC56">
        <f>ROUND(((ROUND(AT56*AG56,2)*1)*0),6)</f>
        <v>0</v>
      </c>
      <c r="DD56" t="s">
        <v>3</v>
      </c>
      <c r="DE56" t="s">
        <v>3</v>
      </c>
      <c r="DF56">
        <f>ROUND(ROUND(AE56*AI56,2)*CX56,2)</f>
        <v>0</v>
      </c>
      <c r="DG56">
        <f t="shared" si="11"/>
        <v>0</v>
      </c>
      <c r="DH56">
        <f t="shared" si="9"/>
        <v>0</v>
      </c>
      <c r="DI56">
        <f t="shared" si="3"/>
        <v>0</v>
      </c>
      <c r="DJ56">
        <f>DF56</f>
        <v>0</v>
      </c>
      <c r="DK56">
        <v>0</v>
      </c>
      <c r="DL56" t="s">
        <v>3</v>
      </c>
      <c r="DM56">
        <v>0</v>
      </c>
      <c r="DN56" t="s">
        <v>3</v>
      </c>
      <c r="DO56">
        <v>0</v>
      </c>
    </row>
    <row r="57" spans="1:119" x14ac:dyDescent="0.25">
      <c r="A57">
        <f>ROW(Source!A43)</f>
        <v>43</v>
      </c>
      <c r="B57">
        <v>57014140</v>
      </c>
      <c r="C57">
        <v>57014876</v>
      </c>
      <c r="D57">
        <v>55461791</v>
      </c>
      <c r="E57">
        <v>1</v>
      </c>
      <c r="F57">
        <v>1</v>
      </c>
      <c r="G57">
        <v>1081</v>
      </c>
      <c r="H57">
        <v>3</v>
      </c>
      <c r="I57" t="s">
        <v>440</v>
      </c>
      <c r="J57" t="s">
        <v>441</v>
      </c>
      <c r="K57" t="s">
        <v>442</v>
      </c>
      <c r="L57">
        <v>1355</v>
      </c>
      <c r="N57">
        <v>1010</v>
      </c>
      <c r="O57" t="s">
        <v>64</v>
      </c>
      <c r="P57" t="s">
        <v>64</v>
      </c>
      <c r="Q57">
        <v>100</v>
      </c>
      <c r="W57">
        <v>0</v>
      </c>
      <c r="X57">
        <v>-429645653</v>
      </c>
      <c r="Y57">
        <f>((AT57*1)*0)</f>
        <v>0</v>
      </c>
      <c r="AA57">
        <v>16.43</v>
      </c>
      <c r="AB57">
        <v>0</v>
      </c>
      <c r="AC57">
        <v>0</v>
      </c>
      <c r="AD57">
        <v>0</v>
      </c>
      <c r="AE57">
        <v>10.6</v>
      </c>
      <c r="AF57">
        <v>0</v>
      </c>
      <c r="AG57">
        <v>0</v>
      </c>
      <c r="AH57">
        <v>0</v>
      </c>
      <c r="AI57">
        <v>1.55</v>
      </c>
      <c r="AJ57">
        <v>1</v>
      </c>
      <c r="AK57">
        <v>1</v>
      </c>
      <c r="AL57">
        <v>1</v>
      </c>
      <c r="AM57">
        <v>2</v>
      </c>
      <c r="AN57">
        <v>0</v>
      </c>
      <c r="AO57">
        <v>1</v>
      </c>
      <c r="AP57">
        <v>1</v>
      </c>
      <c r="AQ57">
        <v>0</v>
      </c>
      <c r="AR57">
        <v>0</v>
      </c>
      <c r="AS57" t="s">
        <v>3</v>
      </c>
      <c r="AT57">
        <v>2</v>
      </c>
      <c r="AU57" t="s">
        <v>29</v>
      </c>
      <c r="AV57">
        <v>0</v>
      </c>
      <c r="AW57">
        <v>2</v>
      </c>
      <c r="AX57">
        <v>57014885</v>
      </c>
      <c r="AY57">
        <v>1</v>
      </c>
      <c r="AZ57">
        <v>0</v>
      </c>
      <c r="BA57">
        <v>68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CV57">
        <v>0</v>
      </c>
      <c r="CW57">
        <v>0</v>
      </c>
      <c r="CX57">
        <f>ROUND(Y57*Source!I43,9)</f>
        <v>0</v>
      </c>
      <c r="CY57">
        <f>AA57</f>
        <v>16.43</v>
      </c>
      <c r="CZ57">
        <f>AE57</f>
        <v>10.6</v>
      </c>
      <c r="DA57">
        <f>AI57</f>
        <v>1.55</v>
      </c>
      <c r="DB57">
        <f>ROUND(((ROUND(AT57*CZ57,2)*1)*0),6)</f>
        <v>0</v>
      </c>
      <c r="DC57">
        <f>ROUND(((ROUND(AT57*AG57,2)*1)*0),6)</f>
        <v>0</v>
      </c>
      <c r="DD57" t="s">
        <v>3</v>
      </c>
      <c r="DE57" t="s">
        <v>3</v>
      </c>
      <c r="DF57">
        <f>ROUND(ROUND(AE57*AI57,2)*CX57,2)</f>
        <v>0</v>
      </c>
      <c r="DG57">
        <f t="shared" si="11"/>
        <v>0</v>
      </c>
      <c r="DH57">
        <f t="shared" ref="DH57:DH82" si="14">ROUND(ROUND(AG57,2)*CX57,2)</f>
        <v>0</v>
      </c>
      <c r="DI57">
        <f t="shared" si="3"/>
        <v>0</v>
      </c>
      <c r="DJ57">
        <f>DF57</f>
        <v>0</v>
      </c>
      <c r="DK57">
        <v>0</v>
      </c>
      <c r="DL57" t="s">
        <v>3</v>
      </c>
      <c r="DM57">
        <v>0</v>
      </c>
      <c r="DN57" t="s">
        <v>3</v>
      </c>
      <c r="DO57">
        <v>0</v>
      </c>
    </row>
    <row r="58" spans="1:119" x14ac:dyDescent="0.25">
      <c r="A58">
        <f>ROW(Source!A43)</f>
        <v>43</v>
      </c>
      <c r="B58">
        <v>57014140</v>
      </c>
      <c r="C58">
        <v>57014876</v>
      </c>
      <c r="D58">
        <v>55424290</v>
      </c>
      <c r="E58">
        <v>1081</v>
      </c>
      <c r="F58">
        <v>1</v>
      </c>
      <c r="G58">
        <v>1081</v>
      </c>
      <c r="H58">
        <v>3</v>
      </c>
      <c r="I58" t="s">
        <v>443</v>
      </c>
      <c r="J58" t="s">
        <v>3</v>
      </c>
      <c r="K58" t="s">
        <v>444</v>
      </c>
      <c r="L58">
        <v>1348</v>
      </c>
      <c r="N58">
        <v>1009</v>
      </c>
      <c r="O58" t="s">
        <v>361</v>
      </c>
      <c r="P58" t="s">
        <v>361</v>
      </c>
      <c r="Q58">
        <v>1000</v>
      </c>
      <c r="W58">
        <v>0</v>
      </c>
      <c r="X58">
        <v>-783086922</v>
      </c>
      <c r="Y58">
        <f>((AT58*1)*0)</f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9.84</v>
      </c>
      <c r="AJ58">
        <v>1</v>
      </c>
      <c r="AK58">
        <v>1</v>
      </c>
      <c r="AL58">
        <v>1</v>
      </c>
      <c r="AM58">
        <v>5</v>
      </c>
      <c r="AN58">
        <v>0</v>
      </c>
      <c r="AO58">
        <v>1</v>
      </c>
      <c r="AP58">
        <v>1</v>
      </c>
      <c r="AQ58">
        <v>0</v>
      </c>
      <c r="AR58">
        <v>0</v>
      </c>
      <c r="AS58" t="s">
        <v>3</v>
      </c>
      <c r="AT58">
        <v>0.03</v>
      </c>
      <c r="AU58" t="s">
        <v>29</v>
      </c>
      <c r="AV58">
        <v>0</v>
      </c>
      <c r="AW58">
        <v>2</v>
      </c>
      <c r="AX58">
        <v>57014887</v>
      </c>
      <c r="AY58">
        <v>1</v>
      </c>
      <c r="AZ58">
        <v>0</v>
      </c>
      <c r="BA58">
        <v>70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CV58">
        <v>0</v>
      </c>
      <c r="CW58">
        <v>0</v>
      </c>
      <c r="CX58">
        <f>ROUND(Y58*Source!I43,9)</f>
        <v>0</v>
      </c>
      <c r="CY58">
        <f>AA58</f>
        <v>0</v>
      </c>
      <c r="CZ58">
        <f>AE58</f>
        <v>0</v>
      </c>
      <c r="DA58">
        <f>AI58</f>
        <v>9.84</v>
      </c>
      <c r="DB58">
        <f>ROUND(((ROUND(AT58*CZ58,2)*1)*0),6)</f>
        <v>0</v>
      </c>
      <c r="DC58">
        <f>ROUND(((ROUND(AT58*AG58,2)*1)*0),6)</f>
        <v>0</v>
      </c>
      <c r="DD58" t="s">
        <v>3</v>
      </c>
      <c r="DE58" t="s">
        <v>3</v>
      </c>
      <c r="DF58">
        <f>ROUND(ROUND(AE58*AI58,2)*CX58,2)</f>
        <v>0</v>
      </c>
      <c r="DG58">
        <f t="shared" si="11"/>
        <v>0</v>
      </c>
      <c r="DH58">
        <f t="shared" si="14"/>
        <v>0</v>
      </c>
      <c r="DI58">
        <f t="shared" si="3"/>
        <v>0</v>
      </c>
      <c r="DJ58">
        <f>DF58</f>
        <v>0</v>
      </c>
      <c r="DK58">
        <v>0</v>
      </c>
      <c r="DL58" t="s">
        <v>3</v>
      </c>
      <c r="DM58">
        <v>0</v>
      </c>
      <c r="DN58" t="s">
        <v>3</v>
      </c>
      <c r="DO58">
        <v>0</v>
      </c>
    </row>
    <row r="59" spans="1:119" x14ac:dyDescent="0.25">
      <c r="A59">
        <f>ROW(Source!A44)</f>
        <v>44</v>
      </c>
      <c r="B59">
        <v>57014138</v>
      </c>
      <c r="C59">
        <v>57014888</v>
      </c>
      <c r="D59">
        <v>55424304</v>
      </c>
      <c r="E59">
        <v>1081</v>
      </c>
      <c r="F59">
        <v>1</v>
      </c>
      <c r="G59">
        <v>1081</v>
      </c>
      <c r="H59">
        <v>1</v>
      </c>
      <c r="I59" t="s">
        <v>385</v>
      </c>
      <c r="J59" t="s">
        <v>3</v>
      </c>
      <c r="K59" t="s">
        <v>386</v>
      </c>
      <c r="L59">
        <v>1191</v>
      </c>
      <c r="N59">
        <v>1013</v>
      </c>
      <c r="O59" t="s">
        <v>387</v>
      </c>
      <c r="P59" t="s">
        <v>387</v>
      </c>
      <c r="Q59">
        <v>1</v>
      </c>
      <c r="W59">
        <v>0</v>
      </c>
      <c r="X59">
        <v>476480486</v>
      </c>
      <c r="Y59">
        <f>(AT59*1.2)</f>
        <v>11.568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1</v>
      </c>
      <c r="AJ59">
        <v>1</v>
      </c>
      <c r="AK59">
        <v>1</v>
      </c>
      <c r="AL59">
        <v>1</v>
      </c>
      <c r="AM59">
        <v>-2</v>
      </c>
      <c r="AN59">
        <v>0</v>
      </c>
      <c r="AO59">
        <v>1</v>
      </c>
      <c r="AP59">
        <v>1</v>
      </c>
      <c r="AQ59">
        <v>0</v>
      </c>
      <c r="AR59">
        <v>0</v>
      </c>
      <c r="AS59" t="s">
        <v>3</v>
      </c>
      <c r="AT59">
        <v>9.64</v>
      </c>
      <c r="AU59" t="s">
        <v>71</v>
      </c>
      <c r="AV59">
        <v>1</v>
      </c>
      <c r="AW59">
        <v>2</v>
      </c>
      <c r="AX59">
        <v>57014890</v>
      </c>
      <c r="AY59">
        <v>1</v>
      </c>
      <c r="AZ59">
        <v>0</v>
      </c>
      <c r="BA59">
        <v>71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CU59">
        <f>ROUND(AT59*Source!I44*AH59*AL59,2)</f>
        <v>0</v>
      </c>
      <c r="CV59">
        <f>ROUND(Y59*Source!I44,9)</f>
        <v>526.34400000000005</v>
      </c>
      <c r="CW59">
        <v>0</v>
      </c>
      <c r="CX59">
        <f>ROUND(Y59*Source!I44,9)</f>
        <v>526.34400000000005</v>
      </c>
      <c r="CY59">
        <f>AD59</f>
        <v>0</v>
      </c>
      <c r="CZ59">
        <f>AH59</f>
        <v>0</v>
      </c>
      <c r="DA59">
        <f>AL59</f>
        <v>1</v>
      </c>
      <c r="DB59">
        <f>ROUND((ROUND(AT59*CZ59,2)*1.2),6)</f>
        <v>0</v>
      </c>
      <c r="DC59">
        <f>ROUND((ROUND(AT59*AG59,2)*1.2),6)</f>
        <v>0</v>
      </c>
      <c r="DD59" t="s">
        <v>3</v>
      </c>
      <c r="DE59" t="s">
        <v>3</v>
      </c>
      <c r="DF59">
        <f t="shared" ref="DF59:DF69" si="15">ROUND(ROUND(AE59,2)*CX59,2)</f>
        <v>0</v>
      </c>
      <c r="DG59">
        <f t="shared" si="11"/>
        <v>0</v>
      </c>
      <c r="DH59">
        <f t="shared" si="14"/>
        <v>0</v>
      </c>
      <c r="DI59">
        <f t="shared" si="3"/>
        <v>0</v>
      </c>
      <c r="DJ59">
        <f>DI59</f>
        <v>0</v>
      </c>
      <c r="DK59">
        <v>0</v>
      </c>
      <c r="DL59" t="s">
        <v>3</v>
      </c>
      <c r="DM59">
        <v>0</v>
      </c>
      <c r="DN59" t="s">
        <v>3</v>
      </c>
      <c r="DO59">
        <v>0</v>
      </c>
    </row>
    <row r="60" spans="1:119" x14ac:dyDescent="0.25">
      <c r="A60">
        <f>ROW(Source!A45)</f>
        <v>45</v>
      </c>
      <c r="B60">
        <v>57014140</v>
      </c>
      <c r="C60">
        <v>57014888</v>
      </c>
      <c r="D60">
        <v>55424304</v>
      </c>
      <c r="E60">
        <v>1081</v>
      </c>
      <c r="F60">
        <v>1</v>
      </c>
      <c r="G60">
        <v>1081</v>
      </c>
      <c r="H60">
        <v>1</v>
      </c>
      <c r="I60" t="s">
        <v>385</v>
      </c>
      <c r="J60" t="s">
        <v>3</v>
      </c>
      <c r="K60" t="s">
        <v>386</v>
      </c>
      <c r="L60">
        <v>1191</v>
      </c>
      <c r="N60">
        <v>1013</v>
      </c>
      <c r="O60" t="s">
        <v>387</v>
      </c>
      <c r="P60" t="s">
        <v>387</v>
      </c>
      <c r="Q60">
        <v>1</v>
      </c>
      <c r="W60">
        <v>0</v>
      </c>
      <c r="X60">
        <v>476480486</v>
      </c>
      <c r="Y60">
        <f>(AT60*1.2)</f>
        <v>11.568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1</v>
      </c>
      <c r="AJ60">
        <v>1</v>
      </c>
      <c r="AK60">
        <v>1</v>
      </c>
      <c r="AL60">
        <v>1</v>
      </c>
      <c r="AM60">
        <v>5</v>
      </c>
      <c r="AN60">
        <v>0</v>
      </c>
      <c r="AO60">
        <v>1</v>
      </c>
      <c r="AP60">
        <v>1</v>
      </c>
      <c r="AQ60">
        <v>0</v>
      </c>
      <c r="AR60">
        <v>0</v>
      </c>
      <c r="AS60" t="s">
        <v>3</v>
      </c>
      <c r="AT60">
        <v>9.64</v>
      </c>
      <c r="AU60" t="s">
        <v>71</v>
      </c>
      <c r="AV60">
        <v>1</v>
      </c>
      <c r="AW60">
        <v>2</v>
      </c>
      <c r="AX60">
        <v>57014890</v>
      </c>
      <c r="AY60">
        <v>1</v>
      </c>
      <c r="AZ60">
        <v>0</v>
      </c>
      <c r="BA60">
        <v>72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CU60">
        <f>ROUND(AT60*Source!I45*AH60*AL60,2)</f>
        <v>0</v>
      </c>
      <c r="CV60">
        <f>ROUND(Y60*Source!I45,9)</f>
        <v>526.34400000000005</v>
      </c>
      <c r="CW60">
        <v>0</v>
      </c>
      <c r="CX60">
        <f>ROUND(Y60*Source!I45,9)</f>
        <v>526.34400000000005</v>
      </c>
      <c r="CY60">
        <f>AD60</f>
        <v>0</v>
      </c>
      <c r="CZ60">
        <f>AH60</f>
        <v>0</v>
      </c>
      <c r="DA60">
        <f>AL60</f>
        <v>1</v>
      </c>
      <c r="DB60">
        <f>ROUND((ROUND(AT60*CZ60,2)*1.2),6)</f>
        <v>0</v>
      </c>
      <c r="DC60">
        <f>ROUND((ROUND(AT60*AG60,2)*1.2),6)</f>
        <v>0</v>
      </c>
      <c r="DD60" t="s">
        <v>3</v>
      </c>
      <c r="DE60" t="s">
        <v>3</v>
      </c>
      <c r="DF60">
        <f t="shared" si="15"/>
        <v>0</v>
      </c>
      <c r="DG60">
        <f t="shared" si="11"/>
        <v>0</v>
      </c>
      <c r="DH60">
        <f t="shared" si="14"/>
        <v>0</v>
      </c>
      <c r="DI60">
        <f t="shared" si="3"/>
        <v>0</v>
      </c>
      <c r="DJ60">
        <f>DI60</f>
        <v>0</v>
      </c>
      <c r="DK60">
        <v>0</v>
      </c>
      <c r="DL60" t="s">
        <v>3</v>
      </c>
      <c r="DM60">
        <v>0</v>
      </c>
      <c r="DN60" t="s">
        <v>3</v>
      </c>
      <c r="DO60">
        <v>0</v>
      </c>
    </row>
    <row r="61" spans="1:119" x14ac:dyDescent="0.25">
      <c r="A61">
        <f>ROW(Source!A46)</f>
        <v>46</v>
      </c>
      <c r="B61">
        <v>57014138</v>
      </c>
      <c r="C61">
        <v>57037705</v>
      </c>
      <c r="D61">
        <v>55424304</v>
      </c>
      <c r="E61">
        <v>1081</v>
      </c>
      <c r="F61">
        <v>1</v>
      </c>
      <c r="G61">
        <v>1081</v>
      </c>
      <c r="H61">
        <v>1</v>
      </c>
      <c r="I61" t="s">
        <v>385</v>
      </c>
      <c r="J61" t="s">
        <v>3</v>
      </c>
      <c r="K61" t="s">
        <v>386</v>
      </c>
      <c r="L61">
        <v>1191</v>
      </c>
      <c r="N61">
        <v>1013</v>
      </c>
      <c r="O61" t="s">
        <v>387</v>
      </c>
      <c r="P61" t="s">
        <v>387</v>
      </c>
      <c r="Q61">
        <v>1</v>
      </c>
      <c r="W61">
        <v>0</v>
      </c>
      <c r="X61">
        <v>476480486</v>
      </c>
      <c r="Y61">
        <f>((AT61*1.2)*0.3)</f>
        <v>12.459599999999998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1</v>
      </c>
      <c r="AJ61">
        <v>1</v>
      </c>
      <c r="AK61">
        <v>1</v>
      </c>
      <c r="AL61">
        <v>1</v>
      </c>
      <c r="AM61">
        <v>-2</v>
      </c>
      <c r="AN61">
        <v>0</v>
      </c>
      <c r="AO61">
        <v>1</v>
      </c>
      <c r="AP61">
        <v>1</v>
      </c>
      <c r="AQ61">
        <v>0</v>
      </c>
      <c r="AR61">
        <v>0</v>
      </c>
      <c r="AS61" t="s">
        <v>3</v>
      </c>
      <c r="AT61">
        <v>34.61</v>
      </c>
      <c r="AU61" t="s">
        <v>30</v>
      </c>
      <c r="AV61">
        <v>1</v>
      </c>
      <c r="AW61">
        <v>2</v>
      </c>
      <c r="AX61">
        <v>57037706</v>
      </c>
      <c r="AY61">
        <v>1</v>
      </c>
      <c r="AZ61">
        <v>0</v>
      </c>
      <c r="BA61">
        <v>73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CU61">
        <f>ROUND(AT61*Source!I46*AH61*AL61,2)</f>
        <v>0</v>
      </c>
      <c r="CV61">
        <f>ROUND(Y61*Source!I46,9)</f>
        <v>566.91179999999997</v>
      </c>
      <c r="CW61">
        <v>0</v>
      </c>
      <c r="CX61">
        <f>ROUND(Y61*Source!I46,9)</f>
        <v>566.91179999999997</v>
      </c>
      <c r="CY61">
        <f>AD61</f>
        <v>0</v>
      </c>
      <c r="CZ61">
        <f>AH61</f>
        <v>0</v>
      </c>
      <c r="DA61">
        <f>AL61</f>
        <v>1</v>
      </c>
      <c r="DB61">
        <f>ROUND(((ROUND(AT61*CZ61,2)*1.2)*0.3),6)</f>
        <v>0</v>
      </c>
      <c r="DC61">
        <f>ROUND(((ROUND(AT61*AG61,2)*1.2)*0.3),6)</f>
        <v>0</v>
      </c>
      <c r="DD61" t="s">
        <v>3</v>
      </c>
      <c r="DE61" t="s">
        <v>3</v>
      </c>
      <c r="DF61">
        <f t="shared" si="15"/>
        <v>0</v>
      </c>
      <c r="DG61">
        <f t="shared" si="11"/>
        <v>0</v>
      </c>
      <c r="DH61">
        <f t="shared" si="14"/>
        <v>0</v>
      </c>
      <c r="DI61">
        <f t="shared" si="3"/>
        <v>0</v>
      </c>
      <c r="DJ61">
        <f>DI61</f>
        <v>0</v>
      </c>
      <c r="DK61">
        <v>0</v>
      </c>
      <c r="DL61" t="s">
        <v>3</v>
      </c>
      <c r="DM61">
        <v>0</v>
      </c>
      <c r="DN61" t="s">
        <v>3</v>
      </c>
      <c r="DO61">
        <v>0</v>
      </c>
    </row>
    <row r="62" spans="1:119" x14ac:dyDescent="0.25">
      <c r="A62">
        <f>ROW(Source!A46)</f>
        <v>46</v>
      </c>
      <c r="B62">
        <v>57014138</v>
      </c>
      <c r="C62">
        <v>57037705</v>
      </c>
      <c r="D62">
        <v>55490263</v>
      </c>
      <c r="E62">
        <v>1</v>
      </c>
      <c r="F62">
        <v>1</v>
      </c>
      <c r="G62">
        <v>1081</v>
      </c>
      <c r="H62">
        <v>2</v>
      </c>
      <c r="I62" t="s">
        <v>445</v>
      </c>
      <c r="J62" t="s">
        <v>446</v>
      </c>
      <c r="K62" t="s">
        <v>447</v>
      </c>
      <c r="L62">
        <v>1368</v>
      </c>
      <c r="N62">
        <v>1011</v>
      </c>
      <c r="O62" t="s">
        <v>391</v>
      </c>
      <c r="P62" t="s">
        <v>391</v>
      </c>
      <c r="Q62">
        <v>1</v>
      </c>
      <c r="W62">
        <v>0</v>
      </c>
      <c r="X62">
        <v>-1895752648</v>
      </c>
      <c r="Y62">
        <f>((AT62*1.2)*0.3)</f>
        <v>1.7532000000000001</v>
      </c>
      <c r="AA62">
        <v>0</v>
      </c>
      <c r="AB62">
        <v>0.81</v>
      </c>
      <c r="AC62">
        <v>0</v>
      </c>
      <c r="AD62">
        <v>0</v>
      </c>
      <c r="AE62">
        <v>0</v>
      </c>
      <c r="AF62">
        <v>0.77</v>
      </c>
      <c r="AG62">
        <v>0</v>
      </c>
      <c r="AH62">
        <v>0</v>
      </c>
      <c r="AI62">
        <v>1</v>
      </c>
      <c r="AJ62">
        <v>1</v>
      </c>
      <c r="AK62">
        <v>1</v>
      </c>
      <c r="AL62">
        <v>1</v>
      </c>
      <c r="AM62">
        <v>-2</v>
      </c>
      <c r="AN62">
        <v>0</v>
      </c>
      <c r="AO62">
        <v>1</v>
      </c>
      <c r="AP62">
        <v>1</v>
      </c>
      <c r="AQ62">
        <v>0</v>
      </c>
      <c r="AR62">
        <v>0</v>
      </c>
      <c r="AS62" t="s">
        <v>3</v>
      </c>
      <c r="AT62">
        <v>4.87</v>
      </c>
      <c r="AU62" t="s">
        <v>30</v>
      </c>
      <c r="AV62">
        <v>0</v>
      </c>
      <c r="AW62">
        <v>2</v>
      </c>
      <c r="AX62">
        <v>57037707</v>
      </c>
      <c r="AY62">
        <v>1</v>
      </c>
      <c r="AZ62">
        <v>0</v>
      </c>
      <c r="BA62">
        <v>74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CV62">
        <v>0</v>
      </c>
      <c r="CW62">
        <f>ROUND(Y62*Source!I46*DO62,9)</f>
        <v>0</v>
      </c>
      <c r="CX62">
        <f>ROUND(Y62*Source!I46,9)</f>
        <v>79.770600000000002</v>
      </c>
      <c r="CY62">
        <f>AB62</f>
        <v>0.81</v>
      </c>
      <c r="CZ62">
        <f>AF62</f>
        <v>0.77</v>
      </c>
      <c r="DA62">
        <f>AJ62</f>
        <v>1</v>
      </c>
      <c r="DB62">
        <f>ROUND(((ROUND(AT62*CZ62,2)*1.2)*0.3),6)</f>
        <v>1.35</v>
      </c>
      <c r="DC62">
        <f>ROUND(((ROUND(AT62*AG62,2)*1.2)*0.3),6)</f>
        <v>0</v>
      </c>
      <c r="DD62" t="s">
        <v>3</v>
      </c>
      <c r="DE62" t="s">
        <v>3</v>
      </c>
      <c r="DF62">
        <f t="shared" si="15"/>
        <v>0</v>
      </c>
      <c r="DG62">
        <f t="shared" si="11"/>
        <v>61.42</v>
      </c>
      <c r="DH62">
        <f t="shared" si="14"/>
        <v>0</v>
      </c>
      <c r="DI62">
        <f t="shared" si="3"/>
        <v>0</v>
      </c>
      <c r="DJ62">
        <f>DG62</f>
        <v>61.42</v>
      </c>
      <c r="DK62">
        <v>0</v>
      </c>
      <c r="DL62" t="s">
        <v>3</v>
      </c>
      <c r="DM62">
        <v>0</v>
      </c>
      <c r="DN62" t="s">
        <v>3</v>
      </c>
      <c r="DO62">
        <v>0</v>
      </c>
    </row>
    <row r="63" spans="1:119" x14ac:dyDescent="0.25">
      <c r="A63">
        <f>ROW(Source!A46)</f>
        <v>46</v>
      </c>
      <c r="B63">
        <v>57014138</v>
      </c>
      <c r="C63">
        <v>57037705</v>
      </c>
      <c r="D63">
        <v>55490296</v>
      </c>
      <c r="E63">
        <v>1</v>
      </c>
      <c r="F63">
        <v>1</v>
      </c>
      <c r="G63">
        <v>1081</v>
      </c>
      <c r="H63">
        <v>2</v>
      </c>
      <c r="I63" t="s">
        <v>415</v>
      </c>
      <c r="J63" t="s">
        <v>416</v>
      </c>
      <c r="K63" t="s">
        <v>417</v>
      </c>
      <c r="L63">
        <v>1368</v>
      </c>
      <c r="N63">
        <v>1011</v>
      </c>
      <c r="O63" t="s">
        <v>391</v>
      </c>
      <c r="P63" t="s">
        <v>391</v>
      </c>
      <c r="Q63">
        <v>1</v>
      </c>
      <c r="W63">
        <v>0</v>
      </c>
      <c r="X63">
        <v>-643591644</v>
      </c>
      <c r="Y63">
        <f>((AT63*1.2)*0.3)</f>
        <v>2.4803999999999995</v>
      </c>
      <c r="AA63">
        <v>0</v>
      </c>
      <c r="AB63">
        <v>0.49</v>
      </c>
      <c r="AC63">
        <v>0</v>
      </c>
      <c r="AD63">
        <v>0</v>
      </c>
      <c r="AE63">
        <v>0</v>
      </c>
      <c r="AF63">
        <v>0.47</v>
      </c>
      <c r="AG63">
        <v>0</v>
      </c>
      <c r="AH63">
        <v>0</v>
      </c>
      <c r="AI63">
        <v>1</v>
      </c>
      <c r="AJ63">
        <v>1</v>
      </c>
      <c r="AK63">
        <v>1</v>
      </c>
      <c r="AL63">
        <v>1</v>
      </c>
      <c r="AM63">
        <v>-2</v>
      </c>
      <c r="AN63">
        <v>0</v>
      </c>
      <c r="AO63">
        <v>1</v>
      </c>
      <c r="AP63">
        <v>1</v>
      </c>
      <c r="AQ63">
        <v>0</v>
      </c>
      <c r="AR63">
        <v>0</v>
      </c>
      <c r="AS63" t="s">
        <v>3</v>
      </c>
      <c r="AT63">
        <v>6.89</v>
      </c>
      <c r="AU63" t="s">
        <v>30</v>
      </c>
      <c r="AV63">
        <v>0</v>
      </c>
      <c r="AW63">
        <v>2</v>
      </c>
      <c r="AX63">
        <v>57037708</v>
      </c>
      <c r="AY63">
        <v>1</v>
      </c>
      <c r="AZ63">
        <v>0</v>
      </c>
      <c r="BA63">
        <v>75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CV63">
        <v>0</v>
      </c>
      <c r="CW63">
        <f>ROUND(Y63*Source!I46*DO63,9)</f>
        <v>0</v>
      </c>
      <c r="CX63">
        <f>ROUND(Y63*Source!I46,9)</f>
        <v>112.8582</v>
      </c>
      <c r="CY63">
        <f>AB63</f>
        <v>0.49</v>
      </c>
      <c r="CZ63">
        <f>AF63</f>
        <v>0.47</v>
      </c>
      <c r="DA63">
        <f>AJ63</f>
        <v>1</v>
      </c>
      <c r="DB63">
        <f>ROUND(((ROUND(AT63*CZ63,2)*1.2)*0.3),6)</f>
        <v>1.1664000000000001</v>
      </c>
      <c r="DC63">
        <f>ROUND(((ROUND(AT63*AG63,2)*1.2)*0.3),6)</f>
        <v>0</v>
      </c>
      <c r="DD63" t="s">
        <v>3</v>
      </c>
      <c r="DE63" t="s">
        <v>3</v>
      </c>
      <c r="DF63">
        <f t="shared" si="15"/>
        <v>0</v>
      </c>
      <c r="DG63">
        <f t="shared" si="11"/>
        <v>53.04</v>
      </c>
      <c r="DH63">
        <f t="shared" si="14"/>
        <v>0</v>
      </c>
      <c r="DI63">
        <f t="shared" si="3"/>
        <v>0</v>
      </c>
      <c r="DJ63">
        <f>DG63</f>
        <v>53.04</v>
      </c>
      <c r="DK63">
        <v>0</v>
      </c>
      <c r="DL63" t="s">
        <v>3</v>
      </c>
      <c r="DM63">
        <v>0</v>
      </c>
      <c r="DN63" t="s">
        <v>3</v>
      </c>
      <c r="DO63">
        <v>0</v>
      </c>
    </row>
    <row r="64" spans="1:119" x14ac:dyDescent="0.25">
      <c r="A64">
        <f>ROW(Source!A46)</f>
        <v>46</v>
      </c>
      <c r="B64">
        <v>57014138</v>
      </c>
      <c r="C64">
        <v>57037705</v>
      </c>
      <c r="D64">
        <v>55482203</v>
      </c>
      <c r="E64">
        <v>1</v>
      </c>
      <c r="F64">
        <v>1</v>
      </c>
      <c r="G64">
        <v>1081</v>
      </c>
      <c r="H64">
        <v>3</v>
      </c>
      <c r="I64" t="s">
        <v>448</v>
      </c>
      <c r="J64" t="s">
        <v>449</v>
      </c>
      <c r="K64" t="s">
        <v>450</v>
      </c>
      <c r="L64">
        <v>1356</v>
      </c>
      <c r="N64">
        <v>1010</v>
      </c>
      <c r="O64" t="s">
        <v>451</v>
      </c>
      <c r="P64" t="s">
        <v>451</v>
      </c>
      <c r="Q64">
        <v>1000</v>
      </c>
      <c r="W64">
        <v>0</v>
      </c>
      <c r="X64">
        <v>474149623</v>
      </c>
      <c r="Y64">
        <f>((AT64*1)*0)</f>
        <v>0</v>
      </c>
      <c r="AA64">
        <v>226.66</v>
      </c>
      <c r="AB64">
        <v>0</v>
      </c>
      <c r="AC64">
        <v>0</v>
      </c>
      <c r="AD64">
        <v>0</v>
      </c>
      <c r="AE64">
        <v>226.66</v>
      </c>
      <c r="AF64">
        <v>0</v>
      </c>
      <c r="AG64">
        <v>0</v>
      </c>
      <c r="AH64">
        <v>0</v>
      </c>
      <c r="AI64">
        <v>1</v>
      </c>
      <c r="AJ64">
        <v>1</v>
      </c>
      <c r="AK64">
        <v>1</v>
      </c>
      <c r="AL64">
        <v>1</v>
      </c>
      <c r="AM64">
        <v>-2</v>
      </c>
      <c r="AN64">
        <v>0</v>
      </c>
      <c r="AO64">
        <v>1</v>
      </c>
      <c r="AP64">
        <v>1</v>
      </c>
      <c r="AQ64">
        <v>0</v>
      </c>
      <c r="AR64">
        <v>0</v>
      </c>
      <c r="AS64" t="s">
        <v>3</v>
      </c>
      <c r="AT64">
        <v>3.1E-2</v>
      </c>
      <c r="AU64" t="s">
        <v>29</v>
      </c>
      <c r="AV64">
        <v>0</v>
      </c>
      <c r="AW64">
        <v>2</v>
      </c>
      <c r="AX64">
        <v>57037709</v>
      </c>
      <c r="AY64">
        <v>1</v>
      </c>
      <c r="AZ64">
        <v>0</v>
      </c>
      <c r="BA64">
        <v>76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CV64">
        <v>0</v>
      </c>
      <c r="CW64">
        <v>0</v>
      </c>
      <c r="CX64">
        <f>ROUND(Y64*Source!I46,9)</f>
        <v>0</v>
      </c>
      <c r="CY64">
        <f>AA64</f>
        <v>226.66</v>
      </c>
      <c r="CZ64">
        <f>AE64</f>
        <v>226.66</v>
      </c>
      <c r="DA64">
        <f>AI64</f>
        <v>1</v>
      </c>
      <c r="DB64">
        <f>ROUND(((ROUND(AT64*CZ64,2)*1)*0),6)</f>
        <v>0</v>
      </c>
      <c r="DC64">
        <f>ROUND(((ROUND(AT64*AG64,2)*1)*0),6)</f>
        <v>0</v>
      </c>
      <c r="DD64" t="s">
        <v>3</v>
      </c>
      <c r="DE64" t="s">
        <v>3</v>
      </c>
      <c r="DF64">
        <f t="shared" si="15"/>
        <v>0</v>
      </c>
      <c r="DG64">
        <f t="shared" si="11"/>
        <v>0</v>
      </c>
      <c r="DH64">
        <f t="shared" si="14"/>
        <v>0</v>
      </c>
      <c r="DI64">
        <f t="shared" si="3"/>
        <v>0</v>
      </c>
      <c r="DJ64">
        <f>DF64</f>
        <v>0</v>
      </c>
      <c r="DK64">
        <v>0</v>
      </c>
      <c r="DL64" t="s">
        <v>3</v>
      </c>
      <c r="DM64">
        <v>0</v>
      </c>
      <c r="DN64" t="s">
        <v>3</v>
      </c>
      <c r="DO64">
        <v>0</v>
      </c>
    </row>
    <row r="65" spans="1:119" x14ac:dyDescent="0.25">
      <c r="A65">
        <f>ROW(Source!A46)</f>
        <v>46</v>
      </c>
      <c r="B65">
        <v>57014138</v>
      </c>
      <c r="C65">
        <v>57037705</v>
      </c>
      <c r="D65">
        <v>55481977</v>
      </c>
      <c r="E65">
        <v>1</v>
      </c>
      <c r="F65">
        <v>1</v>
      </c>
      <c r="G65">
        <v>1081</v>
      </c>
      <c r="H65">
        <v>3</v>
      </c>
      <c r="I65" t="s">
        <v>452</v>
      </c>
      <c r="J65" t="s">
        <v>453</v>
      </c>
      <c r="K65" t="s">
        <v>454</v>
      </c>
      <c r="L65">
        <v>1355</v>
      </c>
      <c r="N65">
        <v>1010</v>
      </c>
      <c r="O65" t="s">
        <v>64</v>
      </c>
      <c r="P65" t="s">
        <v>64</v>
      </c>
      <c r="Q65">
        <v>100</v>
      </c>
      <c r="W65">
        <v>0</v>
      </c>
      <c r="X65">
        <v>1356827684</v>
      </c>
      <c r="Y65">
        <f>((AT65*1)*0)</f>
        <v>0</v>
      </c>
      <c r="AA65">
        <v>26.71</v>
      </c>
      <c r="AB65">
        <v>0</v>
      </c>
      <c r="AC65">
        <v>0</v>
      </c>
      <c r="AD65">
        <v>0</v>
      </c>
      <c r="AE65">
        <v>26.71</v>
      </c>
      <c r="AF65">
        <v>0</v>
      </c>
      <c r="AG65">
        <v>0</v>
      </c>
      <c r="AH65">
        <v>0</v>
      </c>
      <c r="AI65">
        <v>1</v>
      </c>
      <c r="AJ65">
        <v>1</v>
      </c>
      <c r="AK65">
        <v>1</v>
      </c>
      <c r="AL65">
        <v>1</v>
      </c>
      <c r="AM65">
        <v>-2</v>
      </c>
      <c r="AN65">
        <v>0</v>
      </c>
      <c r="AO65">
        <v>1</v>
      </c>
      <c r="AP65">
        <v>1</v>
      </c>
      <c r="AQ65">
        <v>0</v>
      </c>
      <c r="AR65">
        <v>0</v>
      </c>
      <c r="AS65" t="s">
        <v>3</v>
      </c>
      <c r="AT65">
        <v>0.315</v>
      </c>
      <c r="AU65" t="s">
        <v>29</v>
      </c>
      <c r="AV65">
        <v>0</v>
      </c>
      <c r="AW65">
        <v>2</v>
      </c>
      <c r="AX65">
        <v>57037710</v>
      </c>
      <c r="AY65">
        <v>1</v>
      </c>
      <c r="AZ65">
        <v>0</v>
      </c>
      <c r="BA65">
        <v>77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CV65">
        <v>0</v>
      </c>
      <c r="CW65">
        <v>0</v>
      </c>
      <c r="CX65">
        <f>ROUND(Y65*Source!I46,9)</f>
        <v>0</v>
      </c>
      <c r="CY65">
        <f>AA65</f>
        <v>26.71</v>
      </c>
      <c r="CZ65">
        <f>AE65</f>
        <v>26.71</v>
      </c>
      <c r="DA65">
        <f>AI65</f>
        <v>1</v>
      </c>
      <c r="DB65">
        <f>ROUND(((ROUND(AT65*CZ65,2)*1)*0),6)</f>
        <v>0</v>
      </c>
      <c r="DC65">
        <f>ROUND(((ROUND(AT65*AG65,2)*1)*0),6)</f>
        <v>0</v>
      </c>
      <c r="DD65" t="s">
        <v>3</v>
      </c>
      <c r="DE65" t="s">
        <v>3</v>
      </c>
      <c r="DF65">
        <f t="shared" si="15"/>
        <v>0</v>
      </c>
      <c r="DG65">
        <f t="shared" si="11"/>
        <v>0</v>
      </c>
      <c r="DH65">
        <f t="shared" si="14"/>
        <v>0</v>
      </c>
      <c r="DI65">
        <f t="shared" ref="DI65:DI128" si="16">ROUND(ROUND(AH65,2)*CX65,2)</f>
        <v>0</v>
      </c>
      <c r="DJ65">
        <f>DF65</f>
        <v>0</v>
      </c>
      <c r="DK65">
        <v>0</v>
      </c>
      <c r="DL65" t="s">
        <v>3</v>
      </c>
      <c r="DM65">
        <v>0</v>
      </c>
      <c r="DN65" t="s">
        <v>3</v>
      </c>
      <c r="DO65">
        <v>0</v>
      </c>
    </row>
    <row r="66" spans="1:119" x14ac:dyDescent="0.25">
      <c r="A66">
        <f>ROW(Source!A46)</f>
        <v>46</v>
      </c>
      <c r="B66">
        <v>57014138</v>
      </c>
      <c r="C66">
        <v>57037705</v>
      </c>
      <c r="D66">
        <v>55469263</v>
      </c>
      <c r="E66">
        <v>1</v>
      </c>
      <c r="F66">
        <v>1</v>
      </c>
      <c r="G66">
        <v>1081</v>
      </c>
      <c r="H66">
        <v>3</v>
      </c>
      <c r="I66" t="s">
        <v>455</v>
      </c>
      <c r="J66" t="s">
        <v>456</v>
      </c>
      <c r="K66" t="s">
        <v>457</v>
      </c>
      <c r="L66">
        <v>1354</v>
      </c>
      <c r="N66">
        <v>1010</v>
      </c>
      <c r="O66" t="s">
        <v>251</v>
      </c>
      <c r="P66" t="s">
        <v>251</v>
      </c>
      <c r="Q66">
        <v>1</v>
      </c>
      <c r="W66">
        <v>0</v>
      </c>
      <c r="X66">
        <v>955560065</v>
      </c>
      <c r="Y66">
        <f>((AT66*1)*0)</f>
        <v>0</v>
      </c>
      <c r="AA66">
        <v>14.22</v>
      </c>
      <c r="AB66">
        <v>0</v>
      </c>
      <c r="AC66">
        <v>0</v>
      </c>
      <c r="AD66">
        <v>0</v>
      </c>
      <c r="AE66">
        <v>14.22</v>
      </c>
      <c r="AF66">
        <v>0</v>
      </c>
      <c r="AG66">
        <v>0</v>
      </c>
      <c r="AH66">
        <v>0</v>
      </c>
      <c r="AI66">
        <v>1</v>
      </c>
      <c r="AJ66">
        <v>1</v>
      </c>
      <c r="AK66">
        <v>1</v>
      </c>
      <c r="AL66">
        <v>1</v>
      </c>
      <c r="AM66">
        <v>-2</v>
      </c>
      <c r="AN66">
        <v>0</v>
      </c>
      <c r="AO66">
        <v>1</v>
      </c>
      <c r="AP66">
        <v>1</v>
      </c>
      <c r="AQ66">
        <v>0</v>
      </c>
      <c r="AR66">
        <v>0</v>
      </c>
      <c r="AS66" t="s">
        <v>3</v>
      </c>
      <c r="AT66">
        <v>0.55900000000000005</v>
      </c>
      <c r="AU66" t="s">
        <v>29</v>
      </c>
      <c r="AV66">
        <v>0</v>
      </c>
      <c r="AW66">
        <v>2</v>
      </c>
      <c r="AX66">
        <v>57037711</v>
      </c>
      <c r="AY66">
        <v>1</v>
      </c>
      <c r="AZ66">
        <v>0</v>
      </c>
      <c r="BA66">
        <v>78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CV66">
        <v>0</v>
      </c>
      <c r="CW66">
        <v>0</v>
      </c>
      <c r="CX66">
        <f>ROUND(Y66*Source!I46,9)</f>
        <v>0</v>
      </c>
      <c r="CY66">
        <f>AA66</f>
        <v>14.22</v>
      </c>
      <c r="CZ66">
        <f>AE66</f>
        <v>14.22</v>
      </c>
      <c r="DA66">
        <f>AI66</f>
        <v>1</v>
      </c>
      <c r="DB66">
        <f>ROUND(((ROUND(AT66*CZ66,2)*1)*0),6)</f>
        <v>0</v>
      </c>
      <c r="DC66">
        <f>ROUND(((ROUND(AT66*AG66,2)*1)*0),6)</f>
        <v>0</v>
      </c>
      <c r="DD66" t="s">
        <v>3</v>
      </c>
      <c r="DE66" t="s">
        <v>3</v>
      </c>
      <c r="DF66">
        <f t="shared" si="15"/>
        <v>0</v>
      </c>
      <c r="DG66">
        <f t="shared" si="11"/>
        <v>0</v>
      </c>
      <c r="DH66">
        <f t="shared" si="14"/>
        <v>0</v>
      </c>
      <c r="DI66">
        <f t="shared" si="16"/>
        <v>0</v>
      </c>
      <c r="DJ66">
        <f>DF66</f>
        <v>0</v>
      </c>
      <c r="DK66">
        <v>0</v>
      </c>
      <c r="DL66" t="s">
        <v>3</v>
      </c>
      <c r="DM66">
        <v>0</v>
      </c>
      <c r="DN66" t="s">
        <v>3</v>
      </c>
      <c r="DO66">
        <v>0</v>
      </c>
    </row>
    <row r="67" spans="1:119" x14ac:dyDescent="0.25">
      <c r="A67">
        <f>ROW(Source!A47)</f>
        <v>47</v>
      </c>
      <c r="B67">
        <v>57014140</v>
      </c>
      <c r="C67">
        <v>57037705</v>
      </c>
      <c r="D67">
        <v>55424304</v>
      </c>
      <c r="E67">
        <v>1081</v>
      </c>
      <c r="F67">
        <v>1</v>
      </c>
      <c r="G67">
        <v>1081</v>
      </c>
      <c r="H67">
        <v>1</v>
      </c>
      <c r="I67" t="s">
        <v>385</v>
      </c>
      <c r="J67" t="s">
        <v>3</v>
      </c>
      <c r="K67" t="s">
        <v>386</v>
      </c>
      <c r="L67">
        <v>1191</v>
      </c>
      <c r="N67">
        <v>1013</v>
      </c>
      <c r="O67" t="s">
        <v>387</v>
      </c>
      <c r="P67" t="s">
        <v>387</v>
      </c>
      <c r="Q67">
        <v>1</v>
      </c>
      <c r="W67">
        <v>0</v>
      </c>
      <c r="X67">
        <v>476480486</v>
      </c>
      <c r="Y67">
        <f>((AT67*1.2)*0.3)</f>
        <v>12.459599999999998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1</v>
      </c>
      <c r="AJ67">
        <v>1</v>
      </c>
      <c r="AK67">
        <v>1</v>
      </c>
      <c r="AL67">
        <v>1</v>
      </c>
      <c r="AM67">
        <v>5</v>
      </c>
      <c r="AN67">
        <v>0</v>
      </c>
      <c r="AO67">
        <v>1</v>
      </c>
      <c r="AP67">
        <v>1</v>
      </c>
      <c r="AQ67">
        <v>0</v>
      </c>
      <c r="AR67">
        <v>0</v>
      </c>
      <c r="AS67" t="s">
        <v>3</v>
      </c>
      <c r="AT67">
        <v>34.61</v>
      </c>
      <c r="AU67" t="s">
        <v>30</v>
      </c>
      <c r="AV67">
        <v>1</v>
      </c>
      <c r="AW67">
        <v>2</v>
      </c>
      <c r="AX67">
        <v>57037706</v>
      </c>
      <c r="AY67">
        <v>1</v>
      </c>
      <c r="AZ67">
        <v>0</v>
      </c>
      <c r="BA67">
        <v>83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CU67">
        <f>ROUND(AT67*Source!I47*AH67*AL67,2)</f>
        <v>0</v>
      </c>
      <c r="CV67">
        <f>ROUND(Y67*Source!I47,9)</f>
        <v>566.91179999999997</v>
      </c>
      <c r="CW67">
        <v>0</v>
      </c>
      <c r="CX67">
        <f>ROUND(Y67*Source!I47,9)</f>
        <v>566.91179999999997</v>
      </c>
      <c r="CY67">
        <f>AD67</f>
        <v>0</v>
      </c>
      <c r="CZ67">
        <f>AH67</f>
        <v>0</v>
      </c>
      <c r="DA67">
        <f>AL67</f>
        <v>1</v>
      </c>
      <c r="DB67">
        <f>ROUND(((ROUND(AT67*CZ67,2)*1.2)*0.3),6)</f>
        <v>0</v>
      </c>
      <c r="DC67">
        <f>ROUND(((ROUND(AT67*AG67,2)*1.2)*0.3),6)</f>
        <v>0</v>
      </c>
      <c r="DD67" t="s">
        <v>3</v>
      </c>
      <c r="DE67" t="s">
        <v>3</v>
      </c>
      <c r="DF67">
        <f t="shared" si="15"/>
        <v>0</v>
      </c>
      <c r="DG67">
        <f t="shared" si="11"/>
        <v>0</v>
      </c>
      <c r="DH67">
        <f t="shared" si="14"/>
        <v>0</v>
      </c>
      <c r="DI67">
        <f t="shared" si="16"/>
        <v>0</v>
      </c>
      <c r="DJ67">
        <f>DI67</f>
        <v>0</v>
      </c>
      <c r="DK67">
        <v>0</v>
      </c>
      <c r="DL67" t="s">
        <v>3</v>
      </c>
      <c r="DM67">
        <v>0</v>
      </c>
      <c r="DN67" t="s">
        <v>3</v>
      </c>
      <c r="DO67">
        <v>0</v>
      </c>
    </row>
    <row r="68" spans="1:119" x14ac:dyDescent="0.25">
      <c r="A68">
        <f>ROW(Source!A47)</f>
        <v>47</v>
      </c>
      <c r="B68">
        <v>57014140</v>
      </c>
      <c r="C68">
        <v>57037705</v>
      </c>
      <c r="D68">
        <v>55490263</v>
      </c>
      <c r="E68">
        <v>1</v>
      </c>
      <c r="F68">
        <v>1</v>
      </c>
      <c r="G68">
        <v>1081</v>
      </c>
      <c r="H68">
        <v>2</v>
      </c>
      <c r="I68" t="s">
        <v>445</v>
      </c>
      <c r="J68" t="s">
        <v>446</v>
      </c>
      <c r="K68" t="s">
        <v>447</v>
      </c>
      <c r="L68">
        <v>1368</v>
      </c>
      <c r="N68">
        <v>1011</v>
      </c>
      <c r="O68" t="s">
        <v>391</v>
      </c>
      <c r="P68" t="s">
        <v>391</v>
      </c>
      <c r="Q68">
        <v>1</v>
      </c>
      <c r="W68">
        <v>0</v>
      </c>
      <c r="X68">
        <v>-1895752648</v>
      </c>
      <c r="Y68">
        <f>((AT68*1.2)*0.3)</f>
        <v>1.7532000000000001</v>
      </c>
      <c r="AA68">
        <v>0</v>
      </c>
      <c r="AB68">
        <v>7.71</v>
      </c>
      <c r="AC68">
        <v>0</v>
      </c>
      <c r="AD68">
        <v>0</v>
      </c>
      <c r="AE68">
        <v>0</v>
      </c>
      <c r="AF68">
        <v>0.77</v>
      </c>
      <c r="AG68">
        <v>0</v>
      </c>
      <c r="AH68">
        <v>0</v>
      </c>
      <c r="AI68">
        <v>1</v>
      </c>
      <c r="AJ68">
        <v>9.56</v>
      </c>
      <c r="AK68">
        <v>1</v>
      </c>
      <c r="AL68">
        <v>1</v>
      </c>
      <c r="AM68">
        <v>2</v>
      </c>
      <c r="AN68">
        <v>0</v>
      </c>
      <c r="AO68">
        <v>1</v>
      </c>
      <c r="AP68">
        <v>1</v>
      </c>
      <c r="AQ68">
        <v>0</v>
      </c>
      <c r="AR68">
        <v>0</v>
      </c>
      <c r="AS68" t="s">
        <v>3</v>
      </c>
      <c r="AT68">
        <v>4.87</v>
      </c>
      <c r="AU68" t="s">
        <v>30</v>
      </c>
      <c r="AV68">
        <v>0</v>
      </c>
      <c r="AW68">
        <v>2</v>
      </c>
      <c r="AX68">
        <v>57037707</v>
      </c>
      <c r="AY68">
        <v>1</v>
      </c>
      <c r="AZ68">
        <v>0</v>
      </c>
      <c r="BA68">
        <v>84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CV68">
        <v>0</v>
      </c>
      <c r="CW68">
        <f>ROUND(Y68*Source!I47*DO68,9)</f>
        <v>0</v>
      </c>
      <c r="CX68">
        <f>ROUND(Y68*Source!I47,9)</f>
        <v>79.770600000000002</v>
      </c>
      <c r="CY68">
        <f>AB68</f>
        <v>7.71</v>
      </c>
      <c r="CZ68">
        <f>AF68</f>
        <v>0.77</v>
      </c>
      <c r="DA68">
        <f>AJ68</f>
        <v>9.56</v>
      </c>
      <c r="DB68">
        <f>ROUND(((ROUND(AT68*CZ68,2)*1.2)*0.3),6)</f>
        <v>1.35</v>
      </c>
      <c r="DC68">
        <f>ROUND(((ROUND(AT68*AG68,2)*1.2)*0.3),6)</f>
        <v>0</v>
      </c>
      <c r="DD68" t="s">
        <v>3</v>
      </c>
      <c r="DE68" t="s">
        <v>3</v>
      </c>
      <c r="DF68">
        <f t="shared" si="15"/>
        <v>0</v>
      </c>
      <c r="DG68">
        <f>ROUND(ROUND(AF68*AJ68,2)*CX68,2)</f>
        <v>587.11</v>
      </c>
      <c r="DH68">
        <f t="shared" si="14"/>
        <v>0</v>
      </c>
      <c r="DI68">
        <f t="shared" si="16"/>
        <v>0</v>
      </c>
      <c r="DJ68">
        <f>DG68</f>
        <v>587.11</v>
      </c>
      <c r="DK68">
        <v>0</v>
      </c>
      <c r="DL68" t="s">
        <v>3</v>
      </c>
      <c r="DM68">
        <v>0</v>
      </c>
      <c r="DN68" t="s">
        <v>3</v>
      </c>
      <c r="DO68">
        <v>0</v>
      </c>
    </row>
    <row r="69" spans="1:119" x14ac:dyDescent="0.25">
      <c r="A69">
        <f>ROW(Source!A47)</f>
        <v>47</v>
      </c>
      <c r="B69">
        <v>57014140</v>
      </c>
      <c r="C69">
        <v>57037705</v>
      </c>
      <c r="D69">
        <v>55490296</v>
      </c>
      <c r="E69">
        <v>1</v>
      </c>
      <c r="F69">
        <v>1</v>
      </c>
      <c r="G69">
        <v>1081</v>
      </c>
      <c r="H69">
        <v>2</v>
      </c>
      <c r="I69" t="s">
        <v>415</v>
      </c>
      <c r="J69" t="s">
        <v>416</v>
      </c>
      <c r="K69" t="s">
        <v>417</v>
      </c>
      <c r="L69">
        <v>1368</v>
      </c>
      <c r="N69">
        <v>1011</v>
      </c>
      <c r="O69" t="s">
        <v>391</v>
      </c>
      <c r="P69" t="s">
        <v>391</v>
      </c>
      <c r="Q69">
        <v>1</v>
      </c>
      <c r="W69">
        <v>0</v>
      </c>
      <c r="X69">
        <v>-643591644</v>
      </c>
      <c r="Y69">
        <f>((AT69*1.2)*0.3)</f>
        <v>2.4803999999999995</v>
      </c>
      <c r="AA69">
        <v>0</v>
      </c>
      <c r="AB69">
        <v>4.75</v>
      </c>
      <c r="AC69">
        <v>0</v>
      </c>
      <c r="AD69">
        <v>0</v>
      </c>
      <c r="AE69">
        <v>0</v>
      </c>
      <c r="AF69">
        <v>0.47</v>
      </c>
      <c r="AG69">
        <v>0</v>
      </c>
      <c r="AH69">
        <v>0</v>
      </c>
      <c r="AI69">
        <v>1</v>
      </c>
      <c r="AJ69">
        <v>9.66</v>
      </c>
      <c r="AK69">
        <v>1</v>
      </c>
      <c r="AL69">
        <v>1</v>
      </c>
      <c r="AM69">
        <v>2</v>
      </c>
      <c r="AN69">
        <v>0</v>
      </c>
      <c r="AO69">
        <v>1</v>
      </c>
      <c r="AP69">
        <v>1</v>
      </c>
      <c r="AQ69">
        <v>0</v>
      </c>
      <c r="AR69">
        <v>0</v>
      </c>
      <c r="AS69" t="s">
        <v>3</v>
      </c>
      <c r="AT69">
        <v>6.89</v>
      </c>
      <c r="AU69" t="s">
        <v>30</v>
      </c>
      <c r="AV69">
        <v>0</v>
      </c>
      <c r="AW69">
        <v>2</v>
      </c>
      <c r="AX69">
        <v>57037708</v>
      </c>
      <c r="AY69">
        <v>1</v>
      </c>
      <c r="AZ69">
        <v>0</v>
      </c>
      <c r="BA69">
        <v>85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CV69">
        <v>0</v>
      </c>
      <c r="CW69">
        <f>ROUND(Y69*Source!I47*DO69,9)</f>
        <v>0</v>
      </c>
      <c r="CX69">
        <f>ROUND(Y69*Source!I47,9)</f>
        <v>112.8582</v>
      </c>
      <c r="CY69">
        <f>AB69</f>
        <v>4.75</v>
      </c>
      <c r="CZ69">
        <f>AF69</f>
        <v>0.47</v>
      </c>
      <c r="DA69">
        <f>AJ69</f>
        <v>9.66</v>
      </c>
      <c r="DB69">
        <f>ROUND(((ROUND(AT69*CZ69,2)*1.2)*0.3),6)</f>
        <v>1.1664000000000001</v>
      </c>
      <c r="DC69">
        <f>ROUND(((ROUND(AT69*AG69,2)*1.2)*0.3),6)</f>
        <v>0</v>
      </c>
      <c r="DD69" t="s">
        <v>3</v>
      </c>
      <c r="DE69" t="s">
        <v>3</v>
      </c>
      <c r="DF69">
        <f t="shared" si="15"/>
        <v>0</v>
      </c>
      <c r="DG69">
        <f>ROUND(ROUND(AF69*AJ69,2)*CX69,2)</f>
        <v>512.38</v>
      </c>
      <c r="DH69">
        <f t="shared" si="14"/>
        <v>0</v>
      </c>
      <c r="DI69">
        <f t="shared" si="16"/>
        <v>0</v>
      </c>
      <c r="DJ69">
        <f>DG69</f>
        <v>512.38</v>
      </c>
      <c r="DK69">
        <v>0</v>
      </c>
      <c r="DL69" t="s">
        <v>3</v>
      </c>
      <c r="DM69">
        <v>0</v>
      </c>
      <c r="DN69" t="s">
        <v>3</v>
      </c>
      <c r="DO69">
        <v>0</v>
      </c>
    </row>
    <row r="70" spans="1:119" x14ac:dyDescent="0.25">
      <c r="A70">
        <f>ROW(Source!A47)</f>
        <v>47</v>
      </c>
      <c r="B70">
        <v>57014140</v>
      </c>
      <c r="C70">
        <v>57037705</v>
      </c>
      <c r="D70">
        <v>55482203</v>
      </c>
      <c r="E70">
        <v>1</v>
      </c>
      <c r="F70">
        <v>1</v>
      </c>
      <c r="G70">
        <v>1081</v>
      </c>
      <c r="H70">
        <v>3</v>
      </c>
      <c r="I70" t="s">
        <v>448</v>
      </c>
      <c r="J70" t="s">
        <v>449</v>
      </c>
      <c r="K70" t="s">
        <v>450</v>
      </c>
      <c r="L70">
        <v>1356</v>
      </c>
      <c r="N70">
        <v>1010</v>
      </c>
      <c r="O70" t="s">
        <v>451</v>
      </c>
      <c r="P70" t="s">
        <v>451</v>
      </c>
      <c r="Q70">
        <v>1000</v>
      </c>
      <c r="W70">
        <v>0</v>
      </c>
      <c r="X70">
        <v>474149623</v>
      </c>
      <c r="Y70">
        <f>((AT70*1)*0)</f>
        <v>0</v>
      </c>
      <c r="AA70">
        <v>1527.69</v>
      </c>
      <c r="AB70">
        <v>0</v>
      </c>
      <c r="AC70">
        <v>0</v>
      </c>
      <c r="AD70">
        <v>0</v>
      </c>
      <c r="AE70">
        <v>226.66</v>
      </c>
      <c r="AF70">
        <v>0</v>
      </c>
      <c r="AG70">
        <v>0</v>
      </c>
      <c r="AH70">
        <v>0</v>
      </c>
      <c r="AI70">
        <v>6.74</v>
      </c>
      <c r="AJ70">
        <v>1</v>
      </c>
      <c r="AK70">
        <v>1</v>
      </c>
      <c r="AL70">
        <v>1</v>
      </c>
      <c r="AM70">
        <v>2</v>
      </c>
      <c r="AN70">
        <v>0</v>
      </c>
      <c r="AO70">
        <v>1</v>
      </c>
      <c r="AP70">
        <v>1</v>
      </c>
      <c r="AQ70">
        <v>0</v>
      </c>
      <c r="AR70">
        <v>0</v>
      </c>
      <c r="AS70" t="s">
        <v>3</v>
      </c>
      <c r="AT70">
        <v>3.1E-2</v>
      </c>
      <c r="AU70" t="s">
        <v>29</v>
      </c>
      <c r="AV70">
        <v>0</v>
      </c>
      <c r="AW70">
        <v>2</v>
      </c>
      <c r="AX70">
        <v>57037709</v>
      </c>
      <c r="AY70">
        <v>1</v>
      </c>
      <c r="AZ70">
        <v>0</v>
      </c>
      <c r="BA70">
        <v>86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CV70">
        <v>0</v>
      </c>
      <c r="CW70">
        <v>0</v>
      </c>
      <c r="CX70">
        <f>ROUND(Y70*Source!I47,9)</f>
        <v>0</v>
      </c>
      <c r="CY70">
        <f>AA70</f>
        <v>1527.69</v>
      </c>
      <c r="CZ70">
        <f>AE70</f>
        <v>226.66</v>
      </c>
      <c r="DA70">
        <f>AI70</f>
        <v>6.74</v>
      </c>
      <c r="DB70">
        <f>ROUND(((ROUND(AT70*CZ70,2)*1)*0),6)</f>
        <v>0</v>
      </c>
      <c r="DC70">
        <f>ROUND(((ROUND(AT70*AG70,2)*1)*0),6)</f>
        <v>0</v>
      </c>
      <c r="DD70" t="s">
        <v>3</v>
      </c>
      <c r="DE70" t="s">
        <v>3</v>
      </c>
      <c r="DF70">
        <f>ROUND(ROUND(AE70*AI70,2)*CX70,2)</f>
        <v>0</v>
      </c>
      <c r="DG70">
        <f t="shared" ref="DG70:DG82" si="17">ROUND(ROUND(AF70,2)*CX70,2)</f>
        <v>0</v>
      </c>
      <c r="DH70">
        <f t="shared" si="14"/>
        <v>0</v>
      </c>
      <c r="DI70">
        <f t="shared" si="16"/>
        <v>0</v>
      </c>
      <c r="DJ70">
        <f>DF70</f>
        <v>0</v>
      </c>
      <c r="DK70">
        <v>0</v>
      </c>
      <c r="DL70" t="s">
        <v>3</v>
      </c>
      <c r="DM70">
        <v>0</v>
      </c>
      <c r="DN70" t="s">
        <v>3</v>
      </c>
      <c r="DO70">
        <v>0</v>
      </c>
    </row>
    <row r="71" spans="1:119" x14ac:dyDescent="0.25">
      <c r="A71">
        <f>ROW(Source!A47)</f>
        <v>47</v>
      </c>
      <c r="B71">
        <v>57014140</v>
      </c>
      <c r="C71">
        <v>57037705</v>
      </c>
      <c r="D71">
        <v>55481977</v>
      </c>
      <c r="E71">
        <v>1</v>
      </c>
      <c r="F71">
        <v>1</v>
      </c>
      <c r="G71">
        <v>1081</v>
      </c>
      <c r="H71">
        <v>3</v>
      </c>
      <c r="I71" t="s">
        <v>452</v>
      </c>
      <c r="J71" t="s">
        <v>453</v>
      </c>
      <c r="K71" t="s">
        <v>454</v>
      </c>
      <c r="L71">
        <v>1355</v>
      </c>
      <c r="N71">
        <v>1010</v>
      </c>
      <c r="O71" t="s">
        <v>64</v>
      </c>
      <c r="P71" t="s">
        <v>64</v>
      </c>
      <c r="Q71">
        <v>100</v>
      </c>
      <c r="W71">
        <v>0</v>
      </c>
      <c r="X71">
        <v>1356827684</v>
      </c>
      <c r="Y71">
        <f>((AT71*1)*0)</f>
        <v>0</v>
      </c>
      <c r="AA71">
        <v>105.5</v>
      </c>
      <c r="AB71">
        <v>0</v>
      </c>
      <c r="AC71">
        <v>0</v>
      </c>
      <c r="AD71">
        <v>0</v>
      </c>
      <c r="AE71">
        <v>26.71</v>
      </c>
      <c r="AF71">
        <v>0</v>
      </c>
      <c r="AG71">
        <v>0</v>
      </c>
      <c r="AH71">
        <v>0</v>
      </c>
      <c r="AI71">
        <v>3.95</v>
      </c>
      <c r="AJ71">
        <v>1</v>
      </c>
      <c r="AK71">
        <v>1</v>
      </c>
      <c r="AL71">
        <v>1</v>
      </c>
      <c r="AM71">
        <v>2</v>
      </c>
      <c r="AN71">
        <v>0</v>
      </c>
      <c r="AO71">
        <v>1</v>
      </c>
      <c r="AP71">
        <v>1</v>
      </c>
      <c r="AQ71">
        <v>0</v>
      </c>
      <c r="AR71">
        <v>0</v>
      </c>
      <c r="AS71" t="s">
        <v>3</v>
      </c>
      <c r="AT71">
        <v>0.315</v>
      </c>
      <c r="AU71" t="s">
        <v>29</v>
      </c>
      <c r="AV71">
        <v>0</v>
      </c>
      <c r="AW71">
        <v>2</v>
      </c>
      <c r="AX71">
        <v>57037710</v>
      </c>
      <c r="AY71">
        <v>1</v>
      </c>
      <c r="AZ71">
        <v>0</v>
      </c>
      <c r="BA71">
        <v>87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CV71">
        <v>0</v>
      </c>
      <c r="CW71">
        <v>0</v>
      </c>
      <c r="CX71">
        <f>ROUND(Y71*Source!I47,9)</f>
        <v>0</v>
      </c>
      <c r="CY71">
        <f>AA71</f>
        <v>105.5</v>
      </c>
      <c r="CZ71">
        <f>AE71</f>
        <v>26.71</v>
      </c>
      <c r="DA71">
        <f>AI71</f>
        <v>3.95</v>
      </c>
      <c r="DB71">
        <f>ROUND(((ROUND(AT71*CZ71,2)*1)*0),6)</f>
        <v>0</v>
      </c>
      <c r="DC71">
        <f>ROUND(((ROUND(AT71*AG71,2)*1)*0),6)</f>
        <v>0</v>
      </c>
      <c r="DD71" t="s">
        <v>3</v>
      </c>
      <c r="DE71" t="s">
        <v>3</v>
      </c>
      <c r="DF71">
        <f>ROUND(ROUND(AE71*AI71,2)*CX71,2)</f>
        <v>0</v>
      </c>
      <c r="DG71">
        <f t="shared" si="17"/>
        <v>0</v>
      </c>
      <c r="DH71">
        <f t="shared" si="14"/>
        <v>0</v>
      </c>
      <c r="DI71">
        <f t="shared" si="16"/>
        <v>0</v>
      </c>
      <c r="DJ71">
        <f>DF71</f>
        <v>0</v>
      </c>
      <c r="DK71">
        <v>0</v>
      </c>
      <c r="DL71" t="s">
        <v>3</v>
      </c>
      <c r="DM71">
        <v>0</v>
      </c>
      <c r="DN71" t="s">
        <v>3</v>
      </c>
      <c r="DO71">
        <v>0</v>
      </c>
    </row>
    <row r="72" spans="1:119" x14ac:dyDescent="0.25">
      <c r="A72">
        <f>ROW(Source!A47)</f>
        <v>47</v>
      </c>
      <c r="B72">
        <v>57014140</v>
      </c>
      <c r="C72">
        <v>57037705</v>
      </c>
      <c r="D72">
        <v>55469263</v>
      </c>
      <c r="E72">
        <v>1</v>
      </c>
      <c r="F72">
        <v>1</v>
      </c>
      <c r="G72">
        <v>1081</v>
      </c>
      <c r="H72">
        <v>3</v>
      </c>
      <c r="I72" t="s">
        <v>455</v>
      </c>
      <c r="J72" t="s">
        <v>456</v>
      </c>
      <c r="K72" t="s">
        <v>457</v>
      </c>
      <c r="L72">
        <v>1354</v>
      </c>
      <c r="N72">
        <v>1010</v>
      </c>
      <c r="O72" t="s">
        <v>251</v>
      </c>
      <c r="P72" t="s">
        <v>251</v>
      </c>
      <c r="Q72">
        <v>1</v>
      </c>
      <c r="W72">
        <v>0</v>
      </c>
      <c r="X72">
        <v>955560065</v>
      </c>
      <c r="Y72">
        <f>((AT72*1)*0)</f>
        <v>0</v>
      </c>
      <c r="AA72">
        <v>165.81</v>
      </c>
      <c r="AB72">
        <v>0</v>
      </c>
      <c r="AC72">
        <v>0</v>
      </c>
      <c r="AD72">
        <v>0</v>
      </c>
      <c r="AE72">
        <v>14.22</v>
      </c>
      <c r="AF72">
        <v>0</v>
      </c>
      <c r="AG72">
        <v>0</v>
      </c>
      <c r="AH72">
        <v>0</v>
      </c>
      <c r="AI72">
        <v>11.66</v>
      </c>
      <c r="AJ72">
        <v>1</v>
      </c>
      <c r="AK72">
        <v>1</v>
      </c>
      <c r="AL72">
        <v>1</v>
      </c>
      <c r="AM72">
        <v>2</v>
      </c>
      <c r="AN72">
        <v>0</v>
      </c>
      <c r="AO72">
        <v>1</v>
      </c>
      <c r="AP72">
        <v>1</v>
      </c>
      <c r="AQ72">
        <v>0</v>
      </c>
      <c r="AR72">
        <v>0</v>
      </c>
      <c r="AS72" t="s">
        <v>3</v>
      </c>
      <c r="AT72">
        <v>0.55900000000000005</v>
      </c>
      <c r="AU72" t="s">
        <v>29</v>
      </c>
      <c r="AV72">
        <v>0</v>
      </c>
      <c r="AW72">
        <v>2</v>
      </c>
      <c r="AX72">
        <v>57037711</v>
      </c>
      <c r="AY72">
        <v>1</v>
      </c>
      <c r="AZ72">
        <v>0</v>
      </c>
      <c r="BA72">
        <v>88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CV72">
        <v>0</v>
      </c>
      <c r="CW72">
        <v>0</v>
      </c>
      <c r="CX72">
        <f>ROUND(Y72*Source!I47,9)</f>
        <v>0</v>
      </c>
      <c r="CY72">
        <f>AA72</f>
        <v>165.81</v>
      </c>
      <c r="CZ72">
        <f>AE72</f>
        <v>14.22</v>
      </c>
      <c r="DA72">
        <f>AI72</f>
        <v>11.66</v>
      </c>
      <c r="DB72">
        <f>ROUND(((ROUND(AT72*CZ72,2)*1)*0),6)</f>
        <v>0</v>
      </c>
      <c r="DC72">
        <f>ROUND(((ROUND(AT72*AG72,2)*1)*0),6)</f>
        <v>0</v>
      </c>
      <c r="DD72" t="s">
        <v>3</v>
      </c>
      <c r="DE72" t="s">
        <v>3</v>
      </c>
      <c r="DF72">
        <f>ROUND(ROUND(AE72*AI72,2)*CX72,2)</f>
        <v>0</v>
      </c>
      <c r="DG72">
        <f t="shared" si="17"/>
        <v>0</v>
      </c>
      <c r="DH72">
        <f t="shared" si="14"/>
        <v>0</v>
      </c>
      <c r="DI72">
        <f t="shared" si="16"/>
        <v>0</v>
      </c>
      <c r="DJ72">
        <f>DF72</f>
        <v>0</v>
      </c>
      <c r="DK72">
        <v>0</v>
      </c>
      <c r="DL72" t="s">
        <v>3</v>
      </c>
      <c r="DM72">
        <v>0</v>
      </c>
      <c r="DN72" t="s">
        <v>3</v>
      </c>
      <c r="DO72">
        <v>0</v>
      </c>
    </row>
    <row r="73" spans="1:119" x14ac:dyDescent="0.25">
      <c r="A73">
        <f>ROW(Source!A48)</f>
        <v>48</v>
      </c>
      <c r="B73">
        <v>57014138</v>
      </c>
      <c r="C73">
        <v>57014891</v>
      </c>
      <c r="D73">
        <v>55424304</v>
      </c>
      <c r="E73">
        <v>1081</v>
      </c>
      <c r="F73">
        <v>1</v>
      </c>
      <c r="G73">
        <v>1081</v>
      </c>
      <c r="H73">
        <v>1</v>
      </c>
      <c r="I73" t="s">
        <v>385</v>
      </c>
      <c r="J73" t="s">
        <v>3</v>
      </c>
      <c r="K73" t="s">
        <v>386</v>
      </c>
      <c r="L73">
        <v>1191</v>
      </c>
      <c r="N73">
        <v>1013</v>
      </c>
      <c r="O73" t="s">
        <v>387</v>
      </c>
      <c r="P73" t="s">
        <v>387</v>
      </c>
      <c r="Q73">
        <v>1</v>
      </c>
      <c r="W73">
        <v>0</v>
      </c>
      <c r="X73">
        <v>476480486</v>
      </c>
      <c r="Y73">
        <f>(AT73*1.2)</f>
        <v>36.527999999999999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1</v>
      </c>
      <c r="AJ73">
        <v>1</v>
      </c>
      <c r="AK73">
        <v>1</v>
      </c>
      <c r="AL73">
        <v>1</v>
      </c>
      <c r="AM73">
        <v>-2</v>
      </c>
      <c r="AN73">
        <v>0</v>
      </c>
      <c r="AO73">
        <v>1</v>
      </c>
      <c r="AP73">
        <v>1</v>
      </c>
      <c r="AQ73">
        <v>0</v>
      </c>
      <c r="AR73">
        <v>0</v>
      </c>
      <c r="AS73" t="s">
        <v>3</v>
      </c>
      <c r="AT73">
        <v>30.44</v>
      </c>
      <c r="AU73" t="s">
        <v>71</v>
      </c>
      <c r="AV73">
        <v>1</v>
      </c>
      <c r="AW73">
        <v>2</v>
      </c>
      <c r="AX73">
        <v>57014894</v>
      </c>
      <c r="AY73">
        <v>1</v>
      </c>
      <c r="AZ73">
        <v>0</v>
      </c>
      <c r="BA73">
        <v>93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CU73">
        <f>ROUND(AT73*Source!I48*AH73*AL73,2)</f>
        <v>0</v>
      </c>
      <c r="CV73">
        <f>ROUND(Y73*Source!I48,9)</f>
        <v>1662.0239999999999</v>
      </c>
      <c r="CW73">
        <v>0</v>
      </c>
      <c r="CX73">
        <f>ROUND(Y73*Source!I48,9)</f>
        <v>1662.0239999999999</v>
      </c>
      <c r="CY73">
        <f>AD73</f>
        <v>0</v>
      </c>
      <c r="CZ73">
        <f>AH73</f>
        <v>0</v>
      </c>
      <c r="DA73">
        <f>AL73</f>
        <v>1</v>
      </c>
      <c r="DB73">
        <f>ROUND((ROUND(AT73*CZ73,2)*1.2),6)</f>
        <v>0</v>
      </c>
      <c r="DC73">
        <f>ROUND((ROUND(AT73*AG73,2)*1.2),6)</f>
        <v>0</v>
      </c>
      <c r="DD73" t="s">
        <v>3</v>
      </c>
      <c r="DE73" t="s">
        <v>3</v>
      </c>
      <c r="DF73">
        <f>ROUND(ROUND(AE73,2)*CX73,2)</f>
        <v>0</v>
      </c>
      <c r="DG73">
        <f t="shared" si="17"/>
        <v>0</v>
      </c>
      <c r="DH73">
        <f t="shared" si="14"/>
        <v>0</v>
      </c>
      <c r="DI73">
        <f t="shared" si="16"/>
        <v>0</v>
      </c>
      <c r="DJ73">
        <f>DI73</f>
        <v>0</v>
      </c>
      <c r="DK73">
        <v>0</v>
      </c>
      <c r="DL73" t="s">
        <v>3</v>
      </c>
      <c r="DM73">
        <v>0</v>
      </c>
      <c r="DN73" t="s">
        <v>3</v>
      </c>
      <c r="DO73">
        <v>0</v>
      </c>
    </row>
    <row r="74" spans="1:119" x14ac:dyDescent="0.25">
      <c r="A74">
        <f>ROW(Source!A48)</f>
        <v>48</v>
      </c>
      <c r="B74">
        <v>57014138</v>
      </c>
      <c r="C74">
        <v>57014891</v>
      </c>
      <c r="D74">
        <v>55424288</v>
      </c>
      <c r="E74">
        <v>1081</v>
      </c>
      <c r="F74">
        <v>1</v>
      </c>
      <c r="G74">
        <v>1081</v>
      </c>
      <c r="H74">
        <v>3</v>
      </c>
      <c r="I74" t="s">
        <v>458</v>
      </c>
      <c r="J74" t="s">
        <v>3</v>
      </c>
      <c r="K74" t="s">
        <v>459</v>
      </c>
      <c r="L74">
        <v>1348</v>
      </c>
      <c r="N74">
        <v>1009</v>
      </c>
      <c r="O74" t="s">
        <v>361</v>
      </c>
      <c r="P74" t="s">
        <v>361</v>
      </c>
      <c r="Q74">
        <v>1000</v>
      </c>
      <c r="W74">
        <v>0</v>
      </c>
      <c r="X74">
        <v>1489638031</v>
      </c>
      <c r="Y74">
        <f>(AT74*1)</f>
        <v>0.247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1</v>
      </c>
      <c r="AJ74">
        <v>1</v>
      </c>
      <c r="AK74">
        <v>1</v>
      </c>
      <c r="AL74">
        <v>1</v>
      </c>
      <c r="AM74">
        <v>-2</v>
      </c>
      <c r="AN74">
        <v>0</v>
      </c>
      <c r="AO74">
        <v>1</v>
      </c>
      <c r="AP74">
        <v>1</v>
      </c>
      <c r="AQ74">
        <v>0</v>
      </c>
      <c r="AR74">
        <v>0</v>
      </c>
      <c r="AS74" t="s">
        <v>3</v>
      </c>
      <c r="AT74">
        <v>0.247</v>
      </c>
      <c r="AU74" t="s">
        <v>70</v>
      </c>
      <c r="AV74">
        <v>0</v>
      </c>
      <c r="AW74">
        <v>2</v>
      </c>
      <c r="AX74">
        <v>57014895</v>
      </c>
      <c r="AY74">
        <v>1</v>
      </c>
      <c r="AZ74">
        <v>0</v>
      </c>
      <c r="BA74">
        <v>94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CV74">
        <v>0</v>
      </c>
      <c r="CW74">
        <v>0</v>
      </c>
      <c r="CX74">
        <f>ROUND(Y74*Source!I48,9)</f>
        <v>11.2385</v>
      </c>
      <c r="CY74">
        <f>AA74</f>
        <v>0</v>
      </c>
      <c r="CZ74">
        <f>AE74</f>
        <v>0</v>
      </c>
      <c r="DA74">
        <f>AI74</f>
        <v>1</v>
      </c>
      <c r="DB74">
        <f>ROUND((ROUND(AT74*CZ74,2)*1),6)</f>
        <v>0</v>
      </c>
      <c r="DC74">
        <f>ROUND((ROUND(AT74*AG74,2)*1),6)</f>
        <v>0</v>
      </c>
      <c r="DD74" t="s">
        <v>3</v>
      </c>
      <c r="DE74" t="s">
        <v>3</v>
      </c>
      <c r="DF74">
        <f>ROUND(ROUND(AE74,2)*CX74,2)</f>
        <v>0</v>
      </c>
      <c r="DG74">
        <f t="shared" si="17"/>
        <v>0</v>
      </c>
      <c r="DH74">
        <f t="shared" si="14"/>
        <v>0</v>
      </c>
      <c r="DI74">
        <f t="shared" si="16"/>
        <v>0</v>
      </c>
      <c r="DJ74">
        <f>DF74</f>
        <v>0</v>
      </c>
      <c r="DK74">
        <v>0</v>
      </c>
      <c r="DL74" t="s">
        <v>3</v>
      </c>
      <c r="DM74">
        <v>0</v>
      </c>
      <c r="DN74" t="s">
        <v>3</v>
      </c>
      <c r="DO74">
        <v>0</v>
      </c>
    </row>
    <row r="75" spans="1:119" x14ac:dyDescent="0.25">
      <c r="A75">
        <f>ROW(Source!A49)</f>
        <v>49</v>
      </c>
      <c r="B75">
        <v>57014140</v>
      </c>
      <c r="C75">
        <v>57014891</v>
      </c>
      <c r="D75">
        <v>55424304</v>
      </c>
      <c r="E75">
        <v>1081</v>
      </c>
      <c r="F75">
        <v>1</v>
      </c>
      <c r="G75">
        <v>1081</v>
      </c>
      <c r="H75">
        <v>1</v>
      </c>
      <c r="I75" t="s">
        <v>385</v>
      </c>
      <c r="J75" t="s">
        <v>3</v>
      </c>
      <c r="K75" t="s">
        <v>386</v>
      </c>
      <c r="L75">
        <v>1191</v>
      </c>
      <c r="N75">
        <v>1013</v>
      </c>
      <c r="O75" t="s">
        <v>387</v>
      </c>
      <c r="P75" t="s">
        <v>387</v>
      </c>
      <c r="Q75">
        <v>1</v>
      </c>
      <c r="W75">
        <v>0</v>
      </c>
      <c r="X75">
        <v>476480486</v>
      </c>
      <c r="Y75">
        <f>(AT75*1.2)</f>
        <v>36.527999999999999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1</v>
      </c>
      <c r="AJ75">
        <v>1</v>
      </c>
      <c r="AK75">
        <v>1</v>
      </c>
      <c r="AL75">
        <v>1</v>
      </c>
      <c r="AM75">
        <v>5</v>
      </c>
      <c r="AN75">
        <v>0</v>
      </c>
      <c r="AO75">
        <v>1</v>
      </c>
      <c r="AP75">
        <v>1</v>
      </c>
      <c r="AQ75">
        <v>0</v>
      </c>
      <c r="AR75">
        <v>0</v>
      </c>
      <c r="AS75" t="s">
        <v>3</v>
      </c>
      <c r="AT75">
        <v>30.44</v>
      </c>
      <c r="AU75" t="s">
        <v>71</v>
      </c>
      <c r="AV75">
        <v>1</v>
      </c>
      <c r="AW75">
        <v>2</v>
      </c>
      <c r="AX75">
        <v>57014894</v>
      </c>
      <c r="AY75">
        <v>1</v>
      </c>
      <c r="AZ75">
        <v>0</v>
      </c>
      <c r="BA75">
        <v>95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CU75">
        <f>ROUND(AT75*Source!I49*AH75*AL75,2)</f>
        <v>0</v>
      </c>
      <c r="CV75">
        <f>ROUND(Y75*Source!I49,9)</f>
        <v>1662.0239999999999</v>
      </c>
      <c r="CW75">
        <v>0</v>
      </c>
      <c r="CX75">
        <f>ROUND(Y75*Source!I49,9)</f>
        <v>1662.0239999999999</v>
      </c>
      <c r="CY75">
        <f>AD75</f>
        <v>0</v>
      </c>
      <c r="CZ75">
        <f>AH75</f>
        <v>0</v>
      </c>
      <c r="DA75">
        <f>AL75</f>
        <v>1</v>
      </c>
      <c r="DB75">
        <f>ROUND((ROUND(AT75*CZ75,2)*1.2),6)</f>
        <v>0</v>
      </c>
      <c r="DC75">
        <f>ROUND((ROUND(AT75*AG75,2)*1.2),6)</f>
        <v>0</v>
      </c>
      <c r="DD75" t="s">
        <v>3</v>
      </c>
      <c r="DE75" t="s">
        <v>3</v>
      </c>
      <c r="DF75">
        <f>ROUND(ROUND(AE75,2)*CX75,2)</f>
        <v>0</v>
      </c>
      <c r="DG75">
        <f t="shared" si="17"/>
        <v>0</v>
      </c>
      <c r="DH75">
        <f t="shared" si="14"/>
        <v>0</v>
      </c>
      <c r="DI75">
        <f t="shared" si="16"/>
        <v>0</v>
      </c>
      <c r="DJ75">
        <f>DI75</f>
        <v>0</v>
      </c>
      <c r="DK75">
        <v>0</v>
      </c>
      <c r="DL75" t="s">
        <v>3</v>
      </c>
      <c r="DM75">
        <v>0</v>
      </c>
      <c r="DN75" t="s">
        <v>3</v>
      </c>
      <c r="DO75">
        <v>0</v>
      </c>
    </row>
    <row r="76" spans="1:119" x14ac:dyDescent="0.25">
      <c r="A76">
        <f>ROW(Source!A49)</f>
        <v>49</v>
      </c>
      <c r="B76">
        <v>57014140</v>
      </c>
      <c r="C76">
        <v>57014891</v>
      </c>
      <c r="D76">
        <v>55424288</v>
      </c>
      <c r="E76">
        <v>1081</v>
      </c>
      <c r="F76">
        <v>1</v>
      </c>
      <c r="G76">
        <v>1081</v>
      </c>
      <c r="H76">
        <v>3</v>
      </c>
      <c r="I76" t="s">
        <v>458</v>
      </c>
      <c r="J76" t="s">
        <v>3</v>
      </c>
      <c r="K76" t="s">
        <v>459</v>
      </c>
      <c r="L76">
        <v>1348</v>
      </c>
      <c r="N76">
        <v>1009</v>
      </c>
      <c r="O76" t="s">
        <v>361</v>
      </c>
      <c r="P76" t="s">
        <v>361</v>
      </c>
      <c r="Q76">
        <v>1000</v>
      </c>
      <c r="W76">
        <v>0</v>
      </c>
      <c r="X76">
        <v>1489638031</v>
      </c>
      <c r="Y76">
        <f>(AT76*1)</f>
        <v>0.247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9.84</v>
      </c>
      <c r="AJ76">
        <v>1</v>
      </c>
      <c r="AK76">
        <v>1</v>
      </c>
      <c r="AL76">
        <v>1</v>
      </c>
      <c r="AM76">
        <v>5</v>
      </c>
      <c r="AN76">
        <v>0</v>
      </c>
      <c r="AO76">
        <v>1</v>
      </c>
      <c r="AP76">
        <v>1</v>
      </c>
      <c r="AQ76">
        <v>0</v>
      </c>
      <c r="AR76">
        <v>0</v>
      </c>
      <c r="AS76" t="s">
        <v>3</v>
      </c>
      <c r="AT76">
        <v>0.247</v>
      </c>
      <c r="AU76" t="s">
        <v>70</v>
      </c>
      <c r="AV76">
        <v>0</v>
      </c>
      <c r="AW76">
        <v>2</v>
      </c>
      <c r="AX76">
        <v>57014895</v>
      </c>
      <c r="AY76">
        <v>1</v>
      </c>
      <c r="AZ76">
        <v>0</v>
      </c>
      <c r="BA76">
        <v>96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CV76">
        <v>0</v>
      </c>
      <c r="CW76">
        <v>0</v>
      </c>
      <c r="CX76">
        <f>ROUND(Y76*Source!I49,9)</f>
        <v>11.2385</v>
      </c>
      <c r="CY76">
        <f>AA76</f>
        <v>0</v>
      </c>
      <c r="CZ76">
        <f>AE76</f>
        <v>0</v>
      </c>
      <c r="DA76">
        <f>AI76</f>
        <v>9.84</v>
      </c>
      <c r="DB76">
        <f>ROUND((ROUND(AT76*CZ76,2)*1),6)</f>
        <v>0</v>
      </c>
      <c r="DC76">
        <f>ROUND((ROUND(AT76*AG76,2)*1),6)</f>
        <v>0</v>
      </c>
      <c r="DD76" t="s">
        <v>3</v>
      </c>
      <c r="DE76" t="s">
        <v>3</v>
      </c>
      <c r="DF76">
        <f>ROUND(ROUND(AE76*AI76,2)*CX76,2)</f>
        <v>0</v>
      </c>
      <c r="DG76">
        <f t="shared" si="17"/>
        <v>0</v>
      </c>
      <c r="DH76">
        <f t="shared" si="14"/>
        <v>0</v>
      </c>
      <c r="DI76">
        <f t="shared" si="16"/>
        <v>0</v>
      </c>
      <c r="DJ76">
        <f>DF76</f>
        <v>0</v>
      </c>
      <c r="DK76">
        <v>0</v>
      </c>
      <c r="DL76" t="s">
        <v>3</v>
      </c>
      <c r="DM76">
        <v>0</v>
      </c>
      <c r="DN76" t="s">
        <v>3</v>
      </c>
      <c r="DO76">
        <v>0</v>
      </c>
    </row>
    <row r="77" spans="1:119" x14ac:dyDescent="0.25">
      <c r="A77">
        <f>ROW(Source!A50)</f>
        <v>50</v>
      </c>
      <c r="B77">
        <v>57014138</v>
      </c>
      <c r="C77">
        <v>57014896</v>
      </c>
      <c r="D77">
        <v>55424304</v>
      </c>
      <c r="E77">
        <v>1081</v>
      </c>
      <c r="F77">
        <v>1</v>
      </c>
      <c r="G77">
        <v>1081</v>
      </c>
      <c r="H77">
        <v>1</v>
      </c>
      <c r="I77" t="s">
        <v>385</v>
      </c>
      <c r="J77" t="s">
        <v>3</v>
      </c>
      <c r="K77" t="s">
        <v>386</v>
      </c>
      <c r="L77">
        <v>1191</v>
      </c>
      <c r="N77">
        <v>1013</v>
      </c>
      <c r="O77" t="s">
        <v>387</v>
      </c>
      <c r="P77" t="s">
        <v>387</v>
      </c>
      <c r="Q77">
        <v>1</v>
      </c>
      <c r="W77">
        <v>0</v>
      </c>
      <c r="X77">
        <v>476480486</v>
      </c>
      <c r="Y77">
        <f>((AT77*1.2)*0.8)</f>
        <v>23.808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1</v>
      </c>
      <c r="AJ77">
        <v>1</v>
      </c>
      <c r="AK77">
        <v>1</v>
      </c>
      <c r="AL77">
        <v>1</v>
      </c>
      <c r="AM77">
        <v>-2</v>
      </c>
      <c r="AN77">
        <v>0</v>
      </c>
      <c r="AO77">
        <v>1</v>
      </c>
      <c r="AP77">
        <v>1</v>
      </c>
      <c r="AQ77">
        <v>0</v>
      </c>
      <c r="AR77">
        <v>0</v>
      </c>
      <c r="AS77" t="s">
        <v>3</v>
      </c>
      <c r="AT77">
        <v>24.8</v>
      </c>
      <c r="AU77" t="s">
        <v>87</v>
      </c>
      <c r="AV77">
        <v>1</v>
      </c>
      <c r="AW77">
        <v>2</v>
      </c>
      <c r="AX77">
        <v>57014902</v>
      </c>
      <c r="AY77">
        <v>1</v>
      </c>
      <c r="AZ77">
        <v>0</v>
      </c>
      <c r="BA77">
        <v>97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CU77">
        <f>ROUND(AT77*Source!I50*AH77*AL77,2)</f>
        <v>0</v>
      </c>
      <c r="CV77">
        <f>ROUND(Y77*Source!I50,9)</f>
        <v>2.6188799999999999</v>
      </c>
      <c r="CW77">
        <v>0</v>
      </c>
      <c r="CX77">
        <f>ROUND(Y77*Source!I50,9)</f>
        <v>2.6188799999999999</v>
      </c>
      <c r="CY77">
        <f>AD77</f>
        <v>0</v>
      </c>
      <c r="CZ77">
        <f>AH77</f>
        <v>0</v>
      </c>
      <c r="DA77">
        <f>AL77</f>
        <v>1</v>
      </c>
      <c r="DB77">
        <f>ROUND(((ROUND(AT77*CZ77,2)*1.2)*0.8),6)</f>
        <v>0</v>
      </c>
      <c r="DC77">
        <f>ROUND(((ROUND(AT77*AG77,2)*1.2)*0.8),6)</f>
        <v>0</v>
      </c>
      <c r="DD77" t="s">
        <v>3</v>
      </c>
      <c r="DE77" t="s">
        <v>3</v>
      </c>
      <c r="DF77">
        <f t="shared" ref="DF77:DF84" si="18">ROUND(ROUND(AE77,2)*CX77,2)</f>
        <v>0</v>
      </c>
      <c r="DG77">
        <f t="shared" si="17"/>
        <v>0</v>
      </c>
      <c r="DH77">
        <f t="shared" si="14"/>
        <v>0</v>
      </c>
      <c r="DI77">
        <f t="shared" si="16"/>
        <v>0</v>
      </c>
      <c r="DJ77">
        <f>DI77</f>
        <v>0</v>
      </c>
      <c r="DK77">
        <v>0</v>
      </c>
      <c r="DL77" t="s">
        <v>3</v>
      </c>
      <c r="DM77">
        <v>0</v>
      </c>
      <c r="DN77" t="s">
        <v>3</v>
      </c>
      <c r="DO77">
        <v>0</v>
      </c>
    </row>
    <row r="78" spans="1:119" x14ac:dyDescent="0.25">
      <c r="A78">
        <f>ROW(Source!A50)</f>
        <v>50</v>
      </c>
      <c r="B78">
        <v>57014138</v>
      </c>
      <c r="C78">
        <v>57014896</v>
      </c>
      <c r="D78">
        <v>55490209</v>
      </c>
      <c r="E78">
        <v>1</v>
      </c>
      <c r="F78">
        <v>1</v>
      </c>
      <c r="G78">
        <v>1081</v>
      </c>
      <c r="H78">
        <v>2</v>
      </c>
      <c r="I78" t="s">
        <v>460</v>
      </c>
      <c r="J78" t="s">
        <v>461</v>
      </c>
      <c r="K78" t="s">
        <v>462</v>
      </c>
      <c r="L78">
        <v>1368</v>
      </c>
      <c r="N78">
        <v>1011</v>
      </c>
      <c r="O78" t="s">
        <v>391</v>
      </c>
      <c r="P78" t="s">
        <v>391</v>
      </c>
      <c r="Q78">
        <v>1</v>
      </c>
      <c r="W78">
        <v>0</v>
      </c>
      <c r="X78">
        <v>874612079</v>
      </c>
      <c r="Y78">
        <f>((AT78*1.2)*0.8)</f>
        <v>1.9200000000000002E-2</v>
      </c>
      <c r="AA78">
        <v>0</v>
      </c>
      <c r="AB78">
        <v>88.67</v>
      </c>
      <c r="AC78">
        <v>13.47</v>
      </c>
      <c r="AD78">
        <v>0</v>
      </c>
      <c r="AE78">
        <v>0</v>
      </c>
      <c r="AF78">
        <v>83.1</v>
      </c>
      <c r="AG78">
        <v>12.62</v>
      </c>
      <c r="AH78">
        <v>0</v>
      </c>
      <c r="AI78">
        <v>1</v>
      </c>
      <c r="AJ78">
        <v>1</v>
      </c>
      <c r="AK78">
        <v>1</v>
      </c>
      <c r="AL78">
        <v>1</v>
      </c>
      <c r="AM78">
        <v>-2</v>
      </c>
      <c r="AN78">
        <v>0</v>
      </c>
      <c r="AO78">
        <v>1</v>
      </c>
      <c r="AP78">
        <v>1</v>
      </c>
      <c r="AQ78">
        <v>0</v>
      </c>
      <c r="AR78">
        <v>0</v>
      </c>
      <c r="AS78" t="s">
        <v>3</v>
      </c>
      <c r="AT78">
        <v>0.02</v>
      </c>
      <c r="AU78" t="s">
        <v>87</v>
      </c>
      <c r="AV78">
        <v>0</v>
      </c>
      <c r="AW78">
        <v>2</v>
      </c>
      <c r="AX78">
        <v>57014903</v>
      </c>
      <c r="AY78">
        <v>1</v>
      </c>
      <c r="AZ78">
        <v>0</v>
      </c>
      <c r="BA78">
        <v>98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CV78">
        <v>0</v>
      </c>
      <c r="CW78">
        <f>ROUND(Y78*Source!I50*DO78,9)</f>
        <v>2.665344E-2</v>
      </c>
      <c r="CX78">
        <f>ROUND(Y78*Source!I50,9)</f>
        <v>2.1120000000000002E-3</v>
      </c>
      <c r="CY78">
        <f>AB78</f>
        <v>88.67</v>
      </c>
      <c r="CZ78">
        <f>AF78</f>
        <v>83.1</v>
      </c>
      <c r="DA78">
        <f>AJ78</f>
        <v>1</v>
      </c>
      <c r="DB78">
        <f>ROUND(((ROUND(AT78*CZ78,2)*1.2)*0.8),6)</f>
        <v>1.5935999999999999</v>
      </c>
      <c r="DC78">
        <f>ROUND(((ROUND(AT78*AG78,2)*1.2)*0.8),6)</f>
        <v>0.24</v>
      </c>
      <c r="DD78" t="s">
        <v>3</v>
      </c>
      <c r="DE78" t="s">
        <v>3</v>
      </c>
      <c r="DF78">
        <f t="shared" si="18"/>
        <v>0</v>
      </c>
      <c r="DG78">
        <f t="shared" si="17"/>
        <v>0.18</v>
      </c>
      <c r="DH78">
        <f t="shared" si="14"/>
        <v>0.03</v>
      </c>
      <c r="DI78">
        <f t="shared" si="16"/>
        <v>0</v>
      </c>
      <c r="DJ78">
        <f>DG78</f>
        <v>0.18</v>
      </c>
      <c r="DK78">
        <v>0</v>
      </c>
      <c r="DL78" t="s">
        <v>392</v>
      </c>
      <c r="DM78">
        <v>0</v>
      </c>
      <c r="DN78" t="s">
        <v>387</v>
      </c>
      <c r="DO78">
        <v>12.62</v>
      </c>
    </row>
    <row r="79" spans="1:119" x14ac:dyDescent="0.25">
      <c r="A79">
        <f>ROW(Source!A50)</f>
        <v>50</v>
      </c>
      <c r="B79">
        <v>57014138</v>
      </c>
      <c r="C79">
        <v>57014896</v>
      </c>
      <c r="D79">
        <v>55490263</v>
      </c>
      <c r="E79">
        <v>1</v>
      </c>
      <c r="F79">
        <v>1</v>
      </c>
      <c r="G79">
        <v>1081</v>
      </c>
      <c r="H79">
        <v>2</v>
      </c>
      <c r="I79" t="s">
        <v>445</v>
      </c>
      <c r="J79" t="s">
        <v>446</v>
      </c>
      <c r="K79" t="s">
        <v>447</v>
      </c>
      <c r="L79">
        <v>1368</v>
      </c>
      <c r="N79">
        <v>1011</v>
      </c>
      <c r="O79" t="s">
        <v>391</v>
      </c>
      <c r="P79" t="s">
        <v>391</v>
      </c>
      <c r="Q79">
        <v>1</v>
      </c>
      <c r="W79">
        <v>0</v>
      </c>
      <c r="X79">
        <v>-1895752648</v>
      </c>
      <c r="Y79">
        <f>((AT79*1.2)*0.8)</f>
        <v>7.68</v>
      </c>
      <c r="AA79">
        <v>0</v>
      </c>
      <c r="AB79">
        <v>0.82</v>
      </c>
      <c r="AC79">
        <v>0</v>
      </c>
      <c r="AD79">
        <v>0</v>
      </c>
      <c r="AE79">
        <v>0</v>
      </c>
      <c r="AF79">
        <v>0.77</v>
      </c>
      <c r="AG79">
        <v>0</v>
      </c>
      <c r="AH79">
        <v>0</v>
      </c>
      <c r="AI79">
        <v>1</v>
      </c>
      <c r="AJ79">
        <v>1</v>
      </c>
      <c r="AK79">
        <v>1</v>
      </c>
      <c r="AL79">
        <v>1</v>
      </c>
      <c r="AM79">
        <v>-2</v>
      </c>
      <c r="AN79">
        <v>0</v>
      </c>
      <c r="AO79">
        <v>1</v>
      </c>
      <c r="AP79">
        <v>1</v>
      </c>
      <c r="AQ79">
        <v>0</v>
      </c>
      <c r="AR79">
        <v>0</v>
      </c>
      <c r="AS79" t="s">
        <v>3</v>
      </c>
      <c r="AT79">
        <v>8</v>
      </c>
      <c r="AU79" t="s">
        <v>87</v>
      </c>
      <c r="AV79">
        <v>0</v>
      </c>
      <c r="AW79">
        <v>2</v>
      </c>
      <c r="AX79">
        <v>57014904</v>
      </c>
      <c r="AY79">
        <v>1</v>
      </c>
      <c r="AZ79">
        <v>0</v>
      </c>
      <c r="BA79">
        <v>99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CV79">
        <v>0</v>
      </c>
      <c r="CW79">
        <f>ROUND(Y79*Source!I50*DO79,9)</f>
        <v>0</v>
      </c>
      <c r="CX79">
        <f>ROUND(Y79*Source!I50,9)</f>
        <v>0.8448</v>
      </c>
      <c r="CY79">
        <f>AB79</f>
        <v>0.82</v>
      </c>
      <c r="CZ79">
        <f>AF79</f>
        <v>0.77</v>
      </c>
      <c r="DA79">
        <f>AJ79</f>
        <v>1</v>
      </c>
      <c r="DB79">
        <f>ROUND(((ROUND(AT79*CZ79,2)*1.2)*0.8),6)</f>
        <v>5.9135999999999997</v>
      </c>
      <c r="DC79">
        <f>ROUND(((ROUND(AT79*AG79,2)*1.2)*0.8),6)</f>
        <v>0</v>
      </c>
      <c r="DD79" t="s">
        <v>3</v>
      </c>
      <c r="DE79" t="s">
        <v>3</v>
      </c>
      <c r="DF79">
        <f t="shared" si="18"/>
        <v>0</v>
      </c>
      <c r="DG79">
        <f t="shared" si="17"/>
        <v>0.65</v>
      </c>
      <c r="DH79">
        <f t="shared" si="14"/>
        <v>0</v>
      </c>
      <c r="DI79">
        <f t="shared" si="16"/>
        <v>0</v>
      </c>
      <c r="DJ79">
        <f>DG79</f>
        <v>0.65</v>
      </c>
      <c r="DK79">
        <v>0</v>
      </c>
      <c r="DL79" t="s">
        <v>3</v>
      </c>
      <c r="DM79">
        <v>0</v>
      </c>
      <c r="DN79" t="s">
        <v>3</v>
      </c>
      <c r="DO79">
        <v>0</v>
      </c>
    </row>
    <row r="80" spans="1:119" x14ac:dyDescent="0.25">
      <c r="A80">
        <f>ROW(Source!A50)</f>
        <v>50</v>
      </c>
      <c r="B80">
        <v>57014138</v>
      </c>
      <c r="C80">
        <v>57014896</v>
      </c>
      <c r="D80">
        <v>55460658</v>
      </c>
      <c r="E80">
        <v>1</v>
      </c>
      <c r="F80">
        <v>1</v>
      </c>
      <c r="G80">
        <v>1081</v>
      </c>
      <c r="H80">
        <v>3</v>
      </c>
      <c r="I80" t="s">
        <v>463</v>
      </c>
      <c r="J80" t="s">
        <v>464</v>
      </c>
      <c r="K80" t="s">
        <v>465</v>
      </c>
      <c r="L80">
        <v>1296</v>
      </c>
      <c r="N80">
        <v>1002</v>
      </c>
      <c r="O80" t="s">
        <v>466</v>
      </c>
      <c r="P80" t="s">
        <v>466</v>
      </c>
      <c r="Q80">
        <v>1</v>
      </c>
      <c r="W80">
        <v>0</v>
      </c>
      <c r="X80">
        <v>1977302506</v>
      </c>
      <c r="Y80">
        <f>((AT80*1)*0)</f>
        <v>0</v>
      </c>
      <c r="AA80">
        <v>84.21</v>
      </c>
      <c r="AB80">
        <v>0</v>
      </c>
      <c r="AC80">
        <v>0</v>
      </c>
      <c r="AD80">
        <v>0</v>
      </c>
      <c r="AE80">
        <v>84.21</v>
      </c>
      <c r="AF80">
        <v>0</v>
      </c>
      <c r="AG80">
        <v>0</v>
      </c>
      <c r="AH80">
        <v>0</v>
      </c>
      <c r="AI80">
        <v>1</v>
      </c>
      <c r="AJ80">
        <v>1</v>
      </c>
      <c r="AK80">
        <v>1</v>
      </c>
      <c r="AL80">
        <v>1</v>
      </c>
      <c r="AM80">
        <v>-2</v>
      </c>
      <c r="AN80">
        <v>0</v>
      </c>
      <c r="AO80">
        <v>1</v>
      </c>
      <c r="AP80">
        <v>1</v>
      </c>
      <c r="AQ80">
        <v>0</v>
      </c>
      <c r="AR80">
        <v>0</v>
      </c>
      <c r="AS80" t="s">
        <v>3</v>
      </c>
      <c r="AT80">
        <v>2.1267</v>
      </c>
      <c r="AU80" t="s">
        <v>29</v>
      </c>
      <c r="AV80">
        <v>0</v>
      </c>
      <c r="AW80">
        <v>2</v>
      </c>
      <c r="AX80">
        <v>57014905</v>
      </c>
      <c r="AY80">
        <v>1</v>
      </c>
      <c r="AZ80">
        <v>0</v>
      </c>
      <c r="BA80">
        <v>100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CV80">
        <v>0</v>
      </c>
      <c r="CW80">
        <v>0</v>
      </c>
      <c r="CX80">
        <f>ROUND(Y80*Source!I50,9)</f>
        <v>0</v>
      </c>
      <c r="CY80">
        <f>AA80</f>
        <v>84.21</v>
      </c>
      <c r="CZ80">
        <f>AE80</f>
        <v>84.21</v>
      </c>
      <c r="DA80">
        <f>AI80</f>
        <v>1</v>
      </c>
      <c r="DB80">
        <f>ROUND(((ROUND(AT80*CZ80,2)*1)*0),6)</f>
        <v>0</v>
      </c>
      <c r="DC80">
        <f>ROUND(((ROUND(AT80*AG80,2)*1)*0),6)</f>
        <v>0</v>
      </c>
      <c r="DD80" t="s">
        <v>3</v>
      </c>
      <c r="DE80" t="s">
        <v>3</v>
      </c>
      <c r="DF80">
        <f t="shared" si="18"/>
        <v>0</v>
      </c>
      <c r="DG80">
        <f t="shared" si="17"/>
        <v>0</v>
      </c>
      <c r="DH80">
        <f t="shared" si="14"/>
        <v>0</v>
      </c>
      <c r="DI80">
        <f t="shared" si="16"/>
        <v>0</v>
      </c>
      <c r="DJ80">
        <f>DF80</f>
        <v>0</v>
      </c>
      <c r="DK80">
        <v>0</v>
      </c>
      <c r="DL80" t="s">
        <v>3</v>
      </c>
      <c r="DM80">
        <v>0</v>
      </c>
      <c r="DN80" t="s">
        <v>3</v>
      </c>
      <c r="DO80">
        <v>0</v>
      </c>
    </row>
    <row r="81" spans="1:119" x14ac:dyDescent="0.25">
      <c r="A81">
        <f>ROW(Source!A50)</f>
        <v>50</v>
      </c>
      <c r="B81">
        <v>57014138</v>
      </c>
      <c r="C81">
        <v>57014896</v>
      </c>
      <c r="D81">
        <v>55461822</v>
      </c>
      <c r="E81">
        <v>1</v>
      </c>
      <c r="F81">
        <v>1</v>
      </c>
      <c r="G81">
        <v>1081</v>
      </c>
      <c r="H81">
        <v>3</v>
      </c>
      <c r="I81" t="s">
        <v>467</v>
      </c>
      <c r="J81" t="s">
        <v>468</v>
      </c>
      <c r="K81" t="s">
        <v>469</v>
      </c>
      <c r="L81">
        <v>1355</v>
      </c>
      <c r="N81">
        <v>1010</v>
      </c>
      <c r="O81" t="s">
        <v>64</v>
      </c>
      <c r="P81" t="s">
        <v>64</v>
      </c>
      <c r="Q81">
        <v>100</v>
      </c>
      <c r="W81">
        <v>0</v>
      </c>
      <c r="X81">
        <v>-1633148487</v>
      </c>
      <c r="Y81">
        <f>((AT81*1)*0)</f>
        <v>0</v>
      </c>
      <c r="AA81">
        <v>43.8</v>
      </c>
      <c r="AB81">
        <v>0</v>
      </c>
      <c r="AC81">
        <v>0</v>
      </c>
      <c r="AD81">
        <v>0</v>
      </c>
      <c r="AE81">
        <v>43.8</v>
      </c>
      <c r="AF81">
        <v>0</v>
      </c>
      <c r="AG81">
        <v>0</v>
      </c>
      <c r="AH81">
        <v>0</v>
      </c>
      <c r="AI81">
        <v>1</v>
      </c>
      <c r="AJ81">
        <v>1</v>
      </c>
      <c r="AK81">
        <v>1</v>
      </c>
      <c r="AL81">
        <v>1</v>
      </c>
      <c r="AM81">
        <v>-2</v>
      </c>
      <c r="AN81">
        <v>0</v>
      </c>
      <c r="AO81">
        <v>1</v>
      </c>
      <c r="AP81">
        <v>1</v>
      </c>
      <c r="AQ81">
        <v>0</v>
      </c>
      <c r="AR81">
        <v>0</v>
      </c>
      <c r="AS81" t="s">
        <v>3</v>
      </c>
      <c r="AT81">
        <v>4.04</v>
      </c>
      <c r="AU81" t="s">
        <v>29</v>
      </c>
      <c r="AV81">
        <v>0</v>
      </c>
      <c r="AW81">
        <v>2</v>
      </c>
      <c r="AX81">
        <v>57014906</v>
      </c>
      <c r="AY81">
        <v>1</v>
      </c>
      <c r="AZ81">
        <v>0</v>
      </c>
      <c r="BA81">
        <v>101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CV81">
        <v>0</v>
      </c>
      <c r="CW81">
        <v>0</v>
      </c>
      <c r="CX81">
        <f>ROUND(Y81*Source!I50,9)</f>
        <v>0</v>
      </c>
      <c r="CY81">
        <f>AA81</f>
        <v>43.8</v>
      </c>
      <c r="CZ81">
        <f>AE81</f>
        <v>43.8</v>
      </c>
      <c r="DA81">
        <f>AI81</f>
        <v>1</v>
      </c>
      <c r="DB81">
        <f>ROUND(((ROUND(AT81*CZ81,2)*1)*0),6)</f>
        <v>0</v>
      </c>
      <c r="DC81">
        <f>ROUND(((ROUND(AT81*AG81,2)*1)*0),6)</f>
        <v>0</v>
      </c>
      <c r="DD81" t="s">
        <v>3</v>
      </c>
      <c r="DE81" t="s">
        <v>3</v>
      </c>
      <c r="DF81">
        <f t="shared" si="18"/>
        <v>0</v>
      </c>
      <c r="DG81">
        <f t="shared" si="17"/>
        <v>0</v>
      </c>
      <c r="DH81">
        <f t="shared" si="14"/>
        <v>0</v>
      </c>
      <c r="DI81">
        <f t="shared" si="16"/>
        <v>0</v>
      </c>
      <c r="DJ81">
        <f>DF81</f>
        <v>0</v>
      </c>
      <c r="DK81">
        <v>0</v>
      </c>
      <c r="DL81" t="s">
        <v>3</v>
      </c>
      <c r="DM81">
        <v>0</v>
      </c>
      <c r="DN81" t="s">
        <v>3</v>
      </c>
      <c r="DO81">
        <v>0</v>
      </c>
    </row>
    <row r="82" spans="1:119" x14ac:dyDescent="0.25">
      <c r="A82">
        <f>ROW(Source!A51)</f>
        <v>51</v>
      </c>
      <c r="B82">
        <v>57014140</v>
      </c>
      <c r="C82">
        <v>57014896</v>
      </c>
      <c r="D82">
        <v>55424304</v>
      </c>
      <c r="E82">
        <v>1081</v>
      </c>
      <c r="F82">
        <v>1</v>
      </c>
      <c r="G82">
        <v>1081</v>
      </c>
      <c r="H82">
        <v>1</v>
      </c>
      <c r="I82" t="s">
        <v>385</v>
      </c>
      <c r="J82" t="s">
        <v>3</v>
      </c>
      <c r="K82" t="s">
        <v>386</v>
      </c>
      <c r="L82">
        <v>1191</v>
      </c>
      <c r="N82">
        <v>1013</v>
      </c>
      <c r="O82" t="s">
        <v>387</v>
      </c>
      <c r="P82" t="s">
        <v>387</v>
      </c>
      <c r="Q82">
        <v>1</v>
      </c>
      <c r="W82">
        <v>0</v>
      </c>
      <c r="X82">
        <v>476480486</v>
      </c>
      <c r="Y82">
        <f>((AT82*1.2)*0.8)</f>
        <v>23.808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1</v>
      </c>
      <c r="AJ82">
        <v>1</v>
      </c>
      <c r="AK82">
        <v>1</v>
      </c>
      <c r="AL82">
        <v>1</v>
      </c>
      <c r="AM82">
        <v>5</v>
      </c>
      <c r="AN82">
        <v>0</v>
      </c>
      <c r="AO82">
        <v>1</v>
      </c>
      <c r="AP82">
        <v>1</v>
      </c>
      <c r="AQ82">
        <v>0</v>
      </c>
      <c r="AR82">
        <v>0</v>
      </c>
      <c r="AS82" t="s">
        <v>3</v>
      </c>
      <c r="AT82">
        <v>24.8</v>
      </c>
      <c r="AU82" t="s">
        <v>87</v>
      </c>
      <c r="AV82">
        <v>1</v>
      </c>
      <c r="AW82">
        <v>2</v>
      </c>
      <c r="AX82">
        <v>57014902</v>
      </c>
      <c r="AY82">
        <v>1</v>
      </c>
      <c r="AZ82">
        <v>0</v>
      </c>
      <c r="BA82">
        <v>104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CU82">
        <f>ROUND(AT82*Source!I51*AH82*AL82,2)</f>
        <v>0</v>
      </c>
      <c r="CV82">
        <f>ROUND(Y82*Source!I51,9)</f>
        <v>2.6188799999999999</v>
      </c>
      <c r="CW82">
        <v>0</v>
      </c>
      <c r="CX82">
        <f>ROUND(Y82*Source!I51,9)</f>
        <v>2.6188799999999999</v>
      </c>
      <c r="CY82">
        <f>AD82</f>
        <v>0</v>
      </c>
      <c r="CZ82">
        <f>AH82</f>
        <v>0</v>
      </c>
      <c r="DA82">
        <f>AL82</f>
        <v>1</v>
      </c>
      <c r="DB82">
        <f>ROUND(((ROUND(AT82*CZ82,2)*1.2)*0.8),6)</f>
        <v>0</v>
      </c>
      <c r="DC82">
        <f>ROUND(((ROUND(AT82*AG82,2)*1.2)*0.8),6)</f>
        <v>0</v>
      </c>
      <c r="DD82" t="s">
        <v>3</v>
      </c>
      <c r="DE82" t="s">
        <v>3</v>
      </c>
      <c r="DF82">
        <f t="shared" si="18"/>
        <v>0</v>
      </c>
      <c r="DG82">
        <f t="shared" si="17"/>
        <v>0</v>
      </c>
      <c r="DH82">
        <f t="shared" si="14"/>
        <v>0</v>
      </c>
      <c r="DI82">
        <f t="shared" si="16"/>
        <v>0</v>
      </c>
      <c r="DJ82">
        <f>DI82</f>
        <v>0</v>
      </c>
      <c r="DK82">
        <v>0</v>
      </c>
      <c r="DL82" t="s">
        <v>3</v>
      </c>
      <c r="DM82">
        <v>0</v>
      </c>
      <c r="DN82" t="s">
        <v>3</v>
      </c>
      <c r="DO82">
        <v>0</v>
      </c>
    </row>
    <row r="83" spans="1:119" x14ac:dyDescent="0.25">
      <c r="A83">
        <f>ROW(Source!A51)</f>
        <v>51</v>
      </c>
      <c r="B83">
        <v>57014140</v>
      </c>
      <c r="C83">
        <v>57014896</v>
      </c>
      <c r="D83">
        <v>55490209</v>
      </c>
      <c r="E83">
        <v>1</v>
      </c>
      <c r="F83">
        <v>1</v>
      </c>
      <c r="G83">
        <v>1081</v>
      </c>
      <c r="H83">
        <v>2</v>
      </c>
      <c r="I83" t="s">
        <v>460</v>
      </c>
      <c r="J83" t="s">
        <v>461</v>
      </c>
      <c r="K83" t="s">
        <v>462</v>
      </c>
      <c r="L83">
        <v>1368</v>
      </c>
      <c r="N83">
        <v>1011</v>
      </c>
      <c r="O83" t="s">
        <v>391</v>
      </c>
      <c r="P83" t="s">
        <v>391</v>
      </c>
      <c r="Q83">
        <v>1</v>
      </c>
      <c r="W83">
        <v>0</v>
      </c>
      <c r="X83">
        <v>874612079</v>
      </c>
      <c r="Y83">
        <f>((AT83*1.2)*0.8)</f>
        <v>1.9200000000000002E-2</v>
      </c>
      <c r="AA83">
        <v>0</v>
      </c>
      <c r="AB83">
        <v>1513.56</v>
      </c>
      <c r="AC83">
        <v>758.78</v>
      </c>
      <c r="AD83">
        <v>0</v>
      </c>
      <c r="AE83">
        <v>0</v>
      </c>
      <c r="AF83">
        <v>83.1</v>
      </c>
      <c r="AG83">
        <v>12.62</v>
      </c>
      <c r="AH83">
        <v>0</v>
      </c>
      <c r="AI83">
        <v>1</v>
      </c>
      <c r="AJ83">
        <v>17.07</v>
      </c>
      <c r="AK83">
        <v>56.35</v>
      </c>
      <c r="AL83">
        <v>1</v>
      </c>
      <c r="AM83">
        <v>2</v>
      </c>
      <c r="AN83">
        <v>0</v>
      </c>
      <c r="AO83">
        <v>1</v>
      </c>
      <c r="AP83">
        <v>1</v>
      </c>
      <c r="AQ83">
        <v>0</v>
      </c>
      <c r="AR83">
        <v>0</v>
      </c>
      <c r="AS83" t="s">
        <v>3</v>
      </c>
      <c r="AT83">
        <v>0.02</v>
      </c>
      <c r="AU83" t="s">
        <v>87</v>
      </c>
      <c r="AV83">
        <v>0</v>
      </c>
      <c r="AW83">
        <v>2</v>
      </c>
      <c r="AX83">
        <v>57014903</v>
      </c>
      <c r="AY83">
        <v>1</v>
      </c>
      <c r="AZ83">
        <v>0</v>
      </c>
      <c r="BA83">
        <v>105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CV83">
        <v>0</v>
      </c>
      <c r="CW83">
        <f>ROUND(Y83*Source!I51*DO83,9)</f>
        <v>2.665344E-2</v>
      </c>
      <c r="CX83">
        <f>ROUND(Y83*Source!I51,9)</f>
        <v>2.1120000000000002E-3</v>
      </c>
      <c r="CY83">
        <f>AB83</f>
        <v>1513.56</v>
      </c>
      <c r="CZ83">
        <f>AF83</f>
        <v>83.1</v>
      </c>
      <c r="DA83">
        <f>AJ83</f>
        <v>17.07</v>
      </c>
      <c r="DB83">
        <f>ROUND(((ROUND(AT83*CZ83,2)*1.2)*0.8),6)</f>
        <v>1.5935999999999999</v>
      </c>
      <c r="DC83">
        <f>ROUND(((ROUND(AT83*AG83,2)*1.2)*0.8),6)</f>
        <v>0.24</v>
      </c>
      <c r="DD83" t="s">
        <v>3</v>
      </c>
      <c r="DE83" t="s">
        <v>3</v>
      </c>
      <c r="DF83">
        <f t="shared" si="18"/>
        <v>0</v>
      </c>
      <c r="DG83">
        <f>ROUND(ROUND(AF83*AJ83,2)*CX83,2)</f>
        <v>3</v>
      </c>
      <c r="DH83">
        <f>ROUND(ROUND(AG83*AK83,2)*CX83,2)</f>
        <v>1.5</v>
      </c>
      <c r="DI83">
        <f t="shared" si="16"/>
        <v>0</v>
      </c>
      <c r="DJ83">
        <f>DG83</f>
        <v>3</v>
      </c>
      <c r="DK83">
        <v>0</v>
      </c>
      <c r="DL83" t="s">
        <v>392</v>
      </c>
      <c r="DM83">
        <v>0</v>
      </c>
      <c r="DN83" t="s">
        <v>387</v>
      </c>
      <c r="DO83">
        <v>12.62</v>
      </c>
    </row>
    <row r="84" spans="1:119" x14ac:dyDescent="0.25">
      <c r="A84">
        <f>ROW(Source!A51)</f>
        <v>51</v>
      </c>
      <c r="B84">
        <v>57014140</v>
      </c>
      <c r="C84">
        <v>57014896</v>
      </c>
      <c r="D84">
        <v>55490263</v>
      </c>
      <c r="E84">
        <v>1</v>
      </c>
      <c r="F84">
        <v>1</v>
      </c>
      <c r="G84">
        <v>1081</v>
      </c>
      <c r="H84">
        <v>2</v>
      </c>
      <c r="I84" t="s">
        <v>445</v>
      </c>
      <c r="J84" t="s">
        <v>446</v>
      </c>
      <c r="K84" t="s">
        <v>447</v>
      </c>
      <c r="L84">
        <v>1368</v>
      </c>
      <c r="N84">
        <v>1011</v>
      </c>
      <c r="O84" t="s">
        <v>391</v>
      </c>
      <c r="P84" t="s">
        <v>391</v>
      </c>
      <c r="Q84">
        <v>1</v>
      </c>
      <c r="W84">
        <v>0</v>
      </c>
      <c r="X84">
        <v>-1895752648</v>
      </c>
      <c r="Y84">
        <f>((AT84*1.2)*0.8)</f>
        <v>7.68</v>
      </c>
      <c r="AA84">
        <v>0</v>
      </c>
      <c r="AB84">
        <v>7.85</v>
      </c>
      <c r="AC84">
        <v>0</v>
      </c>
      <c r="AD84">
        <v>0</v>
      </c>
      <c r="AE84">
        <v>0</v>
      </c>
      <c r="AF84">
        <v>0.77</v>
      </c>
      <c r="AG84">
        <v>0</v>
      </c>
      <c r="AH84">
        <v>0</v>
      </c>
      <c r="AI84">
        <v>1</v>
      </c>
      <c r="AJ84">
        <v>9.56</v>
      </c>
      <c r="AK84">
        <v>1</v>
      </c>
      <c r="AL84">
        <v>1</v>
      </c>
      <c r="AM84">
        <v>2</v>
      </c>
      <c r="AN84">
        <v>0</v>
      </c>
      <c r="AO84">
        <v>1</v>
      </c>
      <c r="AP84">
        <v>1</v>
      </c>
      <c r="AQ84">
        <v>0</v>
      </c>
      <c r="AR84">
        <v>0</v>
      </c>
      <c r="AS84" t="s">
        <v>3</v>
      </c>
      <c r="AT84">
        <v>8</v>
      </c>
      <c r="AU84" t="s">
        <v>87</v>
      </c>
      <c r="AV84">
        <v>0</v>
      </c>
      <c r="AW84">
        <v>2</v>
      </c>
      <c r="AX84">
        <v>57014904</v>
      </c>
      <c r="AY84">
        <v>1</v>
      </c>
      <c r="AZ84">
        <v>0</v>
      </c>
      <c r="BA84">
        <v>106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CV84">
        <v>0</v>
      </c>
      <c r="CW84">
        <f>ROUND(Y84*Source!I51*DO84,9)</f>
        <v>0</v>
      </c>
      <c r="CX84">
        <f>ROUND(Y84*Source!I51,9)</f>
        <v>0.8448</v>
      </c>
      <c r="CY84">
        <f>AB84</f>
        <v>7.85</v>
      </c>
      <c r="CZ84">
        <f>AF84</f>
        <v>0.77</v>
      </c>
      <c r="DA84">
        <f>AJ84</f>
        <v>9.56</v>
      </c>
      <c r="DB84">
        <f>ROUND(((ROUND(AT84*CZ84,2)*1.2)*0.8),6)</f>
        <v>5.9135999999999997</v>
      </c>
      <c r="DC84">
        <f>ROUND(((ROUND(AT84*AG84,2)*1.2)*0.8),6)</f>
        <v>0</v>
      </c>
      <c r="DD84" t="s">
        <v>3</v>
      </c>
      <c r="DE84" t="s">
        <v>3</v>
      </c>
      <c r="DF84">
        <f t="shared" si="18"/>
        <v>0</v>
      </c>
      <c r="DG84">
        <f>ROUND(ROUND(AF84*AJ84,2)*CX84,2)</f>
        <v>6.22</v>
      </c>
      <c r="DH84">
        <f t="shared" ref="DH84:DH92" si="19">ROUND(ROUND(AG84,2)*CX84,2)</f>
        <v>0</v>
      </c>
      <c r="DI84">
        <f t="shared" si="16"/>
        <v>0</v>
      </c>
      <c r="DJ84">
        <f>DG84</f>
        <v>6.22</v>
      </c>
      <c r="DK84">
        <v>0</v>
      </c>
      <c r="DL84" t="s">
        <v>3</v>
      </c>
      <c r="DM84">
        <v>0</v>
      </c>
      <c r="DN84" t="s">
        <v>3</v>
      </c>
      <c r="DO84">
        <v>0</v>
      </c>
    </row>
    <row r="85" spans="1:119" x14ac:dyDescent="0.25">
      <c r="A85">
        <f>ROW(Source!A51)</f>
        <v>51</v>
      </c>
      <c r="B85">
        <v>57014140</v>
      </c>
      <c r="C85">
        <v>57014896</v>
      </c>
      <c r="D85">
        <v>55460658</v>
      </c>
      <c r="E85">
        <v>1</v>
      </c>
      <c r="F85">
        <v>1</v>
      </c>
      <c r="G85">
        <v>1081</v>
      </c>
      <c r="H85">
        <v>3</v>
      </c>
      <c r="I85" t="s">
        <v>463</v>
      </c>
      <c r="J85" t="s">
        <v>464</v>
      </c>
      <c r="K85" t="s">
        <v>465</v>
      </c>
      <c r="L85">
        <v>1296</v>
      </c>
      <c r="N85">
        <v>1002</v>
      </c>
      <c r="O85" t="s">
        <v>466</v>
      </c>
      <c r="P85" t="s">
        <v>466</v>
      </c>
      <c r="Q85">
        <v>1</v>
      </c>
      <c r="W85">
        <v>0</v>
      </c>
      <c r="X85">
        <v>1977302506</v>
      </c>
      <c r="Y85">
        <f>((AT85*1)*0)</f>
        <v>0</v>
      </c>
      <c r="AA85">
        <v>410.94</v>
      </c>
      <c r="AB85">
        <v>0</v>
      </c>
      <c r="AC85">
        <v>0</v>
      </c>
      <c r="AD85">
        <v>0</v>
      </c>
      <c r="AE85">
        <v>84.21</v>
      </c>
      <c r="AF85">
        <v>0</v>
      </c>
      <c r="AG85">
        <v>0</v>
      </c>
      <c r="AH85">
        <v>0</v>
      </c>
      <c r="AI85">
        <v>4.88</v>
      </c>
      <c r="AJ85">
        <v>1</v>
      </c>
      <c r="AK85">
        <v>1</v>
      </c>
      <c r="AL85">
        <v>1</v>
      </c>
      <c r="AM85">
        <v>2</v>
      </c>
      <c r="AN85">
        <v>0</v>
      </c>
      <c r="AO85">
        <v>1</v>
      </c>
      <c r="AP85">
        <v>1</v>
      </c>
      <c r="AQ85">
        <v>0</v>
      </c>
      <c r="AR85">
        <v>0</v>
      </c>
      <c r="AS85" t="s">
        <v>3</v>
      </c>
      <c r="AT85">
        <v>2.1267</v>
      </c>
      <c r="AU85" t="s">
        <v>29</v>
      </c>
      <c r="AV85">
        <v>0</v>
      </c>
      <c r="AW85">
        <v>2</v>
      </c>
      <c r="AX85">
        <v>57014905</v>
      </c>
      <c r="AY85">
        <v>1</v>
      </c>
      <c r="AZ85">
        <v>0</v>
      </c>
      <c r="BA85">
        <v>107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CV85">
        <v>0</v>
      </c>
      <c r="CW85">
        <v>0</v>
      </c>
      <c r="CX85">
        <f>ROUND(Y85*Source!I51,9)</f>
        <v>0</v>
      </c>
      <c r="CY85">
        <f>AA85</f>
        <v>410.94</v>
      </c>
      <c r="CZ85">
        <f>AE85</f>
        <v>84.21</v>
      </c>
      <c r="DA85">
        <f>AI85</f>
        <v>4.88</v>
      </c>
      <c r="DB85">
        <f>ROUND(((ROUND(AT85*CZ85,2)*1)*0),6)</f>
        <v>0</v>
      </c>
      <c r="DC85">
        <f>ROUND(((ROUND(AT85*AG85,2)*1)*0),6)</f>
        <v>0</v>
      </c>
      <c r="DD85" t="s">
        <v>3</v>
      </c>
      <c r="DE85" t="s">
        <v>3</v>
      </c>
      <c r="DF85">
        <f>ROUND(ROUND(AE85*AI85,2)*CX85,2)</f>
        <v>0</v>
      </c>
      <c r="DG85">
        <f t="shared" ref="DG85:DG92" si="20">ROUND(ROUND(AF85,2)*CX85,2)</f>
        <v>0</v>
      </c>
      <c r="DH85">
        <f t="shared" si="19"/>
        <v>0</v>
      </c>
      <c r="DI85">
        <f t="shared" si="16"/>
        <v>0</v>
      </c>
      <c r="DJ85">
        <f>DF85</f>
        <v>0</v>
      </c>
      <c r="DK85">
        <v>0</v>
      </c>
      <c r="DL85" t="s">
        <v>3</v>
      </c>
      <c r="DM85">
        <v>0</v>
      </c>
      <c r="DN85" t="s">
        <v>3</v>
      </c>
      <c r="DO85">
        <v>0</v>
      </c>
    </row>
    <row r="86" spans="1:119" x14ac:dyDescent="0.25">
      <c r="A86">
        <f>ROW(Source!A51)</f>
        <v>51</v>
      </c>
      <c r="B86">
        <v>57014140</v>
      </c>
      <c r="C86">
        <v>57014896</v>
      </c>
      <c r="D86">
        <v>55461822</v>
      </c>
      <c r="E86">
        <v>1</v>
      </c>
      <c r="F86">
        <v>1</v>
      </c>
      <c r="G86">
        <v>1081</v>
      </c>
      <c r="H86">
        <v>3</v>
      </c>
      <c r="I86" t="s">
        <v>467</v>
      </c>
      <c r="J86" t="s">
        <v>468</v>
      </c>
      <c r="K86" t="s">
        <v>469</v>
      </c>
      <c r="L86">
        <v>1355</v>
      </c>
      <c r="N86">
        <v>1010</v>
      </c>
      <c r="O86" t="s">
        <v>64</v>
      </c>
      <c r="P86" t="s">
        <v>64</v>
      </c>
      <c r="Q86">
        <v>100</v>
      </c>
      <c r="W86">
        <v>0</v>
      </c>
      <c r="X86">
        <v>-1633148487</v>
      </c>
      <c r="Y86">
        <f>((AT86*1)*0)</f>
        <v>0</v>
      </c>
      <c r="AA86">
        <v>84.97</v>
      </c>
      <c r="AB86">
        <v>0</v>
      </c>
      <c r="AC86">
        <v>0</v>
      </c>
      <c r="AD86">
        <v>0</v>
      </c>
      <c r="AE86">
        <v>43.8</v>
      </c>
      <c r="AF86">
        <v>0</v>
      </c>
      <c r="AG86">
        <v>0</v>
      </c>
      <c r="AH86">
        <v>0</v>
      </c>
      <c r="AI86">
        <v>1.94</v>
      </c>
      <c r="AJ86">
        <v>1</v>
      </c>
      <c r="AK86">
        <v>1</v>
      </c>
      <c r="AL86">
        <v>1</v>
      </c>
      <c r="AM86">
        <v>2</v>
      </c>
      <c r="AN86">
        <v>0</v>
      </c>
      <c r="AO86">
        <v>1</v>
      </c>
      <c r="AP86">
        <v>1</v>
      </c>
      <c r="AQ86">
        <v>0</v>
      </c>
      <c r="AR86">
        <v>0</v>
      </c>
      <c r="AS86" t="s">
        <v>3</v>
      </c>
      <c r="AT86">
        <v>4.04</v>
      </c>
      <c r="AU86" t="s">
        <v>29</v>
      </c>
      <c r="AV86">
        <v>0</v>
      </c>
      <c r="AW86">
        <v>2</v>
      </c>
      <c r="AX86">
        <v>57014906</v>
      </c>
      <c r="AY86">
        <v>1</v>
      </c>
      <c r="AZ86">
        <v>0</v>
      </c>
      <c r="BA86">
        <v>108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CV86">
        <v>0</v>
      </c>
      <c r="CW86">
        <v>0</v>
      </c>
      <c r="CX86">
        <f>ROUND(Y86*Source!I51,9)</f>
        <v>0</v>
      </c>
      <c r="CY86">
        <f>AA86</f>
        <v>84.97</v>
      </c>
      <c r="CZ86">
        <f>AE86</f>
        <v>43.8</v>
      </c>
      <c r="DA86">
        <f>AI86</f>
        <v>1.94</v>
      </c>
      <c r="DB86">
        <f>ROUND(((ROUND(AT86*CZ86,2)*1)*0),6)</f>
        <v>0</v>
      </c>
      <c r="DC86">
        <f>ROUND(((ROUND(AT86*AG86,2)*1)*0),6)</f>
        <v>0</v>
      </c>
      <c r="DD86" t="s">
        <v>3</v>
      </c>
      <c r="DE86" t="s">
        <v>3</v>
      </c>
      <c r="DF86">
        <f>ROUND(ROUND(AE86*AI86,2)*CX86,2)</f>
        <v>0</v>
      </c>
      <c r="DG86">
        <f t="shared" si="20"/>
        <v>0</v>
      </c>
      <c r="DH86">
        <f t="shared" si="19"/>
        <v>0</v>
      </c>
      <c r="DI86">
        <f t="shared" si="16"/>
        <v>0</v>
      </c>
      <c r="DJ86">
        <f>DF86</f>
        <v>0</v>
      </c>
      <c r="DK86">
        <v>0</v>
      </c>
      <c r="DL86" t="s">
        <v>3</v>
      </c>
      <c r="DM86">
        <v>0</v>
      </c>
      <c r="DN86" t="s">
        <v>3</v>
      </c>
      <c r="DO86">
        <v>0</v>
      </c>
    </row>
    <row r="87" spans="1:119" x14ac:dyDescent="0.25">
      <c r="A87">
        <f>ROW(Source!A87)</f>
        <v>87</v>
      </c>
      <c r="B87">
        <v>57014138</v>
      </c>
      <c r="C87">
        <v>57014495</v>
      </c>
      <c r="D87">
        <v>55424304</v>
      </c>
      <c r="E87">
        <v>1081</v>
      </c>
      <c r="F87">
        <v>1</v>
      </c>
      <c r="G87">
        <v>1081</v>
      </c>
      <c r="H87">
        <v>1</v>
      </c>
      <c r="I87" t="s">
        <v>385</v>
      </c>
      <c r="J87" t="s">
        <v>3</v>
      </c>
      <c r="K87" t="s">
        <v>386</v>
      </c>
      <c r="L87">
        <v>1191</v>
      </c>
      <c r="N87">
        <v>1013</v>
      </c>
      <c r="O87" t="s">
        <v>387</v>
      </c>
      <c r="P87" t="s">
        <v>387</v>
      </c>
      <c r="Q87">
        <v>1</v>
      </c>
      <c r="W87">
        <v>0</v>
      </c>
      <c r="X87">
        <v>476480486</v>
      </c>
      <c r="Y87">
        <f>(AT87*1.2)</f>
        <v>16.079999999999998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1</v>
      </c>
      <c r="AJ87">
        <v>1</v>
      </c>
      <c r="AK87">
        <v>1</v>
      </c>
      <c r="AL87">
        <v>1</v>
      </c>
      <c r="AM87">
        <v>-2</v>
      </c>
      <c r="AN87">
        <v>0</v>
      </c>
      <c r="AO87">
        <v>1</v>
      </c>
      <c r="AP87">
        <v>1</v>
      </c>
      <c r="AQ87">
        <v>0</v>
      </c>
      <c r="AR87">
        <v>0</v>
      </c>
      <c r="AS87" t="s">
        <v>3</v>
      </c>
      <c r="AT87">
        <v>13.4</v>
      </c>
      <c r="AU87" t="s">
        <v>71</v>
      </c>
      <c r="AV87">
        <v>1</v>
      </c>
      <c r="AW87">
        <v>2</v>
      </c>
      <c r="AX87">
        <v>57014501</v>
      </c>
      <c r="AY87">
        <v>1</v>
      </c>
      <c r="AZ87">
        <v>0</v>
      </c>
      <c r="BA87">
        <v>111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CU87">
        <f>ROUND(AT87*Source!I87*AH87*AL87,2)</f>
        <v>0</v>
      </c>
      <c r="CV87">
        <f>ROUND(Y87*Source!I87,9)</f>
        <v>16.079999999999998</v>
      </c>
      <c r="CW87">
        <v>0</v>
      </c>
      <c r="CX87">
        <f>ROUND(Y87*Source!I87,9)</f>
        <v>16.079999999999998</v>
      </c>
      <c r="CY87">
        <f>AD87</f>
        <v>0</v>
      </c>
      <c r="CZ87">
        <f>AH87</f>
        <v>0</v>
      </c>
      <c r="DA87">
        <f>AL87</f>
        <v>1</v>
      </c>
      <c r="DB87">
        <f>ROUND((ROUND(AT87*CZ87,2)*1.2),6)</f>
        <v>0</v>
      </c>
      <c r="DC87">
        <f>ROUND((ROUND(AT87*AG87,2)*1.2),6)</f>
        <v>0</v>
      </c>
      <c r="DD87" t="s">
        <v>3</v>
      </c>
      <c r="DE87" t="s">
        <v>3</v>
      </c>
      <c r="DF87">
        <f t="shared" ref="DF87:DF94" si="21">ROUND(ROUND(AE87,2)*CX87,2)</f>
        <v>0</v>
      </c>
      <c r="DG87">
        <f t="shared" si="20"/>
        <v>0</v>
      </c>
      <c r="DH87">
        <f t="shared" si="19"/>
        <v>0</v>
      </c>
      <c r="DI87">
        <f t="shared" si="16"/>
        <v>0</v>
      </c>
      <c r="DJ87">
        <f>DI87</f>
        <v>0</v>
      </c>
      <c r="DK87">
        <v>0</v>
      </c>
      <c r="DL87" t="s">
        <v>3</v>
      </c>
      <c r="DM87">
        <v>0</v>
      </c>
      <c r="DN87" t="s">
        <v>3</v>
      </c>
      <c r="DO87">
        <v>0</v>
      </c>
    </row>
    <row r="88" spans="1:119" x14ac:dyDescent="0.25">
      <c r="A88">
        <f>ROW(Source!A87)</f>
        <v>87</v>
      </c>
      <c r="B88">
        <v>57014138</v>
      </c>
      <c r="C88">
        <v>57014495</v>
      </c>
      <c r="D88">
        <v>55489513</v>
      </c>
      <c r="E88">
        <v>1</v>
      </c>
      <c r="F88">
        <v>1</v>
      </c>
      <c r="G88">
        <v>1081</v>
      </c>
      <c r="H88">
        <v>2</v>
      </c>
      <c r="I88" t="s">
        <v>388</v>
      </c>
      <c r="J88" t="s">
        <v>389</v>
      </c>
      <c r="K88" t="s">
        <v>390</v>
      </c>
      <c r="L88">
        <v>1368</v>
      </c>
      <c r="N88">
        <v>1011</v>
      </c>
      <c r="O88" t="s">
        <v>391</v>
      </c>
      <c r="P88" t="s">
        <v>391</v>
      </c>
      <c r="Q88">
        <v>1</v>
      </c>
      <c r="W88">
        <v>0</v>
      </c>
      <c r="X88">
        <v>-1520980008</v>
      </c>
      <c r="Y88">
        <f>(AT88*1.2)</f>
        <v>0.64800000000000002</v>
      </c>
      <c r="AA88">
        <v>0</v>
      </c>
      <c r="AB88">
        <v>120.23</v>
      </c>
      <c r="AC88">
        <v>13.21</v>
      </c>
      <c r="AD88">
        <v>0</v>
      </c>
      <c r="AE88">
        <v>0</v>
      </c>
      <c r="AF88">
        <v>114.83</v>
      </c>
      <c r="AG88">
        <v>12.62</v>
      </c>
      <c r="AH88">
        <v>0</v>
      </c>
      <c r="AI88">
        <v>1</v>
      </c>
      <c r="AJ88">
        <v>1</v>
      </c>
      <c r="AK88">
        <v>1</v>
      </c>
      <c r="AL88">
        <v>1</v>
      </c>
      <c r="AM88">
        <v>-2</v>
      </c>
      <c r="AN88">
        <v>0</v>
      </c>
      <c r="AO88">
        <v>1</v>
      </c>
      <c r="AP88">
        <v>1</v>
      </c>
      <c r="AQ88">
        <v>0</v>
      </c>
      <c r="AR88">
        <v>0</v>
      </c>
      <c r="AS88" t="s">
        <v>3</v>
      </c>
      <c r="AT88">
        <v>0.54</v>
      </c>
      <c r="AU88" t="s">
        <v>71</v>
      </c>
      <c r="AV88">
        <v>0</v>
      </c>
      <c r="AW88">
        <v>2</v>
      </c>
      <c r="AX88">
        <v>57014502</v>
      </c>
      <c r="AY88">
        <v>1</v>
      </c>
      <c r="AZ88">
        <v>0</v>
      </c>
      <c r="BA88">
        <v>112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CV88">
        <v>0</v>
      </c>
      <c r="CW88">
        <f>ROUND(Y88*Source!I87*DO88,9)</f>
        <v>8.1777599999999993</v>
      </c>
      <c r="CX88">
        <f>ROUND(Y88*Source!I87,9)</f>
        <v>0.64800000000000002</v>
      </c>
      <c r="CY88">
        <f>AB88</f>
        <v>120.23</v>
      </c>
      <c r="CZ88">
        <f>AF88</f>
        <v>114.83</v>
      </c>
      <c r="DA88">
        <f>AJ88</f>
        <v>1</v>
      </c>
      <c r="DB88">
        <f>ROUND((ROUND(AT88*CZ88,2)*1.2),6)</f>
        <v>74.412000000000006</v>
      </c>
      <c r="DC88">
        <f>ROUND((ROUND(AT88*AG88,2)*1.2),6)</f>
        <v>8.1720000000000006</v>
      </c>
      <c r="DD88" t="s">
        <v>3</v>
      </c>
      <c r="DE88" t="s">
        <v>3</v>
      </c>
      <c r="DF88">
        <f t="shared" si="21"/>
        <v>0</v>
      </c>
      <c r="DG88">
        <f t="shared" si="20"/>
        <v>74.41</v>
      </c>
      <c r="DH88">
        <f t="shared" si="19"/>
        <v>8.18</v>
      </c>
      <c r="DI88">
        <f t="shared" si="16"/>
        <v>0</v>
      </c>
      <c r="DJ88">
        <f>DG88</f>
        <v>74.41</v>
      </c>
      <c r="DK88">
        <v>0</v>
      </c>
      <c r="DL88" t="s">
        <v>392</v>
      </c>
      <c r="DM88">
        <v>0</v>
      </c>
      <c r="DN88" t="s">
        <v>387</v>
      </c>
      <c r="DO88">
        <v>12.62</v>
      </c>
    </row>
    <row r="89" spans="1:119" x14ac:dyDescent="0.25">
      <c r="A89">
        <f>ROW(Source!A87)</f>
        <v>87</v>
      </c>
      <c r="B89">
        <v>57014138</v>
      </c>
      <c r="C89">
        <v>57014495</v>
      </c>
      <c r="D89">
        <v>55489525</v>
      </c>
      <c r="E89">
        <v>1</v>
      </c>
      <c r="F89">
        <v>1</v>
      </c>
      <c r="G89">
        <v>1081</v>
      </c>
      <c r="H89">
        <v>2</v>
      </c>
      <c r="I89" t="s">
        <v>393</v>
      </c>
      <c r="J89" t="s">
        <v>394</v>
      </c>
      <c r="K89" t="s">
        <v>395</v>
      </c>
      <c r="L89">
        <v>1368</v>
      </c>
      <c r="N89">
        <v>1011</v>
      </c>
      <c r="O89" t="s">
        <v>391</v>
      </c>
      <c r="P89" t="s">
        <v>391</v>
      </c>
      <c r="Q89">
        <v>1</v>
      </c>
      <c r="W89">
        <v>0</v>
      </c>
      <c r="X89">
        <v>444068027</v>
      </c>
      <c r="Y89">
        <f>(AT89*1.2)</f>
        <v>1.92</v>
      </c>
      <c r="AA89">
        <v>0</v>
      </c>
      <c r="AB89">
        <v>0.81</v>
      </c>
      <c r="AC89">
        <v>0</v>
      </c>
      <c r="AD89">
        <v>0</v>
      </c>
      <c r="AE89">
        <v>0</v>
      </c>
      <c r="AF89">
        <v>0.77</v>
      </c>
      <c r="AG89">
        <v>0</v>
      </c>
      <c r="AH89">
        <v>0</v>
      </c>
      <c r="AI89">
        <v>1</v>
      </c>
      <c r="AJ89">
        <v>1</v>
      </c>
      <c r="AK89">
        <v>1</v>
      </c>
      <c r="AL89">
        <v>1</v>
      </c>
      <c r="AM89">
        <v>-2</v>
      </c>
      <c r="AN89">
        <v>0</v>
      </c>
      <c r="AO89">
        <v>1</v>
      </c>
      <c r="AP89">
        <v>1</v>
      </c>
      <c r="AQ89">
        <v>0</v>
      </c>
      <c r="AR89">
        <v>0</v>
      </c>
      <c r="AS89" t="s">
        <v>3</v>
      </c>
      <c r="AT89">
        <v>1.6</v>
      </c>
      <c r="AU89" t="s">
        <v>71</v>
      </c>
      <c r="AV89">
        <v>0</v>
      </c>
      <c r="AW89">
        <v>2</v>
      </c>
      <c r="AX89">
        <v>57014503</v>
      </c>
      <c r="AY89">
        <v>1</v>
      </c>
      <c r="AZ89">
        <v>0</v>
      </c>
      <c r="BA89">
        <v>113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CV89">
        <v>0</v>
      </c>
      <c r="CW89">
        <f>ROUND(Y89*Source!I87*DO89,9)</f>
        <v>0</v>
      </c>
      <c r="CX89">
        <f>ROUND(Y89*Source!I87,9)</f>
        <v>1.92</v>
      </c>
      <c r="CY89">
        <f>AB89</f>
        <v>0.81</v>
      </c>
      <c r="CZ89">
        <f>AF89</f>
        <v>0.77</v>
      </c>
      <c r="DA89">
        <f>AJ89</f>
        <v>1</v>
      </c>
      <c r="DB89">
        <f>ROUND((ROUND(AT89*CZ89,2)*1.2),6)</f>
        <v>1.476</v>
      </c>
      <c r="DC89">
        <f>ROUND((ROUND(AT89*AG89,2)*1.2),6)</f>
        <v>0</v>
      </c>
      <c r="DD89" t="s">
        <v>3</v>
      </c>
      <c r="DE89" t="s">
        <v>3</v>
      </c>
      <c r="DF89">
        <f t="shared" si="21"/>
        <v>0</v>
      </c>
      <c r="DG89">
        <f t="shared" si="20"/>
        <v>1.48</v>
      </c>
      <c r="DH89">
        <f t="shared" si="19"/>
        <v>0</v>
      </c>
      <c r="DI89">
        <f t="shared" si="16"/>
        <v>0</v>
      </c>
      <c r="DJ89">
        <f>DG89</f>
        <v>1.48</v>
      </c>
      <c r="DK89">
        <v>0</v>
      </c>
      <c r="DL89" t="s">
        <v>3</v>
      </c>
      <c r="DM89">
        <v>0</v>
      </c>
      <c r="DN89" t="s">
        <v>3</v>
      </c>
      <c r="DO89">
        <v>0</v>
      </c>
    </row>
    <row r="90" spans="1:119" x14ac:dyDescent="0.25">
      <c r="A90">
        <f>ROW(Source!A87)</f>
        <v>87</v>
      </c>
      <c r="B90">
        <v>57014138</v>
      </c>
      <c r="C90">
        <v>57014495</v>
      </c>
      <c r="D90">
        <v>55459457</v>
      </c>
      <c r="E90">
        <v>1</v>
      </c>
      <c r="F90">
        <v>1</v>
      </c>
      <c r="G90">
        <v>1081</v>
      </c>
      <c r="H90">
        <v>3</v>
      </c>
      <c r="I90" t="s">
        <v>396</v>
      </c>
      <c r="J90" t="s">
        <v>397</v>
      </c>
      <c r="K90" t="s">
        <v>398</v>
      </c>
      <c r="L90">
        <v>1346</v>
      </c>
      <c r="N90">
        <v>1009</v>
      </c>
      <c r="O90" t="s">
        <v>365</v>
      </c>
      <c r="P90" t="s">
        <v>365</v>
      </c>
      <c r="Q90">
        <v>1</v>
      </c>
      <c r="W90">
        <v>0</v>
      </c>
      <c r="X90">
        <v>1482706673</v>
      </c>
      <c r="Y90">
        <f>(AT90*1)</f>
        <v>2.5000000000000001E-2</v>
      </c>
      <c r="AA90">
        <v>23.87</v>
      </c>
      <c r="AB90">
        <v>0</v>
      </c>
      <c r="AC90">
        <v>0</v>
      </c>
      <c r="AD90">
        <v>0</v>
      </c>
      <c r="AE90">
        <v>23.87</v>
      </c>
      <c r="AF90">
        <v>0</v>
      </c>
      <c r="AG90">
        <v>0</v>
      </c>
      <c r="AH90">
        <v>0</v>
      </c>
      <c r="AI90">
        <v>1</v>
      </c>
      <c r="AJ90">
        <v>1</v>
      </c>
      <c r="AK90">
        <v>1</v>
      </c>
      <c r="AL90">
        <v>1</v>
      </c>
      <c r="AM90">
        <v>-2</v>
      </c>
      <c r="AN90">
        <v>0</v>
      </c>
      <c r="AO90">
        <v>1</v>
      </c>
      <c r="AP90">
        <v>1</v>
      </c>
      <c r="AQ90">
        <v>0</v>
      </c>
      <c r="AR90">
        <v>0</v>
      </c>
      <c r="AS90" t="s">
        <v>3</v>
      </c>
      <c r="AT90">
        <v>2.5000000000000001E-2</v>
      </c>
      <c r="AU90" t="s">
        <v>70</v>
      </c>
      <c r="AV90">
        <v>0</v>
      </c>
      <c r="AW90">
        <v>2</v>
      </c>
      <c r="AX90">
        <v>57014504</v>
      </c>
      <c r="AY90">
        <v>1</v>
      </c>
      <c r="AZ90">
        <v>0</v>
      </c>
      <c r="BA90">
        <v>114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CV90">
        <v>0</v>
      </c>
      <c r="CW90">
        <v>0</v>
      </c>
      <c r="CX90">
        <f>ROUND(Y90*Source!I87,9)</f>
        <v>2.5000000000000001E-2</v>
      </c>
      <c r="CY90">
        <f>AA90</f>
        <v>23.87</v>
      </c>
      <c r="CZ90">
        <f>AE90</f>
        <v>23.87</v>
      </c>
      <c r="DA90">
        <f>AI90</f>
        <v>1</v>
      </c>
      <c r="DB90">
        <f>ROUND((ROUND(AT90*CZ90,2)*1),6)</f>
        <v>0.6</v>
      </c>
      <c r="DC90">
        <f>ROUND((ROUND(AT90*AG90,2)*1),6)</f>
        <v>0</v>
      </c>
      <c r="DD90" t="s">
        <v>3</v>
      </c>
      <c r="DE90" t="s">
        <v>3</v>
      </c>
      <c r="DF90">
        <f t="shared" si="21"/>
        <v>0.6</v>
      </c>
      <c r="DG90">
        <f t="shared" si="20"/>
        <v>0</v>
      </c>
      <c r="DH90">
        <f t="shared" si="19"/>
        <v>0</v>
      </c>
      <c r="DI90">
        <f t="shared" si="16"/>
        <v>0</v>
      </c>
      <c r="DJ90">
        <f>DF90</f>
        <v>0.6</v>
      </c>
      <c r="DK90">
        <v>0</v>
      </c>
      <c r="DL90" t="s">
        <v>3</v>
      </c>
      <c r="DM90">
        <v>0</v>
      </c>
      <c r="DN90" t="s">
        <v>3</v>
      </c>
      <c r="DO90">
        <v>0</v>
      </c>
    </row>
    <row r="91" spans="1:119" x14ac:dyDescent="0.25">
      <c r="A91">
        <f>ROW(Source!A87)</f>
        <v>87</v>
      </c>
      <c r="B91">
        <v>57014138</v>
      </c>
      <c r="C91">
        <v>57014495</v>
      </c>
      <c r="D91">
        <v>55459641</v>
      </c>
      <c r="E91">
        <v>1</v>
      </c>
      <c r="F91">
        <v>1</v>
      </c>
      <c r="G91">
        <v>1081</v>
      </c>
      <c r="H91">
        <v>3</v>
      </c>
      <c r="I91" t="s">
        <v>399</v>
      </c>
      <c r="J91" t="s">
        <v>400</v>
      </c>
      <c r="K91" t="s">
        <v>401</v>
      </c>
      <c r="L91">
        <v>1327</v>
      </c>
      <c r="N91">
        <v>1005</v>
      </c>
      <c r="O91" t="s">
        <v>402</v>
      </c>
      <c r="P91" t="s">
        <v>402</v>
      </c>
      <c r="Q91">
        <v>1</v>
      </c>
      <c r="W91">
        <v>0</v>
      </c>
      <c r="X91">
        <v>-71062307</v>
      </c>
      <c r="Y91">
        <f>(AT91*1)</f>
        <v>0.45</v>
      </c>
      <c r="AA91">
        <v>7.39</v>
      </c>
      <c r="AB91">
        <v>0</v>
      </c>
      <c r="AC91">
        <v>0</v>
      </c>
      <c r="AD91">
        <v>0</v>
      </c>
      <c r="AE91">
        <v>7.39</v>
      </c>
      <c r="AF91">
        <v>0</v>
      </c>
      <c r="AG91">
        <v>0</v>
      </c>
      <c r="AH91">
        <v>0</v>
      </c>
      <c r="AI91">
        <v>1</v>
      </c>
      <c r="AJ91">
        <v>1</v>
      </c>
      <c r="AK91">
        <v>1</v>
      </c>
      <c r="AL91">
        <v>1</v>
      </c>
      <c r="AM91">
        <v>-2</v>
      </c>
      <c r="AN91">
        <v>0</v>
      </c>
      <c r="AO91">
        <v>1</v>
      </c>
      <c r="AP91">
        <v>1</v>
      </c>
      <c r="AQ91">
        <v>0</v>
      </c>
      <c r="AR91">
        <v>0</v>
      </c>
      <c r="AS91" t="s">
        <v>3</v>
      </c>
      <c r="AT91">
        <v>0.45</v>
      </c>
      <c r="AU91" t="s">
        <v>70</v>
      </c>
      <c r="AV91">
        <v>0</v>
      </c>
      <c r="AW91">
        <v>2</v>
      </c>
      <c r="AX91">
        <v>57014505</v>
      </c>
      <c r="AY91">
        <v>1</v>
      </c>
      <c r="AZ91">
        <v>0</v>
      </c>
      <c r="BA91">
        <v>115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CV91">
        <v>0</v>
      </c>
      <c r="CW91">
        <v>0</v>
      </c>
      <c r="CX91">
        <f>ROUND(Y91*Source!I87,9)</f>
        <v>0.45</v>
      </c>
      <c r="CY91">
        <f>AA91</f>
        <v>7.39</v>
      </c>
      <c r="CZ91">
        <f>AE91</f>
        <v>7.39</v>
      </c>
      <c r="DA91">
        <f>AI91</f>
        <v>1</v>
      </c>
      <c r="DB91">
        <f>ROUND((ROUND(AT91*CZ91,2)*1),6)</f>
        <v>3.33</v>
      </c>
      <c r="DC91">
        <f>ROUND((ROUND(AT91*AG91,2)*1),6)</f>
        <v>0</v>
      </c>
      <c r="DD91" t="s">
        <v>3</v>
      </c>
      <c r="DE91" t="s">
        <v>3</v>
      </c>
      <c r="DF91">
        <f t="shared" si="21"/>
        <v>3.33</v>
      </c>
      <c r="DG91">
        <f t="shared" si="20"/>
        <v>0</v>
      </c>
      <c r="DH91">
        <f t="shared" si="19"/>
        <v>0</v>
      </c>
      <c r="DI91">
        <f t="shared" si="16"/>
        <v>0</v>
      </c>
      <c r="DJ91">
        <f>DF91</f>
        <v>3.33</v>
      </c>
      <c r="DK91">
        <v>0</v>
      </c>
      <c r="DL91" t="s">
        <v>3</v>
      </c>
      <c r="DM91">
        <v>0</v>
      </c>
      <c r="DN91" t="s">
        <v>3</v>
      </c>
      <c r="DO91">
        <v>0</v>
      </c>
    </row>
    <row r="92" spans="1:119" x14ac:dyDescent="0.25">
      <c r="A92">
        <f>ROW(Source!A88)</f>
        <v>88</v>
      </c>
      <c r="B92">
        <v>57014140</v>
      </c>
      <c r="C92">
        <v>57014495</v>
      </c>
      <c r="D92">
        <v>55424304</v>
      </c>
      <c r="E92">
        <v>1081</v>
      </c>
      <c r="F92">
        <v>1</v>
      </c>
      <c r="G92">
        <v>1081</v>
      </c>
      <c r="H92">
        <v>1</v>
      </c>
      <c r="I92" t="s">
        <v>385</v>
      </c>
      <c r="J92" t="s">
        <v>3</v>
      </c>
      <c r="K92" t="s">
        <v>386</v>
      </c>
      <c r="L92">
        <v>1191</v>
      </c>
      <c r="N92">
        <v>1013</v>
      </c>
      <c r="O92" t="s">
        <v>387</v>
      </c>
      <c r="P92" t="s">
        <v>387</v>
      </c>
      <c r="Q92">
        <v>1</v>
      </c>
      <c r="W92">
        <v>0</v>
      </c>
      <c r="X92">
        <v>476480486</v>
      </c>
      <c r="Y92">
        <f>(AT92*1.2)</f>
        <v>16.079999999999998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1</v>
      </c>
      <c r="AJ92">
        <v>1</v>
      </c>
      <c r="AK92">
        <v>1</v>
      </c>
      <c r="AL92">
        <v>1</v>
      </c>
      <c r="AM92">
        <v>5</v>
      </c>
      <c r="AN92">
        <v>0</v>
      </c>
      <c r="AO92">
        <v>1</v>
      </c>
      <c r="AP92">
        <v>1</v>
      </c>
      <c r="AQ92">
        <v>0</v>
      </c>
      <c r="AR92">
        <v>0</v>
      </c>
      <c r="AS92" t="s">
        <v>3</v>
      </c>
      <c r="AT92">
        <v>13.4</v>
      </c>
      <c r="AU92" t="s">
        <v>71</v>
      </c>
      <c r="AV92">
        <v>1</v>
      </c>
      <c r="AW92">
        <v>2</v>
      </c>
      <c r="AX92">
        <v>57014501</v>
      </c>
      <c r="AY92">
        <v>1</v>
      </c>
      <c r="AZ92">
        <v>0</v>
      </c>
      <c r="BA92">
        <v>117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CU92">
        <f>ROUND(AT92*Source!I88*AH92*AL92,2)</f>
        <v>0</v>
      </c>
      <c r="CV92">
        <f>ROUND(Y92*Source!I88,9)</f>
        <v>16.079999999999998</v>
      </c>
      <c r="CW92">
        <v>0</v>
      </c>
      <c r="CX92">
        <f>ROUND(Y92*Source!I88,9)</f>
        <v>16.079999999999998</v>
      </c>
      <c r="CY92">
        <f>AD92</f>
        <v>0</v>
      </c>
      <c r="CZ92">
        <f>AH92</f>
        <v>0</v>
      </c>
      <c r="DA92">
        <f>AL92</f>
        <v>1</v>
      </c>
      <c r="DB92">
        <f>ROUND((ROUND(AT92*CZ92,2)*1.2),6)</f>
        <v>0</v>
      </c>
      <c r="DC92">
        <f>ROUND((ROUND(AT92*AG92,2)*1.2),6)</f>
        <v>0</v>
      </c>
      <c r="DD92" t="s">
        <v>3</v>
      </c>
      <c r="DE92" t="s">
        <v>3</v>
      </c>
      <c r="DF92">
        <f t="shared" si="21"/>
        <v>0</v>
      </c>
      <c r="DG92">
        <f t="shared" si="20"/>
        <v>0</v>
      </c>
      <c r="DH92">
        <f t="shared" si="19"/>
        <v>0</v>
      </c>
      <c r="DI92">
        <f t="shared" si="16"/>
        <v>0</v>
      </c>
      <c r="DJ92">
        <f>DI92</f>
        <v>0</v>
      </c>
      <c r="DK92">
        <v>0</v>
      </c>
      <c r="DL92" t="s">
        <v>3</v>
      </c>
      <c r="DM92">
        <v>0</v>
      </c>
      <c r="DN92" t="s">
        <v>3</v>
      </c>
      <c r="DO92">
        <v>0</v>
      </c>
    </row>
    <row r="93" spans="1:119" x14ac:dyDescent="0.25">
      <c r="A93">
        <f>ROW(Source!A88)</f>
        <v>88</v>
      </c>
      <c r="B93">
        <v>57014140</v>
      </c>
      <c r="C93">
        <v>57014495</v>
      </c>
      <c r="D93">
        <v>55489513</v>
      </c>
      <c r="E93">
        <v>1</v>
      </c>
      <c r="F93">
        <v>1</v>
      </c>
      <c r="G93">
        <v>1081</v>
      </c>
      <c r="H93">
        <v>2</v>
      </c>
      <c r="I93" t="s">
        <v>388</v>
      </c>
      <c r="J93" t="s">
        <v>389</v>
      </c>
      <c r="K93" t="s">
        <v>390</v>
      </c>
      <c r="L93">
        <v>1368</v>
      </c>
      <c r="N93">
        <v>1011</v>
      </c>
      <c r="O93" t="s">
        <v>391</v>
      </c>
      <c r="P93" t="s">
        <v>391</v>
      </c>
      <c r="Q93">
        <v>1</v>
      </c>
      <c r="W93">
        <v>0</v>
      </c>
      <c r="X93">
        <v>-1520980008</v>
      </c>
      <c r="Y93">
        <f>(AT93*1.2)</f>
        <v>0.64800000000000002</v>
      </c>
      <c r="AA93">
        <v>0</v>
      </c>
      <c r="AB93">
        <v>1942.87</v>
      </c>
      <c r="AC93">
        <v>744.56</v>
      </c>
      <c r="AD93">
        <v>0</v>
      </c>
      <c r="AE93">
        <v>0</v>
      </c>
      <c r="AF93">
        <v>114.83</v>
      </c>
      <c r="AG93">
        <v>12.62</v>
      </c>
      <c r="AH93">
        <v>0</v>
      </c>
      <c r="AI93">
        <v>1</v>
      </c>
      <c r="AJ93">
        <v>16.16</v>
      </c>
      <c r="AK93">
        <v>56.35</v>
      </c>
      <c r="AL93">
        <v>1</v>
      </c>
      <c r="AM93">
        <v>2</v>
      </c>
      <c r="AN93">
        <v>0</v>
      </c>
      <c r="AO93">
        <v>1</v>
      </c>
      <c r="AP93">
        <v>1</v>
      </c>
      <c r="AQ93">
        <v>0</v>
      </c>
      <c r="AR93">
        <v>0</v>
      </c>
      <c r="AS93" t="s">
        <v>3</v>
      </c>
      <c r="AT93">
        <v>0.54</v>
      </c>
      <c r="AU93" t="s">
        <v>71</v>
      </c>
      <c r="AV93">
        <v>0</v>
      </c>
      <c r="AW93">
        <v>2</v>
      </c>
      <c r="AX93">
        <v>57014502</v>
      </c>
      <c r="AY93">
        <v>1</v>
      </c>
      <c r="AZ93">
        <v>0</v>
      </c>
      <c r="BA93">
        <v>118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CV93">
        <v>0</v>
      </c>
      <c r="CW93">
        <f>ROUND(Y93*Source!I88*DO93,9)</f>
        <v>8.1777599999999993</v>
      </c>
      <c r="CX93">
        <f>ROUND(Y93*Source!I88,9)</f>
        <v>0.64800000000000002</v>
      </c>
      <c r="CY93">
        <f>AB93</f>
        <v>1942.87</v>
      </c>
      <c r="CZ93">
        <f>AF93</f>
        <v>114.83</v>
      </c>
      <c r="DA93">
        <f>AJ93</f>
        <v>16.16</v>
      </c>
      <c r="DB93">
        <f>ROUND((ROUND(AT93*CZ93,2)*1.2),6)</f>
        <v>74.412000000000006</v>
      </c>
      <c r="DC93">
        <f>ROUND((ROUND(AT93*AG93,2)*1.2),6)</f>
        <v>8.1720000000000006</v>
      </c>
      <c r="DD93" t="s">
        <v>3</v>
      </c>
      <c r="DE93" t="s">
        <v>3</v>
      </c>
      <c r="DF93">
        <f t="shared" si="21"/>
        <v>0</v>
      </c>
      <c r="DG93">
        <f>ROUND(ROUND(AF93*AJ93,2)*CX93,2)</f>
        <v>1202.46</v>
      </c>
      <c r="DH93">
        <f>ROUND(ROUND(AG93*AK93,2)*CX93,2)</f>
        <v>460.82</v>
      </c>
      <c r="DI93">
        <f t="shared" si="16"/>
        <v>0</v>
      </c>
      <c r="DJ93">
        <f>DG93</f>
        <v>1202.46</v>
      </c>
      <c r="DK93">
        <v>0</v>
      </c>
      <c r="DL93" t="s">
        <v>392</v>
      </c>
      <c r="DM93">
        <v>0</v>
      </c>
      <c r="DN93" t="s">
        <v>387</v>
      </c>
      <c r="DO93">
        <v>12.62</v>
      </c>
    </row>
    <row r="94" spans="1:119" x14ac:dyDescent="0.25">
      <c r="A94">
        <f>ROW(Source!A88)</f>
        <v>88</v>
      </c>
      <c r="B94">
        <v>57014140</v>
      </c>
      <c r="C94">
        <v>57014495</v>
      </c>
      <c r="D94">
        <v>55489525</v>
      </c>
      <c r="E94">
        <v>1</v>
      </c>
      <c r="F94">
        <v>1</v>
      </c>
      <c r="G94">
        <v>1081</v>
      </c>
      <c r="H94">
        <v>2</v>
      </c>
      <c r="I94" t="s">
        <v>393</v>
      </c>
      <c r="J94" t="s">
        <v>394</v>
      </c>
      <c r="K94" t="s">
        <v>395</v>
      </c>
      <c r="L94">
        <v>1368</v>
      </c>
      <c r="N94">
        <v>1011</v>
      </c>
      <c r="O94" t="s">
        <v>391</v>
      </c>
      <c r="P94" t="s">
        <v>391</v>
      </c>
      <c r="Q94">
        <v>1</v>
      </c>
      <c r="W94">
        <v>0</v>
      </c>
      <c r="X94">
        <v>444068027</v>
      </c>
      <c r="Y94">
        <f>(AT94*1.2)</f>
        <v>1.92</v>
      </c>
      <c r="AA94">
        <v>0</v>
      </c>
      <c r="AB94">
        <v>7.96</v>
      </c>
      <c r="AC94">
        <v>0</v>
      </c>
      <c r="AD94">
        <v>0</v>
      </c>
      <c r="AE94">
        <v>0</v>
      </c>
      <c r="AF94">
        <v>0.77</v>
      </c>
      <c r="AG94">
        <v>0</v>
      </c>
      <c r="AH94">
        <v>0</v>
      </c>
      <c r="AI94">
        <v>1</v>
      </c>
      <c r="AJ94">
        <v>9.8699999999999992</v>
      </c>
      <c r="AK94">
        <v>1</v>
      </c>
      <c r="AL94">
        <v>1</v>
      </c>
      <c r="AM94">
        <v>2</v>
      </c>
      <c r="AN94">
        <v>0</v>
      </c>
      <c r="AO94">
        <v>1</v>
      </c>
      <c r="AP94">
        <v>1</v>
      </c>
      <c r="AQ94">
        <v>0</v>
      </c>
      <c r="AR94">
        <v>0</v>
      </c>
      <c r="AS94" t="s">
        <v>3</v>
      </c>
      <c r="AT94">
        <v>1.6</v>
      </c>
      <c r="AU94" t="s">
        <v>71</v>
      </c>
      <c r="AV94">
        <v>0</v>
      </c>
      <c r="AW94">
        <v>2</v>
      </c>
      <c r="AX94">
        <v>57014503</v>
      </c>
      <c r="AY94">
        <v>1</v>
      </c>
      <c r="AZ94">
        <v>0</v>
      </c>
      <c r="BA94">
        <v>119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CV94">
        <v>0</v>
      </c>
      <c r="CW94">
        <f>ROUND(Y94*Source!I88*DO94,9)</f>
        <v>0</v>
      </c>
      <c r="CX94">
        <f>ROUND(Y94*Source!I88,9)</f>
        <v>1.92</v>
      </c>
      <c r="CY94">
        <f>AB94</f>
        <v>7.96</v>
      </c>
      <c r="CZ94">
        <f>AF94</f>
        <v>0.77</v>
      </c>
      <c r="DA94">
        <f>AJ94</f>
        <v>9.8699999999999992</v>
      </c>
      <c r="DB94">
        <f>ROUND((ROUND(AT94*CZ94,2)*1.2),6)</f>
        <v>1.476</v>
      </c>
      <c r="DC94">
        <f>ROUND((ROUND(AT94*AG94,2)*1.2),6)</f>
        <v>0</v>
      </c>
      <c r="DD94" t="s">
        <v>3</v>
      </c>
      <c r="DE94" t="s">
        <v>3</v>
      </c>
      <c r="DF94">
        <f t="shared" si="21"/>
        <v>0</v>
      </c>
      <c r="DG94">
        <f>ROUND(ROUND(AF94*AJ94,2)*CX94,2)</f>
        <v>14.59</v>
      </c>
      <c r="DH94">
        <f t="shared" ref="DH94:DH99" si="22">ROUND(ROUND(AG94,2)*CX94,2)</f>
        <v>0</v>
      </c>
      <c r="DI94">
        <f t="shared" si="16"/>
        <v>0</v>
      </c>
      <c r="DJ94">
        <f>DG94</f>
        <v>14.59</v>
      </c>
      <c r="DK94">
        <v>0</v>
      </c>
      <c r="DL94" t="s">
        <v>3</v>
      </c>
      <c r="DM94">
        <v>0</v>
      </c>
      <c r="DN94" t="s">
        <v>3</v>
      </c>
      <c r="DO94">
        <v>0</v>
      </c>
    </row>
    <row r="95" spans="1:119" x14ac:dyDescent="0.25">
      <c r="A95">
        <f>ROW(Source!A88)</f>
        <v>88</v>
      </c>
      <c r="B95">
        <v>57014140</v>
      </c>
      <c r="C95">
        <v>57014495</v>
      </c>
      <c r="D95">
        <v>55459457</v>
      </c>
      <c r="E95">
        <v>1</v>
      </c>
      <c r="F95">
        <v>1</v>
      </c>
      <c r="G95">
        <v>1081</v>
      </c>
      <c r="H95">
        <v>3</v>
      </c>
      <c r="I95" t="s">
        <v>396</v>
      </c>
      <c r="J95" t="s">
        <v>397</v>
      </c>
      <c r="K95" t="s">
        <v>398</v>
      </c>
      <c r="L95">
        <v>1346</v>
      </c>
      <c r="N95">
        <v>1009</v>
      </c>
      <c r="O95" t="s">
        <v>365</v>
      </c>
      <c r="P95" t="s">
        <v>365</v>
      </c>
      <c r="Q95">
        <v>1</v>
      </c>
      <c r="W95">
        <v>0</v>
      </c>
      <c r="X95">
        <v>1482706673</v>
      </c>
      <c r="Y95">
        <f>(AT95*1)</f>
        <v>2.5000000000000001E-2</v>
      </c>
      <c r="AA95">
        <v>164.23</v>
      </c>
      <c r="AB95">
        <v>0</v>
      </c>
      <c r="AC95">
        <v>0</v>
      </c>
      <c r="AD95">
        <v>0</v>
      </c>
      <c r="AE95">
        <v>23.87</v>
      </c>
      <c r="AF95">
        <v>0</v>
      </c>
      <c r="AG95">
        <v>0</v>
      </c>
      <c r="AH95">
        <v>0</v>
      </c>
      <c r="AI95">
        <v>6.88</v>
      </c>
      <c r="AJ95">
        <v>1</v>
      </c>
      <c r="AK95">
        <v>1</v>
      </c>
      <c r="AL95">
        <v>1</v>
      </c>
      <c r="AM95">
        <v>2</v>
      </c>
      <c r="AN95">
        <v>0</v>
      </c>
      <c r="AO95">
        <v>1</v>
      </c>
      <c r="AP95">
        <v>1</v>
      </c>
      <c r="AQ95">
        <v>0</v>
      </c>
      <c r="AR95">
        <v>0</v>
      </c>
      <c r="AS95" t="s">
        <v>3</v>
      </c>
      <c r="AT95">
        <v>2.5000000000000001E-2</v>
      </c>
      <c r="AU95" t="s">
        <v>70</v>
      </c>
      <c r="AV95">
        <v>0</v>
      </c>
      <c r="AW95">
        <v>2</v>
      </c>
      <c r="AX95">
        <v>57014504</v>
      </c>
      <c r="AY95">
        <v>1</v>
      </c>
      <c r="AZ95">
        <v>0</v>
      </c>
      <c r="BA95">
        <v>120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CV95">
        <v>0</v>
      </c>
      <c r="CW95">
        <v>0</v>
      </c>
      <c r="CX95">
        <f>ROUND(Y95*Source!I88,9)</f>
        <v>2.5000000000000001E-2</v>
      </c>
      <c r="CY95">
        <f>AA95</f>
        <v>164.23</v>
      </c>
      <c r="CZ95">
        <f>AE95</f>
        <v>23.87</v>
      </c>
      <c r="DA95">
        <f>AI95</f>
        <v>6.88</v>
      </c>
      <c r="DB95">
        <f>ROUND((ROUND(AT95*CZ95,2)*1),6)</f>
        <v>0.6</v>
      </c>
      <c r="DC95">
        <f>ROUND((ROUND(AT95*AG95,2)*1),6)</f>
        <v>0</v>
      </c>
      <c r="DD95" t="s">
        <v>3</v>
      </c>
      <c r="DE95" t="s">
        <v>3</v>
      </c>
      <c r="DF95">
        <f>ROUND(ROUND(AE95*AI95,2)*CX95,2)</f>
        <v>4.1100000000000003</v>
      </c>
      <c r="DG95">
        <f>ROUND(ROUND(AF95,2)*CX95,2)</f>
        <v>0</v>
      </c>
      <c r="DH95">
        <f t="shared" si="22"/>
        <v>0</v>
      </c>
      <c r="DI95">
        <f t="shared" si="16"/>
        <v>0</v>
      </c>
      <c r="DJ95">
        <f>DF95</f>
        <v>4.1100000000000003</v>
      </c>
      <c r="DK95">
        <v>0</v>
      </c>
      <c r="DL95" t="s">
        <v>3</v>
      </c>
      <c r="DM95">
        <v>0</v>
      </c>
      <c r="DN95" t="s">
        <v>3</v>
      </c>
      <c r="DO95">
        <v>0</v>
      </c>
    </row>
    <row r="96" spans="1:119" x14ac:dyDescent="0.25">
      <c r="A96">
        <f>ROW(Source!A88)</f>
        <v>88</v>
      </c>
      <c r="B96">
        <v>57014140</v>
      </c>
      <c r="C96">
        <v>57014495</v>
      </c>
      <c r="D96">
        <v>55459641</v>
      </c>
      <c r="E96">
        <v>1</v>
      </c>
      <c r="F96">
        <v>1</v>
      </c>
      <c r="G96">
        <v>1081</v>
      </c>
      <c r="H96">
        <v>3</v>
      </c>
      <c r="I96" t="s">
        <v>399</v>
      </c>
      <c r="J96" t="s">
        <v>400</v>
      </c>
      <c r="K96" t="s">
        <v>401</v>
      </c>
      <c r="L96">
        <v>1327</v>
      </c>
      <c r="N96">
        <v>1005</v>
      </c>
      <c r="O96" t="s">
        <v>402</v>
      </c>
      <c r="P96" t="s">
        <v>402</v>
      </c>
      <c r="Q96">
        <v>1</v>
      </c>
      <c r="W96">
        <v>0</v>
      </c>
      <c r="X96">
        <v>-71062307</v>
      </c>
      <c r="Y96">
        <f>(AT96*1)</f>
        <v>0.45</v>
      </c>
      <c r="AA96">
        <v>52.91</v>
      </c>
      <c r="AB96">
        <v>0</v>
      </c>
      <c r="AC96">
        <v>0</v>
      </c>
      <c r="AD96">
        <v>0</v>
      </c>
      <c r="AE96">
        <v>7.39</v>
      </c>
      <c r="AF96">
        <v>0</v>
      </c>
      <c r="AG96">
        <v>0</v>
      </c>
      <c r="AH96">
        <v>0</v>
      </c>
      <c r="AI96">
        <v>7.16</v>
      </c>
      <c r="AJ96">
        <v>1</v>
      </c>
      <c r="AK96">
        <v>1</v>
      </c>
      <c r="AL96">
        <v>1</v>
      </c>
      <c r="AM96">
        <v>2</v>
      </c>
      <c r="AN96">
        <v>0</v>
      </c>
      <c r="AO96">
        <v>1</v>
      </c>
      <c r="AP96">
        <v>1</v>
      </c>
      <c r="AQ96">
        <v>0</v>
      </c>
      <c r="AR96">
        <v>0</v>
      </c>
      <c r="AS96" t="s">
        <v>3</v>
      </c>
      <c r="AT96">
        <v>0.45</v>
      </c>
      <c r="AU96" t="s">
        <v>70</v>
      </c>
      <c r="AV96">
        <v>0</v>
      </c>
      <c r="AW96">
        <v>2</v>
      </c>
      <c r="AX96">
        <v>57014505</v>
      </c>
      <c r="AY96">
        <v>1</v>
      </c>
      <c r="AZ96">
        <v>0</v>
      </c>
      <c r="BA96">
        <v>121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CV96">
        <v>0</v>
      </c>
      <c r="CW96">
        <v>0</v>
      </c>
      <c r="CX96">
        <f>ROUND(Y96*Source!I88,9)</f>
        <v>0.45</v>
      </c>
      <c r="CY96">
        <f>AA96</f>
        <v>52.91</v>
      </c>
      <c r="CZ96">
        <f>AE96</f>
        <v>7.39</v>
      </c>
      <c r="DA96">
        <f>AI96</f>
        <v>7.16</v>
      </c>
      <c r="DB96">
        <f>ROUND((ROUND(AT96*CZ96,2)*1),6)</f>
        <v>3.33</v>
      </c>
      <c r="DC96">
        <f>ROUND((ROUND(AT96*AG96,2)*1),6)</f>
        <v>0</v>
      </c>
      <c r="DD96" t="s">
        <v>3</v>
      </c>
      <c r="DE96" t="s">
        <v>3</v>
      </c>
      <c r="DF96">
        <f>ROUND(ROUND(AE96*AI96,2)*CX96,2)</f>
        <v>23.81</v>
      </c>
      <c r="DG96">
        <f>ROUND(ROUND(AF96,2)*CX96,2)</f>
        <v>0</v>
      </c>
      <c r="DH96">
        <f t="shared" si="22"/>
        <v>0</v>
      </c>
      <c r="DI96">
        <f t="shared" si="16"/>
        <v>0</v>
      </c>
      <c r="DJ96">
        <f>DF96</f>
        <v>23.81</v>
      </c>
      <c r="DK96">
        <v>0</v>
      </c>
      <c r="DL96" t="s">
        <v>3</v>
      </c>
      <c r="DM96">
        <v>0</v>
      </c>
      <c r="DN96" t="s">
        <v>3</v>
      </c>
      <c r="DO96">
        <v>0</v>
      </c>
    </row>
    <row r="97" spans="1:119" x14ac:dyDescent="0.25">
      <c r="A97">
        <f>ROW(Source!A93)</f>
        <v>93</v>
      </c>
      <c r="B97">
        <v>57014138</v>
      </c>
      <c r="C97">
        <v>57015299</v>
      </c>
      <c r="D97">
        <v>55424304</v>
      </c>
      <c r="E97">
        <v>1081</v>
      </c>
      <c r="F97">
        <v>1</v>
      </c>
      <c r="G97">
        <v>1081</v>
      </c>
      <c r="H97">
        <v>1</v>
      </c>
      <c r="I97" t="s">
        <v>385</v>
      </c>
      <c r="J97" t="s">
        <v>3</v>
      </c>
      <c r="K97" t="s">
        <v>386</v>
      </c>
      <c r="L97">
        <v>1191</v>
      </c>
      <c r="N97">
        <v>1013</v>
      </c>
      <c r="O97" t="s">
        <v>387</v>
      </c>
      <c r="P97" t="s">
        <v>387</v>
      </c>
      <c r="Q97">
        <v>1</v>
      </c>
      <c r="W97">
        <v>0</v>
      </c>
      <c r="X97">
        <v>476480486</v>
      </c>
      <c r="Y97">
        <f>(AT97*1.2)</f>
        <v>1.236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1</v>
      </c>
      <c r="AJ97">
        <v>1</v>
      </c>
      <c r="AK97">
        <v>1</v>
      </c>
      <c r="AL97">
        <v>1</v>
      </c>
      <c r="AM97">
        <v>-2</v>
      </c>
      <c r="AN97">
        <v>0</v>
      </c>
      <c r="AO97">
        <v>1</v>
      </c>
      <c r="AP97">
        <v>1</v>
      </c>
      <c r="AQ97">
        <v>0</v>
      </c>
      <c r="AR97">
        <v>0</v>
      </c>
      <c r="AS97" t="s">
        <v>3</v>
      </c>
      <c r="AT97">
        <v>1.03</v>
      </c>
      <c r="AU97" t="s">
        <v>71</v>
      </c>
      <c r="AV97">
        <v>1</v>
      </c>
      <c r="AW97">
        <v>2</v>
      </c>
      <c r="AX97">
        <v>57015300</v>
      </c>
      <c r="AY97">
        <v>1</v>
      </c>
      <c r="AZ97">
        <v>0</v>
      </c>
      <c r="BA97">
        <v>123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CU97">
        <f>ROUND(AT97*Source!I93*AH97*AL97,2)</f>
        <v>0</v>
      </c>
      <c r="CV97">
        <f>ROUND(Y97*Source!I93,9)</f>
        <v>1.236</v>
      </c>
      <c r="CW97">
        <v>0</v>
      </c>
      <c r="CX97">
        <f>ROUND(Y97*Source!I93,9)</f>
        <v>1.236</v>
      </c>
      <c r="CY97">
        <f>AD97</f>
        <v>0</v>
      </c>
      <c r="CZ97">
        <f>AH97</f>
        <v>0</v>
      </c>
      <c r="DA97">
        <f>AL97</f>
        <v>1</v>
      </c>
      <c r="DB97">
        <f>ROUND((ROUND(AT97*CZ97,2)*1.2),6)</f>
        <v>0</v>
      </c>
      <c r="DC97">
        <f>ROUND((ROUND(AT97*AG97,2)*1.2),6)</f>
        <v>0</v>
      </c>
      <c r="DD97" t="s">
        <v>3</v>
      </c>
      <c r="DE97" t="s">
        <v>3</v>
      </c>
      <c r="DF97">
        <f t="shared" ref="DF97:DF105" si="23">ROUND(ROUND(AE97,2)*CX97,2)</f>
        <v>0</v>
      </c>
      <c r="DG97">
        <f>ROUND(ROUND(AF97,2)*CX97,2)</f>
        <v>0</v>
      </c>
      <c r="DH97">
        <f t="shared" si="22"/>
        <v>0</v>
      </c>
      <c r="DI97">
        <f t="shared" si="16"/>
        <v>0</v>
      </c>
      <c r="DJ97">
        <f>DI97</f>
        <v>0</v>
      </c>
      <c r="DK97">
        <v>0</v>
      </c>
      <c r="DL97" t="s">
        <v>3</v>
      </c>
      <c r="DM97">
        <v>0</v>
      </c>
      <c r="DN97" t="s">
        <v>3</v>
      </c>
      <c r="DO97">
        <v>0</v>
      </c>
    </row>
    <row r="98" spans="1:119" x14ac:dyDescent="0.25">
      <c r="A98">
        <f>ROW(Source!A93)</f>
        <v>93</v>
      </c>
      <c r="B98">
        <v>57014138</v>
      </c>
      <c r="C98">
        <v>57015299</v>
      </c>
      <c r="D98">
        <v>55490209</v>
      </c>
      <c r="E98">
        <v>1</v>
      </c>
      <c r="F98">
        <v>1</v>
      </c>
      <c r="G98">
        <v>1081</v>
      </c>
      <c r="H98">
        <v>2</v>
      </c>
      <c r="I98" t="s">
        <v>460</v>
      </c>
      <c r="J98" t="s">
        <v>461</v>
      </c>
      <c r="K98" t="s">
        <v>462</v>
      </c>
      <c r="L98">
        <v>1368</v>
      </c>
      <c r="N98">
        <v>1011</v>
      </c>
      <c r="O98" t="s">
        <v>391</v>
      </c>
      <c r="P98" t="s">
        <v>391</v>
      </c>
      <c r="Q98">
        <v>1</v>
      </c>
      <c r="W98">
        <v>0</v>
      </c>
      <c r="X98">
        <v>874612079</v>
      </c>
      <c r="Y98">
        <f>(AT98*1.2)</f>
        <v>7.1999999999999998E-3</v>
      </c>
      <c r="AA98">
        <v>0</v>
      </c>
      <c r="AB98">
        <v>87.01</v>
      </c>
      <c r="AC98">
        <v>13.21</v>
      </c>
      <c r="AD98">
        <v>0</v>
      </c>
      <c r="AE98">
        <v>0</v>
      </c>
      <c r="AF98">
        <v>83.1</v>
      </c>
      <c r="AG98">
        <v>12.62</v>
      </c>
      <c r="AH98">
        <v>0</v>
      </c>
      <c r="AI98">
        <v>1</v>
      </c>
      <c r="AJ98">
        <v>1</v>
      </c>
      <c r="AK98">
        <v>1</v>
      </c>
      <c r="AL98">
        <v>1</v>
      </c>
      <c r="AM98">
        <v>-2</v>
      </c>
      <c r="AN98">
        <v>0</v>
      </c>
      <c r="AO98">
        <v>1</v>
      </c>
      <c r="AP98">
        <v>1</v>
      </c>
      <c r="AQ98">
        <v>0</v>
      </c>
      <c r="AR98">
        <v>0</v>
      </c>
      <c r="AS98" t="s">
        <v>3</v>
      </c>
      <c r="AT98">
        <v>6.0000000000000001E-3</v>
      </c>
      <c r="AU98" t="s">
        <v>71</v>
      </c>
      <c r="AV98">
        <v>0</v>
      </c>
      <c r="AW98">
        <v>2</v>
      </c>
      <c r="AX98">
        <v>57015301</v>
      </c>
      <c r="AY98">
        <v>1</v>
      </c>
      <c r="AZ98">
        <v>0</v>
      </c>
      <c r="BA98">
        <v>124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CV98">
        <v>0</v>
      </c>
      <c r="CW98">
        <f>ROUND(Y98*Source!I93*DO98,9)</f>
        <v>9.0864E-2</v>
      </c>
      <c r="CX98">
        <f>ROUND(Y98*Source!I93,9)</f>
        <v>7.1999999999999998E-3</v>
      </c>
      <c r="CY98">
        <f>AB98</f>
        <v>87.01</v>
      </c>
      <c r="CZ98">
        <f>AF98</f>
        <v>83.1</v>
      </c>
      <c r="DA98">
        <f>AJ98</f>
        <v>1</v>
      </c>
      <c r="DB98">
        <f>ROUND((ROUND(AT98*CZ98,2)*1.2),6)</f>
        <v>0.6</v>
      </c>
      <c r="DC98">
        <f>ROUND((ROUND(AT98*AG98,2)*1.2),6)</f>
        <v>9.6000000000000002E-2</v>
      </c>
      <c r="DD98" t="s">
        <v>3</v>
      </c>
      <c r="DE98" t="s">
        <v>3</v>
      </c>
      <c r="DF98">
        <f t="shared" si="23"/>
        <v>0</v>
      </c>
      <c r="DG98">
        <f>ROUND(ROUND(AF98,2)*CX98,2)</f>
        <v>0.6</v>
      </c>
      <c r="DH98">
        <f t="shared" si="22"/>
        <v>0.09</v>
      </c>
      <c r="DI98">
        <f t="shared" si="16"/>
        <v>0</v>
      </c>
      <c r="DJ98">
        <f>DG98</f>
        <v>0.6</v>
      </c>
      <c r="DK98">
        <v>0</v>
      </c>
      <c r="DL98" t="s">
        <v>392</v>
      </c>
      <c r="DM98">
        <v>0</v>
      </c>
      <c r="DN98" t="s">
        <v>387</v>
      </c>
      <c r="DO98">
        <v>12.62</v>
      </c>
    </row>
    <row r="99" spans="1:119" x14ac:dyDescent="0.25">
      <c r="A99">
        <f>ROW(Source!A94)</f>
        <v>94</v>
      </c>
      <c r="B99">
        <v>57014140</v>
      </c>
      <c r="C99">
        <v>57015299</v>
      </c>
      <c r="D99">
        <v>55424304</v>
      </c>
      <c r="E99">
        <v>1081</v>
      </c>
      <c r="F99">
        <v>1</v>
      </c>
      <c r="G99">
        <v>1081</v>
      </c>
      <c r="H99">
        <v>1</v>
      </c>
      <c r="I99" t="s">
        <v>385</v>
      </c>
      <c r="J99" t="s">
        <v>3</v>
      </c>
      <c r="K99" t="s">
        <v>386</v>
      </c>
      <c r="L99">
        <v>1191</v>
      </c>
      <c r="N99">
        <v>1013</v>
      </c>
      <c r="O99" t="s">
        <v>387</v>
      </c>
      <c r="P99" t="s">
        <v>387</v>
      </c>
      <c r="Q99">
        <v>1</v>
      </c>
      <c r="W99">
        <v>0</v>
      </c>
      <c r="X99">
        <v>476480486</v>
      </c>
      <c r="Y99">
        <f>(AT99*1.2)</f>
        <v>1.236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1</v>
      </c>
      <c r="AJ99">
        <v>1</v>
      </c>
      <c r="AK99">
        <v>1</v>
      </c>
      <c r="AL99">
        <v>1</v>
      </c>
      <c r="AM99">
        <v>5</v>
      </c>
      <c r="AN99">
        <v>0</v>
      </c>
      <c r="AO99">
        <v>1</v>
      </c>
      <c r="AP99">
        <v>1</v>
      </c>
      <c r="AQ99">
        <v>0</v>
      </c>
      <c r="AR99">
        <v>0</v>
      </c>
      <c r="AS99" t="s">
        <v>3</v>
      </c>
      <c r="AT99">
        <v>1.03</v>
      </c>
      <c r="AU99" t="s">
        <v>71</v>
      </c>
      <c r="AV99">
        <v>1</v>
      </c>
      <c r="AW99">
        <v>2</v>
      </c>
      <c r="AX99">
        <v>57015300</v>
      </c>
      <c r="AY99">
        <v>1</v>
      </c>
      <c r="AZ99">
        <v>0</v>
      </c>
      <c r="BA99">
        <v>126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CU99">
        <f>ROUND(AT99*Source!I94*AH99*AL99,2)</f>
        <v>0</v>
      </c>
      <c r="CV99">
        <f>ROUND(Y99*Source!I94,9)</f>
        <v>1.236</v>
      </c>
      <c r="CW99">
        <v>0</v>
      </c>
      <c r="CX99">
        <f>ROUND(Y99*Source!I94,9)</f>
        <v>1.236</v>
      </c>
      <c r="CY99">
        <f>AD99</f>
        <v>0</v>
      </c>
      <c r="CZ99">
        <f>AH99</f>
        <v>0</v>
      </c>
      <c r="DA99">
        <f>AL99</f>
        <v>1</v>
      </c>
      <c r="DB99">
        <f>ROUND((ROUND(AT99*CZ99,2)*1.2),6)</f>
        <v>0</v>
      </c>
      <c r="DC99">
        <f>ROUND((ROUND(AT99*AG99,2)*1.2),6)</f>
        <v>0</v>
      </c>
      <c r="DD99" t="s">
        <v>3</v>
      </c>
      <c r="DE99" t="s">
        <v>3</v>
      </c>
      <c r="DF99">
        <f t="shared" si="23"/>
        <v>0</v>
      </c>
      <c r="DG99">
        <f>ROUND(ROUND(AF99,2)*CX99,2)</f>
        <v>0</v>
      </c>
      <c r="DH99">
        <f t="shared" si="22"/>
        <v>0</v>
      </c>
      <c r="DI99">
        <f t="shared" si="16"/>
        <v>0</v>
      </c>
      <c r="DJ99">
        <f>DI99</f>
        <v>0</v>
      </c>
      <c r="DK99">
        <v>0</v>
      </c>
      <c r="DL99" t="s">
        <v>3</v>
      </c>
      <c r="DM99">
        <v>0</v>
      </c>
      <c r="DN99" t="s">
        <v>3</v>
      </c>
      <c r="DO99">
        <v>0</v>
      </c>
    </row>
    <row r="100" spans="1:119" x14ac:dyDescent="0.25">
      <c r="A100">
        <f>ROW(Source!A94)</f>
        <v>94</v>
      </c>
      <c r="B100">
        <v>57014140</v>
      </c>
      <c r="C100">
        <v>57015299</v>
      </c>
      <c r="D100">
        <v>55490209</v>
      </c>
      <c r="E100">
        <v>1</v>
      </c>
      <c r="F100">
        <v>1</v>
      </c>
      <c r="G100">
        <v>1081</v>
      </c>
      <c r="H100">
        <v>2</v>
      </c>
      <c r="I100" t="s">
        <v>460</v>
      </c>
      <c r="J100" t="s">
        <v>461</v>
      </c>
      <c r="K100" t="s">
        <v>462</v>
      </c>
      <c r="L100">
        <v>1368</v>
      </c>
      <c r="N100">
        <v>1011</v>
      </c>
      <c r="O100" t="s">
        <v>391</v>
      </c>
      <c r="P100" t="s">
        <v>391</v>
      </c>
      <c r="Q100">
        <v>1</v>
      </c>
      <c r="W100">
        <v>0</v>
      </c>
      <c r="X100">
        <v>874612079</v>
      </c>
      <c r="Y100">
        <f>(AT100*1.2)</f>
        <v>7.1999999999999998E-3</v>
      </c>
      <c r="AA100">
        <v>0</v>
      </c>
      <c r="AB100">
        <v>1485.19</v>
      </c>
      <c r="AC100">
        <v>744.56</v>
      </c>
      <c r="AD100">
        <v>0</v>
      </c>
      <c r="AE100">
        <v>0</v>
      </c>
      <c r="AF100">
        <v>83.1</v>
      </c>
      <c r="AG100">
        <v>12.62</v>
      </c>
      <c r="AH100">
        <v>0</v>
      </c>
      <c r="AI100">
        <v>1</v>
      </c>
      <c r="AJ100">
        <v>17.07</v>
      </c>
      <c r="AK100">
        <v>56.35</v>
      </c>
      <c r="AL100">
        <v>1</v>
      </c>
      <c r="AM100">
        <v>2</v>
      </c>
      <c r="AN100">
        <v>0</v>
      </c>
      <c r="AO100">
        <v>1</v>
      </c>
      <c r="AP100">
        <v>1</v>
      </c>
      <c r="AQ100">
        <v>0</v>
      </c>
      <c r="AR100">
        <v>0</v>
      </c>
      <c r="AS100" t="s">
        <v>3</v>
      </c>
      <c r="AT100">
        <v>6.0000000000000001E-3</v>
      </c>
      <c r="AU100" t="s">
        <v>71</v>
      </c>
      <c r="AV100">
        <v>0</v>
      </c>
      <c r="AW100">
        <v>2</v>
      </c>
      <c r="AX100">
        <v>57015301</v>
      </c>
      <c r="AY100">
        <v>1</v>
      </c>
      <c r="AZ100">
        <v>0</v>
      </c>
      <c r="BA100">
        <v>127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CV100">
        <v>0</v>
      </c>
      <c r="CW100">
        <f>ROUND(Y100*Source!I94*DO100,9)</f>
        <v>9.0864E-2</v>
      </c>
      <c r="CX100">
        <f>ROUND(Y100*Source!I94,9)</f>
        <v>7.1999999999999998E-3</v>
      </c>
      <c r="CY100">
        <f>AB100</f>
        <v>1485.19</v>
      </c>
      <c r="CZ100">
        <f>AF100</f>
        <v>83.1</v>
      </c>
      <c r="DA100">
        <f>AJ100</f>
        <v>17.07</v>
      </c>
      <c r="DB100">
        <f>ROUND((ROUND(AT100*CZ100,2)*1.2),6)</f>
        <v>0.6</v>
      </c>
      <c r="DC100">
        <f>ROUND((ROUND(AT100*AG100,2)*1.2),6)</f>
        <v>9.6000000000000002E-2</v>
      </c>
      <c r="DD100" t="s">
        <v>3</v>
      </c>
      <c r="DE100" t="s">
        <v>3</v>
      </c>
      <c r="DF100">
        <f t="shared" si="23"/>
        <v>0</v>
      </c>
      <c r="DG100">
        <f>ROUND(ROUND(AF100*AJ100,2)*CX100,2)</f>
        <v>10.210000000000001</v>
      </c>
      <c r="DH100">
        <f>ROUND(ROUND(AG100*AK100,2)*CX100,2)</f>
        <v>5.12</v>
      </c>
      <c r="DI100">
        <f t="shared" si="16"/>
        <v>0</v>
      </c>
      <c r="DJ100">
        <f>DG100</f>
        <v>10.210000000000001</v>
      </c>
      <c r="DK100">
        <v>0</v>
      </c>
      <c r="DL100" t="s">
        <v>392</v>
      </c>
      <c r="DM100">
        <v>0</v>
      </c>
      <c r="DN100" t="s">
        <v>387</v>
      </c>
      <c r="DO100">
        <v>12.62</v>
      </c>
    </row>
    <row r="101" spans="1:119" x14ac:dyDescent="0.25">
      <c r="A101">
        <f>ROW(Source!A95)</f>
        <v>95</v>
      </c>
      <c r="B101">
        <v>57014138</v>
      </c>
      <c r="C101">
        <v>57014517</v>
      </c>
      <c r="D101">
        <v>55424304</v>
      </c>
      <c r="E101">
        <v>1081</v>
      </c>
      <c r="F101">
        <v>1</v>
      </c>
      <c r="G101">
        <v>1081</v>
      </c>
      <c r="H101">
        <v>1</v>
      </c>
      <c r="I101" t="s">
        <v>385</v>
      </c>
      <c r="J101" t="s">
        <v>3</v>
      </c>
      <c r="K101" t="s">
        <v>386</v>
      </c>
      <c r="L101">
        <v>1191</v>
      </c>
      <c r="N101">
        <v>1013</v>
      </c>
      <c r="O101" t="s">
        <v>387</v>
      </c>
      <c r="P101" t="s">
        <v>387</v>
      </c>
      <c r="Q101">
        <v>1</v>
      </c>
      <c r="W101">
        <v>0</v>
      </c>
      <c r="X101">
        <v>476480486</v>
      </c>
      <c r="Y101">
        <f>(AT101*1.2)</f>
        <v>3.1799999999999997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1</v>
      </c>
      <c r="AJ101">
        <v>1</v>
      </c>
      <c r="AK101">
        <v>1</v>
      </c>
      <c r="AL101">
        <v>1</v>
      </c>
      <c r="AM101">
        <v>-2</v>
      </c>
      <c r="AN101">
        <v>0</v>
      </c>
      <c r="AO101">
        <v>1</v>
      </c>
      <c r="AP101">
        <v>1</v>
      </c>
      <c r="AQ101">
        <v>0</v>
      </c>
      <c r="AR101">
        <v>0</v>
      </c>
      <c r="AS101" t="s">
        <v>3</v>
      </c>
      <c r="AT101">
        <v>2.65</v>
      </c>
      <c r="AU101" t="s">
        <v>71</v>
      </c>
      <c r="AV101">
        <v>1</v>
      </c>
      <c r="AW101">
        <v>2</v>
      </c>
      <c r="AX101">
        <v>57014522</v>
      </c>
      <c r="AY101">
        <v>1</v>
      </c>
      <c r="AZ101">
        <v>0</v>
      </c>
      <c r="BA101">
        <v>129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CU101">
        <f>ROUND(AT101*Source!I95*AH101*AL101,2)</f>
        <v>0</v>
      </c>
      <c r="CV101">
        <f>ROUND(Y101*Source!I95,9)</f>
        <v>3.18</v>
      </c>
      <c r="CW101">
        <v>0</v>
      </c>
      <c r="CX101">
        <f>ROUND(Y101*Source!I95,9)</f>
        <v>3.18</v>
      </c>
      <c r="CY101">
        <f>AD101</f>
        <v>0</v>
      </c>
      <c r="CZ101">
        <f>AH101</f>
        <v>0</v>
      </c>
      <c r="DA101">
        <f>AL101</f>
        <v>1</v>
      </c>
      <c r="DB101">
        <f>ROUND((ROUND(AT101*CZ101,2)*1.2),6)</f>
        <v>0</v>
      </c>
      <c r="DC101">
        <f>ROUND((ROUND(AT101*AG101,2)*1.2),6)</f>
        <v>0</v>
      </c>
      <c r="DD101" t="s">
        <v>3</v>
      </c>
      <c r="DE101" t="s">
        <v>3</v>
      </c>
      <c r="DF101">
        <f t="shared" si="23"/>
        <v>0</v>
      </c>
      <c r="DG101">
        <f t="shared" ref="DG101:DG111" si="24">ROUND(ROUND(AF101,2)*CX101,2)</f>
        <v>0</v>
      </c>
      <c r="DH101">
        <f t="shared" ref="DH101:DH111" si="25">ROUND(ROUND(AG101,2)*CX101,2)</f>
        <v>0</v>
      </c>
      <c r="DI101">
        <f t="shared" si="16"/>
        <v>0</v>
      </c>
      <c r="DJ101">
        <f>DI101</f>
        <v>0</v>
      </c>
      <c r="DK101">
        <v>0</v>
      </c>
      <c r="DL101" t="s">
        <v>3</v>
      </c>
      <c r="DM101">
        <v>0</v>
      </c>
      <c r="DN101" t="s">
        <v>3</v>
      </c>
      <c r="DO101">
        <v>0</v>
      </c>
    </row>
    <row r="102" spans="1:119" x14ac:dyDescent="0.25">
      <c r="A102">
        <f>ROW(Source!A95)</f>
        <v>95</v>
      </c>
      <c r="B102">
        <v>57014138</v>
      </c>
      <c r="C102">
        <v>57014517</v>
      </c>
      <c r="D102">
        <v>55461074</v>
      </c>
      <c r="E102">
        <v>1</v>
      </c>
      <c r="F102">
        <v>1</v>
      </c>
      <c r="G102">
        <v>1081</v>
      </c>
      <c r="H102">
        <v>3</v>
      </c>
      <c r="I102" t="s">
        <v>418</v>
      </c>
      <c r="J102" t="s">
        <v>419</v>
      </c>
      <c r="K102" t="s">
        <v>420</v>
      </c>
      <c r="L102">
        <v>1346</v>
      </c>
      <c r="N102">
        <v>1009</v>
      </c>
      <c r="O102" t="s">
        <v>365</v>
      </c>
      <c r="P102" t="s">
        <v>365</v>
      </c>
      <c r="Q102">
        <v>1</v>
      </c>
      <c r="W102">
        <v>0</v>
      </c>
      <c r="X102">
        <v>-861631226</v>
      </c>
      <c r="Y102">
        <f>(AT102*1)</f>
        <v>6.2700000000000004E-3</v>
      </c>
      <c r="AA102">
        <v>27.62</v>
      </c>
      <c r="AB102">
        <v>0</v>
      </c>
      <c r="AC102">
        <v>0</v>
      </c>
      <c r="AD102">
        <v>0</v>
      </c>
      <c r="AE102">
        <v>27.62</v>
      </c>
      <c r="AF102">
        <v>0</v>
      </c>
      <c r="AG102">
        <v>0</v>
      </c>
      <c r="AH102">
        <v>0</v>
      </c>
      <c r="AI102">
        <v>1</v>
      </c>
      <c r="AJ102">
        <v>1</v>
      </c>
      <c r="AK102">
        <v>1</v>
      </c>
      <c r="AL102">
        <v>1</v>
      </c>
      <c r="AM102">
        <v>-2</v>
      </c>
      <c r="AN102">
        <v>0</v>
      </c>
      <c r="AO102">
        <v>1</v>
      </c>
      <c r="AP102">
        <v>1</v>
      </c>
      <c r="AQ102">
        <v>0</v>
      </c>
      <c r="AR102">
        <v>0</v>
      </c>
      <c r="AS102" t="s">
        <v>3</v>
      </c>
      <c r="AT102">
        <v>6.2700000000000004E-3</v>
      </c>
      <c r="AU102" t="s">
        <v>70</v>
      </c>
      <c r="AV102">
        <v>0</v>
      </c>
      <c r="AW102">
        <v>2</v>
      </c>
      <c r="AX102">
        <v>57014523</v>
      </c>
      <c r="AY102">
        <v>1</v>
      </c>
      <c r="AZ102">
        <v>0</v>
      </c>
      <c r="BA102">
        <v>130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CV102">
        <v>0</v>
      </c>
      <c r="CW102">
        <v>0</v>
      </c>
      <c r="CX102">
        <f>ROUND(Y102*Source!I95,9)</f>
        <v>6.2700000000000004E-3</v>
      </c>
      <c r="CY102">
        <f>AA102</f>
        <v>27.62</v>
      </c>
      <c r="CZ102">
        <f>AE102</f>
        <v>27.62</v>
      </c>
      <c r="DA102">
        <f>AI102</f>
        <v>1</v>
      </c>
      <c r="DB102">
        <f>ROUND((ROUND(AT102*CZ102,2)*1),6)</f>
        <v>0.17</v>
      </c>
      <c r="DC102">
        <f>ROUND((ROUND(AT102*AG102,2)*1),6)</f>
        <v>0</v>
      </c>
      <c r="DD102" t="s">
        <v>3</v>
      </c>
      <c r="DE102" t="s">
        <v>3</v>
      </c>
      <c r="DF102">
        <f t="shared" si="23"/>
        <v>0.17</v>
      </c>
      <c r="DG102">
        <f t="shared" si="24"/>
        <v>0</v>
      </c>
      <c r="DH102">
        <f t="shared" si="25"/>
        <v>0</v>
      </c>
      <c r="DI102">
        <f t="shared" si="16"/>
        <v>0</v>
      </c>
      <c r="DJ102">
        <f>DF102</f>
        <v>0.17</v>
      </c>
      <c r="DK102">
        <v>0</v>
      </c>
      <c r="DL102" t="s">
        <v>3</v>
      </c>
      <c r="DM102">
        <v>0</v>
      </c>
      <c r="DN102" t="s">
        <v>3</v>
      </c>
      <c r="DO102">
        <v>0</v>
      </c>
    </row>
    <row r="103" spans="1:119" x14ac:dyDescent="0.25">
      <c r="A103">
        <f>ROW(Source!A95)</f>
        <v>95</v>
      </c>
      <c r="B103">
        <v>57014138</v>
      </c>
      <c r="C103">
        <v>57014517</v>
      </c>
      <c r="D103">
        <v>55459793</v>
      </c>
      <c r="E103">
        <v>1</v>
      </c>
      <c r="F103">
        <v>1</v>
      </c>
      <c r="G103">
        <v>1081</v>
      </c>
      <c r="H103">
        <v>3</v>
      </c>
      <c r="I103" t="s">
        <v>412</v>
      </c>
      <c r="J103" t="s">
        <v>413</v>
      </c>
      <c r="K103" t="s">
        <v>414</v>
      </c>
      <c r="L103">
        <v>1348</v>
      </c>
      <c r="N103">
        <v>1009</v>
      </c>
      <c r="O103" t="s">
        <v>361</v>
      </c>
      <c r="P103" t="s">
        <v>361</v>
      </c>
      <c r="Q103">
        <v>1000</v>
      </c>
      <c r="W103">
        <v>0</v>
      </c>
      <c r="X103">
        <v>-761454284</v>
      </c>
      <c r="Y103">
        <f>(AT103*1)</f>
        <v>1.0000000000000001E-5</v>
      </c>
      <c r="AA103">
        <v>64123.05</v>
      </c>
      <c r="AB103">
        <v>0</v>
      </c>
      <c r="AC103">
        <v>0</v>
      </c>
      <c r="AD103">
        <v>0</v>
      </c>
      <c r="AE103">
        <v>64123.05</v>
      </c>
      <c r="AF103">
        <v>0</v>
      </c>
      <c r="AG103">
        <v>0</v>
      </c>
      <c r="AH103">
        <v>0</v>
      </c>
      <c r="AI103">
        <v>1</v>
      </c>
      <c r="AJ103">
        <v>1</v>
      </c>
      <c r="AK103">
        <v>1</v>
      </c>
      <c r="AL103">
        <v>1</v>
      </c>
      <c r="AM103">
        <v>-2</v>
      </c>
      <c r="AN103">
        <v>0</v>
      </c>
      <c r="AO103">
        <v>1</v>
      </c>
      <c r="AP103">
        <v>1</v>
      </c>
      <c r="AQ103">
        <v>0</v>
      </c>
      <c r="AR103">
        <v>0</v>
      </c>
      <c r="AS103" t="s">
        <v>3</v>
      </c>
      <c r="AT103">
        <v>1.0000000000000001E-5</v>
      </c>
      <c r="AU103" t="s">
        <v>70</v>
      </c>
      <c r="AV103">
        <v>0</v>
      </c>
      <c r="AW103">
        <v>2</v>
      </c>
      <c r="AX103">
        <v>57014524</v>
      </c>
      <c r="AY103">
        <v>1</v>
      </c>
      <c r="AZ103">
        <v>0</v>
      </c>
      <c r="BA103">
        <v>131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CV103">
        <v>0</v>
      </c>
      <c r="CW103">
        <v>0</v>
      </c>
      <c r="CX103">
        <f>ROUND(Y103*Source!I95,9)</f>
        <v>1.0000000000000001E-5</v>
      </c>
      <c r="CY103">
        <f>AA103</f>
        <v>64123.05</v>
      </c>
      <c r="CZ103">
        <f>AE103</f>
        <v>64123.05</v>
      </c>
      <c r="DA103">
        <f>AI103</f>
        <v>1</v>
      </c>
      <c r="DB103">
        <f>ROUND((ROUND(AT103*CZ103,2)*1),6)</f>
        <v>0.64</v>
      </c>
      <c r="DC103">
        <f>ROUND((ROUND(AT103*AG103,2)*1),6)</f>
        <v>0</v>
      </c>
      <c r="DD103" t="s">
        <v>3</v>
      </c>
      <c r="DE103" t="s">
        <v>3</v>
      </c>
      <c r="DF103">
        <f t="shared" si="23"/>
        <v>0.64</v>
      </c>
      <c r="DG103">
        <f t="shared" si="24"/>
        <v>0</v>
      </c>
      <c r="DH103">
        <f t="shared" si="25"/>
        <v>0</v>
      </c>
      <c r="DI103">
        <f t="shared" si="16"/>
        <v>0</v>
      </c>
      <c r="DJ103">
        <f>DF103</f>
        <v>0.64</v>
      </c>
      <c r="DK103">
        <v>0</v>
      </c>
      <c r="DL103" t="s">
        <v>3</v>
      </c>
      <c r="DM103">
        <v>0</v>
      </c>
      <c r="DN103" t="s">
        <v>3</v>
      </c>
      <c r="DO103">
        <v>0</v>
      </c>
    </row>
    <row r="104" spans="1:119" x14ac:dyDescent="0.25">
      <c r="A104">
        <f>ROW(Source!A95)</f>
        <v>95</v>
      </c>
      <c r="B104">
        <v>57014138</v>
      </c>
      <c r="C104">
        <v>57014517</v>
      </c>
      <c r="D104">
        <v>55469253</v>
      </c>
      <c r="E104">
        <v>1</v>
      </c>
      <c r="F104">
        <v>1</v>
      </c>
      <c r="G104">
        <v>1081</v>
      </c>
      <c r="H104">
        <v>3</v>
      </c>
      <c r="I104" t="s">
        <v>421</v>
      </c>
      <c r="J104" t="s">
        <v>422</v>
      </c>
      <c r="K104" t="s">
        <v>423</v>
      </c>
      <c r="L104">
        <v>1354</v>
      </c>
      <c r="N104">
        <v>1010</v>
      </c>
      <c r="O104" t="s">
        <v>251</v>
      </c>
      <c r="P104" t="s">
        <v>251</v>
      </c>
      <c r="Q104">
        <v>1</v>
      </c>
      <c r="W104">
        <v>0</v>
      </c>
      <c r="X104">
        <v>-32785108</v>
      </c>
      <c r="Y104">
        <f>(AT104*1)</f>
        <v>0.1</v>
      </c>
      <c r="AA104">
        <v>15.25</v>
      </c>
      <c r="AB104">
        <v>0</v>
      </c>
      <c r="AC104">
        <v>0</v>
      </c>
      <c r="AD104">
        <v>0</v>
      </c>
      <c r="AE104">
        <v>15.25</v>
      </c>
      <c r="AF104">
        <v>0</v>
      </c>
      <c r="AG104">
        <v>0</v>
      </c>
      <c r="AH104">
        <v>0</v>
      </c>
      <c r="AI104">
        <v>1</v>
      </c>
      <c r="AJ104">
        <v>1</v>
      </c>
      <c r="AK104">
        <v>1</v>
      </c>
      <c r="AL104">
        <v>1</v>
      </c>
      <c r="AM104">
        <v>-2</v>
      </c>
      <c r="AN104">
        <v>0</v>
      </c>
      <c r="AO104">
        <v>1</v>
      </c>
      <c r="AP104">
        <v>1</v>
      </c>
      <c r="AQ104">
        <v>0</v>
      </c>
      <c r="AR104">
        <v>0</v>
      </c>
      <c r="AS104" t="s">
        <v>3</v>
      </c>
      <c r="AT104">
        <v>0.1</v>
      </c>
      <c r="AU104" t="s">
        <v>70</v>
      </c>
      <c r="AV104">
        <v>0</v>
      </c>
      <c r="AW104">
        <v>2</v>
      </c>
      <c r="AX104">
        <v>57014525</v>
      </c>
      <c r="AY104">
        <v>1</v>
      </c>
      <c r="AZ104">
        <v>0</v>
      </c>
      <c r="BA104">
        <v>132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CV104">
        <v>0</v>
      </c>
      <c r="CW104">
        <v>0</v>
      </c>
      <c r="CX104">
        <f>ROUND(Y104*Source!I95,9)</f>
        <v>0.1</v>
      </c>
      <c r="CY104">
        <f>AA104</f>
        <v>15.25</v>
      </c>
      <c r="CZ104">
        <f>AE104</f>
        <v>15.25</v>
      </c>
      <c r="DA104">
        <f>AI104</f>
        <v>1</v>
      </c>
      <c r="DB104">
        <f>ROUND((ROUND(AT104*CZ104,2)*1),6)</f>
        <v>1.53</v>
      </c>
      <c r="DC104">
        <f>ROUND((ROUND(AT104*AG104,2)*1),6)</f>
        <v>0</v>
      </c>
      <c r="DD104" t="s">
        <v>3</v>
      </c>
      <c r="DE104" t="s">
        <v>3</v>
      </c>
      <c r="DF104">
        <f t="shared" si="23"/>
        <v>1.53</v>
      </c>
      <c r="DG104">
        <f t="shared" si="24"/>
        <v>0</v>
      </c>
      <c r="DH104">
        <f t="shared" si="25"/>
        <v>0</v>
      </c>
      <c r="DI104">
        <f t="shared" si="16"/>
        <v>0</v>
      </c>
      <c r="DJ104">
        <f>DF104</f>
        <v>1.53</v>
      </c>
      <c r="DK104">
        <v>0</v>
      </c>
      <c r="DL104" t="s">
        <v>3</v>
      </c>
      <c r="DM104">
        <v>0</v>
      </c>
      <c r="DN104" t="s">
        <v>3</v>
      </c>
      <c r="DO104">
        <v>0</v>
      </c>
    </row>
    <row r="105" spans="1:119" x14ac:dyDescent="0.25">
      <c r="A105">
        <f>ROW(Source!A96)</f>
        <v>96</v>
      </c>
      <c r="B105">
        <v>57014140</v>
      </c>
      <c r="C105">
        <v>57014517</v>
      </c>
      <c r="D105">
        <v>55424304</v>
      </c>
      <c r="E105">
        <v>1081</v>
      </c>
      <c r="F105">
        <v>1</v>
      </c>
      <c r="G105">
        <v>1081</v>
      </c>
      <c r="H105">
        <v>1</v>
      </c>
      <c r="I105" t="s">
        <v>385</v>
      </c>
      <c r="J105" t="s">
        <v>3</v>
      </c>
      <c r="K105" t="s">
        <v>386</v>
      </c>
      <c r="L105">
        <v>1191</v>
      </c>
      <c r="N105">
        <v>1013</v>
      </c>
      <c r="O105" t="s">
        <v>387</v>
      </c>
      <c r="P105" t="s">
        <v>387</v>
      </c>
      <c r="Q105">
        <v>1</v>
      </c>
      <c r="W105">
        <v>0</v>
      </c>
      <c r="X105">
        <v>476480486</v>
      </c>
      <c r="Y105">
        <f>(AT105*1.2)</f>
        <v>3.1799999999999997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1</v>
      </c>
      <c r="AJ105">
        <v>1</v>
      </c>
      <c r="AK105">
        <v>1</v>
      </c>
      <c r="AL105">
        <v>1</v>
      </c>
      <c r="AM105">
        <v>5</v>
      </c>
      <c r="AN105">
        <v>0</v>
      </c>
      <c r="AO105">
        <v>1</v>
      </c>
      <c r="AP105">
        <v>1</v>
      </c>
      <c r="AQ105">
        <v>0</v>
      </c>
      <c r="AR105">
        <v>0</v>
      </c>
      <c r="AS105" t="s">
        <v>3</v>
      </c>
      <c r="AT105">
        <v>2.65</v>
      </c>
      <c r="AU105" t="s">
        <v>71</v>
      </c>
      <c r="AV105">
        <v>1</v>
      </c>
      <c r="AW105">
        <v>2</v>
      </c>
      <c r="AX105">
        <v>57014522</v>
      </c>
      <c r="AY105">
        <v>1</v>
      </c>
      <c r="AZ105">
        <v>0</v>
      </c>
      <c r="BA105">
        <v>134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CU105">
        <f>ROUND(AT105*Source!I96*AH105*AL105,2)</f>
        <v>0</v>
      </c>
      <c r="CV105">
        <f>ROUND(Y105*Source!I96,9)</f>
        <v>3.18</v>
      </c>
      <c r="CW105">
        <v>0</v>
      </c>
      <c r="CX105">
        <f>ROUND(Y105*Source!I96,9)</f>
        <v>3.18</v>
      </c>
      <c r="CY105">
        <f>AD105</f>
        <v>0</v>
      </c>
      <c r="CZ105">
        <f>AH105</f>
        <v>0</v>
      </c>
      <c r="DA105">
        <f>AL105</f>
        <v>1</v>
      </c>
      <c r="DB105">
        <f>ROUND((ROUND(AT105*CZ105,2)*1.2),6)</f>
        <v>0</v>
      </c>
      <c r="DC105">
        <f>ROUND((ROUND(AT105*AG105,2)*1.2),6)</f>
        <v>0</v>
      </c>
      <c r="DD105" t="s">
        <v>3</v>
      </c>
      <c r="DE105" t="s">
        <v>3</v>
      </c>
      <c r="DF105">
        <f t="shared" si="23"/>
        <v>0</v>
      </c>
      <c r="DG105">
        <f t="shared" si="24"/>
        <v>0</v>
      </c>
      <c r="DH105">
        <f t="shared" si="25"/>
        <v>0</v>
      </c>
      <c r="DI105">
        <f t="shared" si="16"/>
        <v>0</v>
      </c>
      <c r="DJ105">
        <f>DI105</f>
        <v>0</v>
      </c>
      <c r="DK105">
        <v>0</v>
      </c>
      <c r="DL105" t="s">
        <v>3</v>
      </c>
      <c r="DM105">
        <v>0</v>
      </c>
      <c r="DN105" t="s">
        <v>3</v>
      </c>
      <c r="DO105">
        <v>0</v>
      </c>
    </row>
    <row r="106" spans="1:119" x14ac:dyDescent="0.25">
      <c r="A106">
        <f>ROW(Source!A96)</f>
        <v>96</v>
      </c>
      <c r="B106">
        <v>57014140</v>
      </c>
      <c r="C106">
        <v>57014517</v>
      </c>
      <c r="D106">
        <v>55461074</v>
      </c>
      <c r="E106">
        <v>1</v>
      </c>
      <c r="F106">
        <v>1</v>
      </c>
      <c r="G106">
        <v>1081</v>
      </c>
      <c r="H106">
        <v>3</v>
      </c>
      <c r="I106" t="s">
        <v>418</v>
      </c>
      <c r="J106" t="s">
        <v>419</v>
      </c>
      <c r="K106" t="s">
        <v>420</v>
      </c>
      <c r="L106">
        <v>1346</v>
      </c>
      <c r="N106">
        <v>1009</v>
      </c>
      <c r="O106" t="s">
        <v>365</v>
      </c>
      <c r="P106" t="s">
        <v>365</v>
      </c>
      <c r="Q106">
        <v>1</v>
      </c>
      <c r="W106">
        <v>0</v>
      </c>
      <c r="X106">
        <v>-861631226</v>
      </c>
      <c r="Y106">
        <f>(AT106*1)</f>
        <v>6.2700000000000004E-3</v>
      </c>
      <c r="AA106">
        <v>163.51</v>
      </c>
      <c r="AB106">
        <v>0</v>
      </c>
      <c r="AC106">
        <v>0</v>
      </c>
      <c r="AD106">
        <v>0</v>
      </c>
      <c r="AE106">
        <v>27.62</v>
      </c>
      <c r="AF106">
        <v>0</v>
      </c>
      <c r="AG106">
        <v>0</v>
      </c>
      <c r="AH106">
        <v>0</v>
      </c>
      <c r="AI106">
        <v>5.92</v>
      </c>
      <c r="AJ106">
        <v>1</v>
      </c>
      <c r="AK106">
        <v>1</v>
      </c>
      <c r="AL106">
        <v>1</v>
      </c>
      <c r="AM106">
        <v>2</v>
      </c>
      <c r="AN106">
        <v>0</v>
      </c>
      <c r="AO106">
        <v>1</v>
      </c>
      <c r="AP106">
        <v>1</v>
      </c>
      <c r="AQ106">
        <v>0</v>
      </c>
      <c r="AR106">
        <v>0</v>
      </c>
      <c r="AS106" t="s">
        <v>3</v>
      </c>
      <c r="AT106">
        <v>6.2700000000000004E-3</v>
      </c>
      <c r="AU106" t="s">
        <v>70</v>
      </c>
      <c r="AV106">
        <v>0</v>
      </c>
      <c r="AW106">
        <v>2</v>
      </c>
      <c r="AX106">
        <v>57014523</v>
      </c>
      <c r="AY106">
        <v>1</v>
      </c>
      <c r="AZ106">
        <v>0</v>
      </c>
      <c r="BA106">
        <v>135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CV106">
        <v>0</v>
      </c>
      <c r="CW106">
        <v>0</v>
      </c>
      <c r="CX106">
        <f>ROUND(Y106*Source!I96,9)</f>
        <v>6.2700000000000004E-3</v>
      </c>
      <c r="CY106">
        <f>AA106</f>
        <v>163.51</v>
      </c>
      <c r="CZ106">
        <f>AE106</f>
        <v>27.62</v>
      </c>
      <c r="DA106">
        <f>AI106</f>
        <v>5.92</v>
      </c>
      <c r="DB106">
        <f>ROUND((ROUND(AT106*CZ106,2)*1),6)</f>
        <v>0.17</v>
      </c>
      <c r="DC106">
        <f>ROUND((ROUND(AT106*AG106,2)*1),6)</f>
        <v>0</v>
      </c>
      <c r="DD106" t="s">
        <v>3</v>
      </c>
      <c r="DE106" t="s">
        <v>3</v>
      </c>
      <c r="DF106">
        <f>ROUND(ROUND(AE106*AI106,2)*CX106,2)</f>
        <v>1.03</v>
      </c>
      <c r="DG106">
        <f t="shared" si="24"/>
        <v>0</v>
      </c>
      <c r="DH106">
        <f t="shared" si="25"/>
        <v>0</v>
      </c>
      <c r="DI106">
        <f t="shared" si="16"/>
        <v>0</v>
      </c>
      <c r="DJ106">
        <f>DF106</f>
        <v>1.03</v>
      </c>
      <c r="DK106">
        <v>0</v>
      </c>
      <c r="DL106" t="s">
        <v>3</v>
      </c>
      <c r="DM106">
        <v>0</v>
      </c>
      <c r="DN106" t="s">
        <v>3</v>
      </c>
      <c r="DO106">
        <v>0</v>
      </c>
    </row>
    <row r="107" spans="1:119" x14ac:dyDescent="0.25">
      <c r="A107">
        <f>ROW(Source!A96)</f>
        <v>96</v>
      </c>
      <c r="B107">
        <v>57014140</v>
      </c>
      <c r="C107">
        <v>57014517</v>
      </c>
      <c r="D107">
        <v>55459793</v>
      </c>
      <c r="E107">
        <v>1</v>
      </c>
      <c r="F107">
        <v>1</v>
      </c>
      <c r="G107">
        <v>1081</v>
      </c>
      <c r="H107">
        <v>3</v>
      </c>
      <c r="I107" t="s">
        <v>412</v>
      </c>
      <c r="J107" t="s">
        <v>413</v>
      </c>
      <c r="K107" t="s">
        <v>414</v>
      </c>
      <c r="L107">
        <v>1348</v>
      </c>
      <c r="N107">
        <v>1009</v>
      </c>
      <c r="O107" t="s">
        <v>361</v>
      </c>
      <c r="P107" t="s">
        <v>361</v>
      </c>
      <c r="Q107">
        <v>1000</v>
      </c>
      <c r="W107">
        <v>0</v>
      </c>
      <c r="X107">
        <v>-761454284</v>
      </c>
      <c r="Y107">
        <f>(AT107*1)</f>
        <v>1.0000000000000001E-5</v>
      </c>
      <c r="AA107">
        <v>1930745.04</v>
      </c>
      <c r="AB107">
        <v>0</v>
      </c>
      <c r="AC107">
        <v>0</v>
      </c>
      <c r="AD107">
        <v>0</v>
      </c>
      <c r="AE107">
        <v>64123.05</v>
      </c>
      <c r="AF107">
        <v>0</v>
      </c>
      <c r="AG107">
        <v>0</v>
      </c>
      <c r="AH107">
        <v>0</v>
      </c>
      <c r="AI107">
        <v>30.11</v>
      </c>
      <c r="AJ107">
        <v>1</v>
      </c>
      <c r="AK107">
        <v>1</v>
      </c>
      <c r="AL107">
        <v>1</v>
      </c>
      <c r="AM107">
        <v>2</v>
      </c>
      <c r="AN107">
        <v>0</v>
      </c>
      <c r="AO107">
        <v>1</v>
      </c>
      <c r="AP107">
        <v>1</v>
      </c>
      <c r="AQ107">
        <v>0</v>
      </c>
      <c r="AR107">
        <v>0</v>
      </c>
      <c r="AS107" t="s">
        <v>3</v>
      </c>
      <c r="AT107">
        <v>1.0000000000000001E-5</v>
      </c>
      <c r="AU107" t="s">
        <v>70</v>
      </c>
      <c r="AV107">
        <v>0</v>
      </c>
      <c r="AW107">
        <v>2</v>
      </c>
      <c r="AX107">
        <v>57014524</v>
      </c>
      <c r="AY107">
        <v>1</v>
      </c>
      <c r="AZ107">
        <v>0</v>
      </c>
      <c r="BA107">
        <v>136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CV107">
        <v>0</v>
      </c>
      <c r="CW107">
        <v>0</v>
      </c>
      <c r="CX107">
        <f>ROUND(Y107*Source!I96,9)</f>
        <v>1.0000000000000001E-5</v>
      </c>
      <c r="CY107">
        <f>AA107</f>
        <v>1930745.04</v>
      </c>
      <c r="CZ107">
        <f>AE107</f>
        <v>64123.05</v>
      </c>
      <c r="DA107">
        <f>AI107</f>
        <v>30.11</v>
      </c>
      <c r="DB107">
        <f>ROUND((ROUND(AT107*CZ107,2)*1),6)</f>
        <v>0.64</v>
      </c>
      <c r="DC107">
        <f>ROUND((ROUND(AT107*AG107,2)*1),6)</f>
        <v>0</v>
      </c>
      <c r="DD107" t="s">
        <v>3</v>
      </c>
      <c r="DE107" t="s">
        <v>3</v>
      </c>
      <c r="DF107">
        <f>ROUND(ROUND(AE107*AI107,2)*CX107,2)</f>
        <v>19.309999999999999</v>
      </c>
      <c r="DG107">
        <f t="shared" si="24"/>
        <v>0</v>
      </c>
      <c r="DH107">
        <f t="shared" si="25"/>
        <v>0</v>
      </c>
      <c r="DI107">
        <f t="shared" si="16"/>
        <v>0</v>
      </c>
      <c r="DJ107">
        <f>DF107</f>
        <v>19.309999999999999</v>
      </c>
      <c r="DK107">
        <v>0</v>
      </c>
      <c r="DL107" t="s">
        <v>3</v>
      </c>
      <c r="DM107">
        <v>0</v>
      </c>
      <c r="DN107" t="s">
        <v>3</v>
      </c>
      <c r="DO107">
        <v>0</v>
      </c>
    </row>
    <row r="108" spans="1:119" x14ac:dyDescent="0.25">
      <c r="A108">
        <f>ROW(Source!A96)</f>
        <v>96</v>
      </c>
      <c r="B108">
        <v>57014140</v>
      </c>
      <c r="C108">
        <v>57014517</v>
      </c>
      <c r="D108">
        <v>55469253</v>
      </c>
      <c r="E108">
        <v>1</v>
      </c>
      <c r="F108">
        <v>1</v>
      </c>
      <c r="G108">
        <v>1081</v>
      </c>
      <c r="H108">
        <v>3</v>
      </c>
      <c r="I108" t="s">
        <v>421</v>
      </c>
      <c r="J108" t="s">
        <v>422</v>
      </c>
      <c r="K108" t="s">
        <v>423</v>
      </c>
      <c r="L108">
        <v>1354</v>
      </c>
      <c r="N108">
        <v>1010</v>
      </c>
      <c r="O108" t="s">
        <v>251</v>
      </c>
      <c r="P108" t="s">
        <v>251</v>
      </c>
      <c r="Q108">
        <v>1</v>
      </c>
      <c r="W108">
        <v>0</v>
      </c>
      <c r="X108">
        <v>-32785108</v>
      </c>
      <c r="Y108">
        <f>(AT108*1)</f>
        <v>0.1</v>
      </c>
      <c r="AA108">
        <v>36.14</v>
      </c>
      <c r="AB108">
        <v>0</v>
      </c>
      <c r="AC108">
        <v>0</v>
      </c>
      <c r="AD108">
        <v>0</v>
      </c>
      <c r="AE108">
        <v>15.25</v>
      </c>
      <c r="AF108">
        <v>0</v>
      </c>
      <c r="AG108">
        <v>0</v>
      </c>
      <c r="AH108">
        <v>0</v>
      </c>
      <c r="AI108">
        <v>2.37</v>
      </c>
      <c r="AJ108">
        <v>1</v>
      </c>
      <c r="AK108">
        <v>1</v>
      </c>
      <c r="AL108">
        <v>1</v>
      </c>
      <c r="AM108">
        <v>2</v>
      </c>
      <c r="AN108">
        <v>0</v>
      </c>
      <c r="AO108">
        <v>1</v>
      </c>
      <c r="AP108">
        <v>1</v>
      </c>
      <c r="AQ108">
        <v>0</v>
      </c>
      <c r="AR108">
        <v>0</v>
      </c>
      <c r="AS108" t="s">
        <v>3</v>
      </c>
      <c r="AT108">
        <v>0.1</v>
      </c>
      <c r="AU108" t="s">
        <v>70</v>
      </c>
      <c r="AV108">
        <v>0</v>
      </c>
      <c r="AW108">
        <v>2</v>
      </c>
      <c r="AX108">
        <v>57014525</v>
      </c>
      <c r="AY108">
        <v>1</v>
      </c>
      <c r="AZ108">
        <v>0</v>
      </c>
      <c r="BA108">
        <v>137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CV108">
        <v>0</v>
      </c>
      <c r="CW108">
        <v>0</v>
      </c>
      <c r="CX108">
        <f>ROUND(Y108*Source!I96,9)</f>
        <v>0.1</v>
      </c>
      <c r="CY108">
        <f>AA108</f>
        <v>36.14</v>
      </c>
      <c r="CZ108">
        <f>AE108</f>
        <v>15.25</v>
      </c>
      <c r="DA108">
        <f>AI108</f>
        <v>2.37</v>
      </c>
      <c r="DB108">
        <f>ROUND((ROUND(AT108*CZ108,2)*1),6)</f>
        <v>1.53</v>
      </c>
      <c r="DC108">
        <f>ROUND((ROUND(AT108*AG108,2)*1),6)</f>
        <v>0</v>
      </c>
      <c r="DD108" t="s">
        <v>3</v>
      </c>
      <c r="DE108" t="s">
        <v>3</v>
      </c>
      <c r="DF108">
        <f>ROUND(ROUND(AE108*AI108,2)*CX108,2)</f>
        <v>3.61</v>
      </c>
      <c r="DG108">
        <f t="shared" si="24"/>
        <v>0</v>
      </c>
      <c r="DH108">
        <f t="shared" si="25"/>
        <v>0</v>
      </c>
      <c r="DI108">
        <f t="shared" si="16"/>
        <v>0</v>
      </c>
      <c r="DJ108">
        <f>DF108</f>
        <v>3.61</v>
      </c>
      <c r="DK108">
        <v>0</v>
      </c>
      <c r="DL108" t="s">
        <v>3</v>
      </c>
      <c r="DM108">
        <v>0</v>
      </c>
      <c r="DN108" t="s">
        <v>3</v>
      </c>
      <c r="DO108">
        <v>0</v>
      </c>
    </row>
    <row r="109" spans="1:119" x14ac:dyDescent="0.25">
      <c r="A109">
        <f>ROW(Source!A99)</f>
        <v>99</v>
      </c>
      <c r="B109">
        <v>57014138</v>
      </c>
      <c r="C109">
        <v>57015304</v>
      </c>
      <c r="D109">
        <v>55424304</v>
      </c>
      <c r="E109">
        <v>1081</v>
      </c>
      <c r="F109">
        <v>1</v>
      </c>
      <c r="G109">
        <v>1081</v>
      </c>
      <c r="H109">
        <v>1</v>
      </c>
      <c r="I109" t="s">
        <v>385</v>
      </c>
      <c r="J109" t="s">
        <v>3</v>
      </c>
      <c r="K109" t="s">
        <v>386</v>
      </c>
      <c r="L109">
        <v>1191</v>
      </c>
      <c r="N109">
        <v>1013</v>
      </c>
      <c r="O109" t="s">
        <v>387</v>
      </c>
      <c r="P109" t="s">
        <v>387</v>
      </c>
      <c r="Q109">
        <v>1</v>
      </c>
      <c r="W109">
        <v>0</v>
      </c>
      <c r="X109">
        <v>476480486</v>
      </c>
      <c r="Y109">
        <f t="shared" ref="Y109:Y117" si="26">(AT109*1.2)</f>
        <v>3.7079999999999997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1</v>
      </c>
      <c r="AJ109">
        <v>1</v>
      </c>
      <c r="AK109">
        <v>1</v>
      </c>
      <c r="AL109">
        <v>1</v>
      </c>
      <c r="AM109">
        <v>-2</v>
      </c>
      <c r="AN109">
        <v>0</v>
      </c>
      <c r="AO109">
        <v>1</v>
      </c>
      <c r="AP109">
        <v>1</v>
      </c>
      <c r="AQ109">
        <v>0</v>
      </c>
      <c r="AR109">
        <v>0</v>
      </c>
      <c r="AS109" t="s">
        <v>3</v>
      </c>
      <c r="AT109">
        <v>3.09</v>
      </c>
      <c r="AU109" t="s">
        <v>71</v>
      </c>
      <c r="AV109">
        <v>1</v>
      </c>
      <c r="AW109">
        <v>2</v>
      </c>
      <c r="AX109">
        <v>57015305</v>
      </c>
      <c r="AY109">
        <v>1</v>
      </c>
      <c r="AZ109">
        <v>0</v>
      </c>
      <c r="BA109">
        <v>139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CU109">
        <f>ROUND(AT109*Source!I99*AH109*AL109,2)</f>
        <v>0</v>
      </c>
      <c r="CV109">
        <f>ROUND(Y109*Source!I99,9)</f>
        <v>3.7080000000000002</v>
      </c>
      <c r="CW109">
        <v>0</v>
      </c>
      <c r="CX109">
        <f>ROUND(Y109*Source!I99,9)</f>
        <v>3.7080000000000002</v>
      </c>
      <c r="CY109">
        <f>AD109</f>
        <v>0</v>
      </c>
      <c r="CZ109">
        <f>AH109</f>
        <v>0</v>
      </c>
      <c r="DA109">
        <f>AL109</f>
        <v>1</v>
      </c>
      <c r="DB109">
        <f t="shared" ref="DB109:DB117" si="27">ROUND((ROUND(AT109*CZ109,2)*1.2),6)</f>
        <v>0</v>
      </c>
      <c r="DC109">
        <f t="shared" ref="DC109:DC117" si="28">ROUND((ROUND(AT109*AG109,2)*1.2),6)</f>
        <v>0</v>
      </c>
      <c r="DD109" t="s">
        <v>3</v>
      </c>
      <c r="DE109" t="s">
        <v>3</v>
      </c>
      <c r="DF109">
        <f t="shared" ref="DF109:DF123" si="29">ROUND(ROUND(AE109,2)*CX109,2)</f>
        <v>0</v>
      </c>
      <c r="DG109">
        <f t="shared" si="24"/>
        <v>0</v>
      </c>
      <c r="DH109">
        <f t="shared" si="25"/>
        <v>0</v>
      </c>
      <c r="DI109">
        <f t="shared" si="16"/>
        <v>0</v>
      </c>
      <c r="DJ109">
        <f>DI109</f>
        <v>0</v>
      </c>
      <c r="DK109">
        <v>0</v>
      </c>
      <c r="DL109" t="s">
        <v>3</v>
      </c>
      <c r="DM109">
        <v>0</v>
      </c>
      <c r="DN109" t="s">
        <v>3</v>
      </c>
      <c r="DO109">
        <v>0</v>
      </c>
    </row>
    <row r="110" spans="1:119" x14ac:dyDescent="0.25">
      <c r="A110">
        <f>ROW(Source!A99)</f>
        <v>99</v>
      </c>
      <c r="B110">
        <v>57014138</v>
      </c>
      <c r="C110">
        <v>57015304</v>
      </c>
      <c r="D110">
        <v>55490209</v>
      </c>
      <c r="E110">
        <v>1</v>
      </c>
      <c r="F110">
        <v>1</v>
      </c>
      <c r="G110">
        <v>1081</v>
      </c>
      <c r="H110">
        <v>2</v>
      </c>
      <c r="I110" t="s">
        <v>460</v>
      </c>
      <c r="J110" t="s">
        <v>461</v>
      </c>
      <c r="K110" t="s">
        <v>462</v>
      </c>
      <c r="L110">
        <v>1368</v>
      </c>
      <c r="N110">
        <v>1011</v>
      </c>
      <c r="O110" t="s">
        <v>391</v>
      </c>
      <c r="P110" t="s">
        <v>391</v>
      </c>
      <c r="Q110">
        <v>1</v>
      </c>
      <c r="W110">
        <v>0</v>
      </c>
      <c r="X110">
        <v>874612079</v>
      </c>
      <c r="Y110">
        <f t="shared" si="26"/>
        <v>2.76E-2</v>
      </c>
      <c r="AA110">
        <v>0</v>
      </c>
      <c r="AB110">
        <v>87.01</v>
      </c>
      <c r="AC110">
        <v>13.21</v>
      </c>
      <c r="AD110">
        <v>0</v>
      </c>
      <c r="AE110">
        <v>0</v>
      </c>
      <c r="AF110">
        <v>83.1</v>
      </c>
      <c r="AG110">
        <v>12.62</v>
      </c>
      <c r="AH110">
        <v>0</v>
      </c>
      <c r="AI110">
        <v>1</v>
      </c>
      <c r="AJ110">
        <v>1</v>
      </c>
      <c r="AK110">
        <v>1</v>
      </c>
      <c r="AL110">
        <v>1</v>
      </c>
      <c r="AM110">
        <v>-2</v>
      </c>
      <c r="AN110">
        <v>0</v>
      </c>
      <c r="AO110">
        <v>1</v>
      </c>
      <c r="AP110">
        <v>1</v>
      </c>
      <c r="AQ110">
        <v>0</v>
      </c>
      <c r="AR110">
        <v>0</v>
      </c>
      <c r="AS110" t="s">
        <v>3</v>
      </c>
      <c r="AT110">
        <v>2.3E-2</v>
      </c>
      <c r="AU110" t="s">
        <v>71</v>
      </c>
      <c r="AV110">
        <v>0</v>
      </c>
      <c r="AW110">
        <v>2</v>
      </c>
      <c r="AX110">
        <v>57015306</v>
      </c>
      <c r="AY110">
        <v>1</v>
      </c>
      <c r="AZ110">
        <v>0</v>
      </c>
      <c r="BA110">
        <v>140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CV110">
        <v>0</v>
      </c>
      <c r="CW110">
        <f>ROUND(Y110*Source!I99*DO110,9)</f>
        <v>0.34831200000000001</v>
      </c>
      <c r="CX110">
        <f>ROUND(Y110*Source!I99,9)</f>
        <v>2.76E-2</v>
      </c>
      <c r="CY110">
        <f>AB110</f>
        <v>87.01</v>
      </c>
      <c r="CZ110">
        <f>AF110</f>
        <v>83.1</v>
      </c>
      <c r="DA110">
        <f>AJ110</f>
        <v>1</v>
      </c>
      <c r="DB110">
        <f t="shared" si="27"/>
        <v>2.2919999999999998</v>
      </c>
      <c r="DC110">
        <f t="shared" si="28"/>
        <v>0.34799999999999998</v>
      </c>
      <c r="DD110" t="s">
        <v>3</v>
      </c>
      <c r="DE110" t="s">
        <v>3</v>
      </c>
      <c r="DF110">
        <f t="shared" si="29"/>
        <v>0</v>
      </c>
      <c r="DG110">
        <f t="shared" si="24"/>
        <v>2.29</v>
      </c>
      <c r="DH110">
        <f t="shared" si="25"/>
        <v>0.35</v>
      </c>
      <c r="DI110">
        <f t="shared" si="16"/>
        <v>0</v>
      </c>
      <c r="DJ110">
        <f>DG110</f>
        <v>2.29</v>
      </c>
      <c r="DK110">
        <v>0</v>
      </c>
      <c r="DL110" t="s">
        <v>392</v>
      </c>
      <c r="DM110">
        <v>0</v>
      </c>
      <c r="DN110" t="s">
        <v>387</v>
      </c>
      <c r="DO110">
        <v>12.62</v>
      </c>
    </row>
    <row r="111" spans="1:119" x14ac:dyDescent="0.25">
      <c r="A111">
        <f>ROW(Source!A100)</f>
        <v>100</v>
      </c>
      <c r="B111">
        <v>57014140</v>
      </c>
      <c r="C111">
        <v>57015304</v>
      </c>
      <c r="D111">
        <v>55424304</v>
      </c>
      <c r="E111">
        <v>1081</v>
      </c>
      <c r="F111">
        <v>1</v>
      </c>
      <c r="G111">
        <v>1081</v>
      </c>
      <c r="H111">
        <v>1</v>
      </c>
      <c r="I111" t="s">
        <v>385</v>
      </c>
      <c r="J111" t="s">
        <v>3</v>
      </c>
      <c r="K111" t="s">
        <v>386</v>
      </c>
      <c r="L111">
        <v>1191</v>
      </c>
      <c r="N111">
        <v>1013</v>
      </c>
      <c r="O111" t="s">
        <v>387</v>
      </c>
      <c r="P111" t="s">
        <v>387</v>
      </c>
      <c r="Q111">
        <v>1</v>
      </c>
      <c r="W111">
        <v>0</v>
      </c>
      <c r="X111">
        <v>476480486</v>
      </c>
      <c r="Y111">
        <f t="shared" si="26"/>
        <v>3.7079999999999997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1</v>
      </c>
      <c r="AJ111">
        <v>1</v>
      </c>
      <c r="AK111">
        <v>1</v>
      </c>
      <c r="AL111">
        <v>1</v>
      </c>
      <c r="AM111">
        <v>5</v>
      </c>
      <c r="AN111">
        <v>0</v>
      </c>
      <c r="AO111">
        <v>1</v>
      </c>
      <c r="AP111">
        <v>1</v>
      </c>
      <c r="AQ111">
        <v>0</v>
      </c>
      <c r="AR111">
        <v>0</v>
      </c>
      <c r="AS111" t="s">
        <v>3</v>
      </c>
      <c r="AT111">
        <v>3.09</v>
      </c>
      <c r="AU111" t="s">
        <v>71</v>
      </c>
      <c r="AV111">
        <v>1</v>
      </c>
      <c r="AW111">
        <v>2</v>
      </c>
      <c r="AX111">
        <v>57015305</v>
      </c>
      <c r="AY111">
        <v>1</v>
      </c>
      <c r="AZ111">
        <v>0</v>
      </c>
      <c r="BA111">
        <v>142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CU111">
        <f>ROUND(AT111*Source!I100*AH111*AL111,2)</f>
        <v>0</v>
      </c>
      <c r="CV111">
        <f>ROUND(Y111*Source!I100,9)</f>
        <v>3.7080000000000002</v>
      </c>
      <c r="CW111">
        <v>0</v>
      </c>
      <c r="CX111">
        <f>ROUND(Y111*Source!I100,9)</f>
        <v>3.7080000000000002</v>
      </c>
      <c r="CY111">
        <f>AD111</f>
        <v>0</v>
      </c>
      <c r="CZ111">
        <f>AH111</f>
        <v>0</v>
      </c>
      <c r="DA111">
        <f>AL111</f>
        <v>1</v>
      </c>
      <c r="DB111">
        <f t="shared" si="27"/>
        <v>0</v>
      </c>
      <c r="DC111">
        <f t="shared" si="28"/>
        <v>0</v>
      </c>
      <c r="DD111" t="s">
        <v>3</v>
      </c>
      <c r="DE111" t="s">
        <v>3</v>
      </c>
      <c r="DF111">
        <f t="shared" si="29"/>
        <v>0</v>
      </c>
      <c r="DG111">
        <f t="shared" si="24"/>
        <v>0</v>
      </c>
      <c r="DH111">
        <f t="shared" si="25"/>
        <v>0</v>
      </c>
      <c r="DI111">
        <f t="shared" si="16"/>
        <v>0</v>
      </c>
      <c r="DJ111">
        <f>DI111</f>
        <v>0</v>
      </c>
      <c r="DK111">
        <v>0</v>
      </c>
      <c r="DL111" t="s">
        <v>3</v>
      </c>
      <c r="DM111">
        <v>0</v>
      </c>
      <c r="DN111" t="s">
        <v>3</v>
      </c>
      <c r="DO111">
        <v>0</v>
      </c>
    </row>
    <row r="112" spans="1:119" x14ac:dyDescent="0.25">
      <c r="A112">
        <f>ROW(Source!A100)</f>
        <v>100</v>
      </c>
      <c r="B112">
        <v>57014140</v>
      </c>
      <c r="C112">
        <v>57015304</v>
      </c>
      <c r="D112">
        <v>55490209</v>
      </c>
      <c r="E112">
        <v>1</v>
      </c>
      <c r="F112">
        <v>1</v>
      </c>
      <c r="G112">
        <v>1081</v>
      </c>
      <c r="H112">
        <v>2</v>
      </c>
      <c r="I112" t="s">
        <v>460</v>
      </c>
      <c r="J112" t="s">
        <v>461</v>
      </c>
      <c r="K112" t="s">
        <v>462</v>
      </c>
      <c r="L112">
        <v>1368</v>
      </c>
      <c r="N112">
        <v>1011</v>
      </c>
      <c r="O112" t="s">
        <v>391</v>
      </c>
      <c r="P112" t="s">
        <v>391</v>
      </c>
      <c r="Q112">
        <v>1</v>
      </c>
      <c r="W112">
        <v>0</v>
      </c>
      <c r="X112">
        <v>874612079</v>
      </c>
      <c r="Y112">
        <f t="shared" si="26"/>
        <v>2.76E-2</v>
      </c>
      <c r="AA112">
        <v>0</v>
      </c>
      <c r="AB112">
        <v>1485.19</v>
      </c>
      <c r="AC112">
        <v>744.56</v>
      </c>
      <c r="AD112">
        <v>0</v>
      </c>
      <c r="AE112">
        <v>0</v>
      </c>
      <c r="AF112">
        <v>83.1</v>
      </c>
      <c r="AG112">
        <v>12.62</v>
      </c>
      <c r="AH112">
        <v>0</v>
      </c>
      <c r="AI112">
        <v>1</v>
      </c>
      <c r="AJ112">
        <v>17.07</v>
      </c>
      <c r="AK112">
        <v>56.35</v>
      </c>
      <c r="AL112">
        <v>1</v>
      </c>
      <c r="AM112">
        <v>2</v>
      </c>
      <c r="AN112">
        <v>0</v>
      </c>
      <c r="AO112">
        <v>1</v>
      </c>
      <c r="AP112">
        <v>1</v>
      </c>
      <c r="AQ112">
        <v>0</v>
      </c>
      <c r="AR112">
        <v>0</v>
      </c>
      <c r="AS112" t="s">
        <v>3</v>
      </c>
      <c r="AT112">
        <v>2.3E-2</v>
      </c>
      <c r="AU112" t="s">
        <v>71</v>
      </c>
      <c r="AV112">
        <v>0</v>
      </c>
      <c r="AW112">
        <v>2</v>
      </c>
      <c r="AX112">
        <v>57015306</v>
      </c>
      <c r="AY112">
        <v>1</v>
      </c>
      <c r="AZ112">
        <v>0</v>
      </c>
      <c r="BA112">
        <v>143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CV112">
        <v>0</v>
      </c>
      <c r="CW112">
        <f>ROUND(Y112*Source!I100*DO112,9)</f>
        <v>0.34831200000000001</v>
      </c>
      <c r="CX112">
        <f>ROUND(Y112*Source!I100,9)</f>
        <v>2.76E-2</v>
      </c>
      <c r="CY112">
        <f>AB112</f>
        <v>1485.19</v>
      </c>
      <c r="CZ112">
        <f>AF112</f>
        <v>83.1</v>
      </c>
      <c r="DA112">
        <f>AJ112</f>
        <v>17.07</v>
      </c>
      <c r="DB112">
        <f t="shared" si="27"/>
        <v>2.2919999999999998</v>
      </c>
      <c r="DC112">
        <f t="shared" si="28"/>
        <v>0.34799999999999998</v>
      </c>
      <c r="DD112" t="s">
        <v>3</v>
      </c>
      <c r="DE112" t="s">
        <v>3</v>
      </c>
      <c r="DF112">
        <f t="shared" si="29"/>
        <v>0</v>
      </c>
      <c r="DG112">
        <f>ROUND(ROUND(AF112*AJ112,2)*CX112,2)</f>
        <v>39.15</v>
      </c>
      <c r="DH112">
        <f>ROUND(ROUND(AG112*AK112,2)*CX112,2)</f>
        <v>19.63</v>
      </c>
      <c r="DI112">
        <f t="shared" si="16"/>
        <v>0</v>
      </c>
      <c r="DJ112">
        <f>DG112</f>
        <v>39.15</v>
      </c>
      <c r="DK112">
        <v>0</v>
      </c>
      <c r="DL112" t="s">
        <v>392</v>
      </c>
      <c r="DM112">
        <v>0</v>
      </c>
      <c r="DN112" t="s">
        <v>387</v>
      </c>
      <c r="DO112">
        <v>12.62</v>
      </c>
    </row>
    <row r="113" spans="1:119" x14ac:dyDescent="0.25">
      <c r="A113">
        <f>ROW(Source!A101)</f>
        <v>101</v>
      </c>
      <c r="B113">
        <v>57014138</v>
      </c>
      <c r="C113">
        <v>57014532</v>
      </c>
      <c r="D113">
        <v>55424304</v>
      </c>
      <c r="E113">
        <v>1081</v>
      </c>
      <c r="F113">
        <v>1</v>
      </c>
      <c r="G113">
        <v>1081</v>
      </c>
      <c r="H113">
        <v>1</v>
      </c>
      <c r="I113" t="s">
        <v>385</v>
      </c>
      <c r="J113" t="s">
        <v>3</v>
      </c>
      <c r="K113" t="s">
        <v>386</v>
      </c>
      <c r="L113">
        <v>1191</v>
      </c>
      <c r="N113">
        <v>1013</v>
      </c>
      <c r="O113" t="s">
        <v>387</v>
      </c>
      <c r="P113" t="s">
        <v>387</v>
      </c>
      <c r="Q113">
        <v>1</v>
      </c>
      <c r="W113">
        <v>0</v>
      </c>
      <c r="X113">
        <v>476480486</v>
      </c>
      <c r="Y113">
        <f t="shared" si="26"/>
        <v>8.64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1</v>
      </c>
      <c r="AJ113">
        <v>1</v>
      </c>
      <c r="AK113">
        <v>1</v>
      </c>
      <c r="AL113">
        <v>1</v>
      </c>
      <c r="AM113">
        <v>-2</v>
      </c>
      <c r="AN113">
        <v>0</v>
      </c>
      <c r="AO113">
        <v>1</v>
      </c>
      <c r="AP113">
        <v>1</v>
      </c>
      <c r="AQ113">
        <v>0</v>
      </c>
      <c r="AR113">
        <v>0</v>
      </c>
      <c r="AS113" t="s">
        <v>3</v>
      </c>
      <c r="AT113">
        <v>7.2</v>
      </c>
      <c r="AU113" t="s">
        <v>71</v>
      </c>
      <c r="AV113">
        <v>1</v>
      </c>
      <c r="AW113">
        <v>2</v>
      </c>
      <c r="AX113">
        <v>57014534</v>
      </c>
      <c r="AY113">
        <v>1</v>
      </c>
      <c r="AZ113">
        <v>0</v>
      </c>
      <c r="BA113">
        <v>145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CU113">
        <f>ROUND(AT113*Source!I101*AH113*AL113,2)</f>
        <v>0</v>
      </c>
      <c r="CV113">
        <f>ROUND(Y113*Source!I101,9)</f>
        <v>8.64</v>
      </c>
      <c r="CW113">
        <v>0</v>
      </c>
      <c r="CX113">
        <f>ROUND(Y113*Source!I101,9)</f>
        <v>8.64</v>
      </c>
      <c r="CY113">
        <f>AD113</f>
        <v>0</v>
      </c>
      <c r="CZ113">
        <f>AH113</f>
        <v>0</v>
      </c>
      <c r="DA113">
        <f>AL113</f>
        <v>1</v>
      </c>
      <c r="DB113">
        <f t="shared" si="27"/>
        <v>0</v>
      </c>
      <c r="DC113">
        <f t="shared" si="28"/>
        <v>0</v>
      </c>
      <c r="DD113" t="s">
        <v>3</v>
      </c>
      <c r="DE113" t="s">
        <v>3</v>
      </c>
      <c r="DF113">
        <f t="shared" si="29"/>
        <v>0</v>
      </c>
      <c r="DG113">
        <f t="shared" ref="DG113:DG121" si="30">ROUND(ROUND(AF113,2)*CX113,2)</f>
        <v>0</v>
      </c>
      <c r="DH113">
        <f t="shared" ref="DH113:DH129" si="31">ROUND(ROUND(AG113,2)*CX113,2)</f>
        <v>0</v>
      </c>
      <c r="DI113">
        <f t="shared" si="16"/>
        <v>0</v>
      </c>
      <c r="DJ113">
        <f>DI113</f>
        <v>0</v>
      </c>
      <c r="DK113">
        <v>0</v>
      </c>
      <c r="DL113" t="s">
        <v>3</v>
      </c>
      <c r="DM113">
        <v>0</v>
      </c>
      <c r="DN113" t="s">
        <v>3</v>
      </c>
      <c r="DO113">
        <v>0</v>
      </c>
    </row>
    <row r="114" spans="1:119" x14ac:dyDescent="0.25">
      <c r="A114">
        <f>ROW(Source!A102)</f>
        <v>102</v>
      </c>
      <c r="B114">
        <v>57014140</v>
      </c>
      <c r="C114">
        <v>57014532</v>
      </c>
      <c r="D114">
        <v>55424304</v>
      </c>
      <c r="E114">
        <v>1081</v>
      </c>
      <c r="F114">
        <v>1</v>
      </c>
      <c r="G114">
        <v>1081</v>
      </c>
      <c r="H114">
        <v>1</v>
      </c>
      <c r="I114" t="s">
        <v>385</v>
      </c>
      <c r="J114" t="s">
        <v>3</v>
      </c>
      <c r="K114" t="s">
        <v>386</v>
      </c>
      <c r="L114">
        <v>1191</v>
      </c>
      <c r="N114">
        <v>1013</v>
      </c>
      <c r="O114" t="s">
        <v>387</v>
      </c>
      <c r="P114" t="s">
        <v>387</v>
      </c>
      <c r="Q114">
        <v>1</v>
      </c>
      <c r="W114">
        <v>0</v>
      </c>
      <c r="X114">
        <v>476480486</v>
      </c>
      <c r="Y114">
        <f t="shared" si="26"/>
        <v>8.64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1</v>
      </c>
      <c r="AJ114">
        <v>1</v>
      </c>
      <c r="AK114">
        <v>1</v>
      </c>
      <c r="AL114">
        <v>1</v>
      </c>
      <c r="AM114">
        <v>5</v>
      </c>
      <c r="AN114">
        <v>0</v>
      </c>
      <c r="AO114">
        <v>1</v>
      </c>
      <c r="AP114">
        <v>1</v>
      </c>
      <c r="AQ114">
        <v>0</v>
      </c>
      <c r="AR114">
        <v>0</v>
      </c>
      <c r="AS114" t="s">
        <v>3</v>
      </c>
      <c r="AT114">
        <v>7.2</v>
      </c>
      <c r="AU114" t="s">
        <v>71</v>
      </c>
      <c r="AV114">
        <v>1</v>
      </c>
      <c r="AW114">
        <v>2</v>
      </c>
      <c r="AX114">
        <v>57014534</v>
      </c>
      <c r="AY114">
        <v>1</v>
      </c>
      <c r="AZ114">
        <v>0</v>
      </c>
      <c r="BA114">
        <v>146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CU114">
        <f>ROUND(AT114*Source!I102*AH114*AL114,2)</f>
        <v>0</v>
      </c>
      <c r="CV114">
        <f>ROUND(Y114*Source!I102,9)</f>
        <v>8.64</v>
      </c>
      <c r="CW114">
        <v>0</v>
      </c>
      <c r="CX114">
        <f>ROUND(Y114*Source!I102,9)</f>
        <v>8.64</v>
      </c>
      <c r="CY114">
        <f>AD114</f>
        <v>0</v>
      </c>
      <c r="CZ114">
        <f>AH114</f>
        <v>0</v>
      </c>
      <c r="DA114">
        <f>AL114</f>
        <v>1</v>
      </c>
      <c r="DB114">
        <f t="shared" si="27"/>
        <v>0</v>
      </c>
      <c r="DC114">
        <f t="shared" si="28"/>
        <v>0</v>
      </c>
      <c r="DD114" t="s">
        <v>3</v>
      </c>
      <c r="DE114" t="s">
        <v>3</v>
      </c>
      <c r="DF114">
        <f t="shared" si="29"/>
        <v>0</v>
      </c>
      <c r="DG114">
        <f t="shared" si="30"/>
        <v>0</v>
      </c>
      <c r="DH114">
        <f t="shared" si="31"/>
        <v>0</v>
      </c>
      <c r="DI114">
        <f t="shared" si="16"/>
        <v>0</v>
      </c>
      <c r="DJ114">
        <f>DI114</f>
        <v>0</v>
      </c>
      <c r="DK114">
        <v>0</v>
      </c>
      <c r="DL114" t="s">
        <v>3</v>
      </c>
      <c r="DM114">
        <v>0</v>
      </c>
      <c r="DN114" t="s">
        <v>3</v>
      </c>
      <c r="DO114">
        <v>0</v>
      </c>
    </row>
    <row r="115" spans="1:119" x14ac:dyDescent="0.25">
      <c r="A115">
        <f>ROW(Source!A105)</f>
        <v>105</v>
      </c>
      <c r="B115">
        <v>57014138</v>
      </c>
      <c r="C115">
        <v>57014540</v>
      </c>
      <c r="D115">
        <v>55424304</v>
      </c>
      <c r="E115">
        <v>1081</v>
      </c>
      <c r="F115">
        <v>1</v>
      </c>
      <c r="G115">
        <v>1081</v>
      </c>
      <c r="H115">
        <v>1</v>
      </c>
      <c r="I115" t="s">
        <v>385</v>
      </c>
      <c r="J115" t="s">
        <v>3</v>
      </c>
      <c r="K115" t="s">
        <v>386</v>
      </c>
      <c r="L115">
        <v>1191</v>
      </c>
      <c r="N115">
        <v>1013</v>
      </c>
      <c r="O115" t="s">
        <v>387</v>
      </c>
      <c r="P115" t="s">
        <v>387</v>
      </c>
      <c r="Q115">
        <v>1</v>
      </c>
      <c r="W115">
        <v>0</v>
      </c>
      <c r="X115">
        <v>476480486</v>
      </c>
      <c r="Y115">
        <f t="shared" si="26"/>
        <v>1.6320000000000001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1</v>
      </c>
      <c r="AJ115">
        <v>1</v>
      </c>
      <c r="AK115">
        <v>1</v>
      </c>
      <c r="AL115">
        <v>1</v>
      </c>
      <c r="AM115">
        <v>-2</v>
      </c>
      <c r="AN115">
        <v>0</v>
      </c>
      <c r="AO115">
        <v>1</v>
      </c>
      <c r="AP115">
        <v>1</v>
      </c>
      <c r="AQ115">
        <v>0</v>
      </c>
      <c r="AR115">
        <v>0</v>
      </c>
      <c r="AS115" t="s">
        <v>3</v>
      </c>
      <c r="AT115">
        <v>1.36</v>
      </c>
      <c r="AU115" t="s">
        <v>71</v>
      </c>
      <c r="AV115">
        <v>1</v>
      </c>
      <c r="AW115">
        <v>2</v>
      </c>
      <c r="AX115">
        <v>57014547</v>
      </c>
      <c r="AY115">
        <v>1</v>
      </c>
      <c r="AZ115">
        <v>0</v>
      </c>
      <c r="BA115">
        <v>147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CU115">
        <f>ROUND(AT115*Source!I105*AH115*AL115,2)</f>
        <v>0</v>
      </c>
      <c r="CV115">
        <f>ROUND(Y115*Source!I105,9)</f>
        <v>1.6319999999999999</v>
      </c>
      <c r="CW115">
        <v>0</v>
      </c>
      <c r="CX115">
        <f>ROUND(Y115*Source!I105,9)</f>
        <v>1.6319999999999999</v>
      </c>
      <c r="CY115">
        <f>AD115</f>
        <v>0</v>
      </c>
      <c r="CZ115">
        <f>AH115</f>
        <v>0</v>
      </c>
      <c r="DA115">
        <f>AL115</f>
        <v>1</v>
      </c>
      <c r="DB115">
        <f t="shared" si="27"/>
        <v>0</v>
      </c>
      <c r="DC115">
        <f t="shared" si="28"/>
        <v>0</v>
      </c>
      <c r="DD115" t="s">
        <v>3</v>
      </c>
      <c r="DE115" t="s">
        <v>3</v>
      </c>
      <c r="DF115">
        <f t="shared" si="29"/>
        <v>0</v>
      </c>
      <c r="DG115">
        <f t="shared" si="30"/>
        <v>0</v>
      </c>
      <c r="DH115">
        <f t="shared" si="31"/>
        <v>0</v>
      </c>
      <c r="DI115">
        <f t="shared" si="16"/>
        <v>0</v>
      </c>
      <c r="DJ115">
        <f>DI115</f>
        <v>0</v>
      </c>
      <c r="DK115">
        <v>0</v>
      </c>
      <c r="DL115" t="s">
        <v>3</v>
      </c>
      <c r="DM115">
        <v>0</v>
      </c>
      <c r="DN115" t="s">
        <v>3</v>
      </c>
      <c r="DO115">
        <v>0</v>
      </c>
    </row>
    <row r="116" spans="1:119" x14ac:dyDescent="0.25">
      <c r="A116">
        <f>ROW(Source!A105)</f>
        <v>105</v>
      </c>
      <c r="B116">
        <v>57014138</v>
      </c>
      <c r="C116">
        <v>57014540</v>
      </c>
      <c r="D116">
        <v>55490330</v>
      </c>
      <c r="E116">
        <v>1</v>
      </c>
      <c r="F116">
        <v>1</v>
      </c>
      <c r="G116">
        <v>1081</v>
      </c>
      <c r="H116">
        <v>2</v>
      </c>
      <c r="I116" t="s">
        <v>403</v>
      </c>
      <c r="J116" t="s">
        <v>404</v>
      </c>
      <c r="K116" t="s">
        <v>405</v>
      </c>
      <c r="L116">
        <v>1368</v>
      </c>
      <c r="N116">
        <v>1011</v>
      </c>
      <c r="O116" t="s">
        <v>391</v>
      </c>
      <c r="P116" t="s">
        <v>391</v>
      </c>
      <c r="Q116">
        <v>1</v>
      </c>
      <c r="W116">
        <v>0</v>
      </c>
      <c r="X116">
        <v>-2083101341</v>
      </c>
      <c r="Y116">
        <f t="shared" si="26"/>
        <v>2.0400000000000001E-2</v>
      </c>
      <c r="AA116">
        <v>0</v>
      </c>
      <c r="AB116">
        <v>0.84</v>
      </c>
      <c r="AC116">
        <v>0</v>
      </c>
      <c r="AD116">
        <v>0</v>
      </c>
      <c r="AE116">
        <v>0</v>
      </c>
      <c r="AF116">
        <v>0.8</v>
      </c>
      <c r="AG116">
        <v>0</v>
      </c>
      <c r="AH116">
        <v>0</v>
      </c>
      <c r="AI116">
        <v>1</v>
      </c>
      <c r="AJ116">
        <v>1</v>
      </c>
      <c r="AK116">
        <v>1</v>
      </c>
      <c r="AL116">
        <v>1</v>
      </c>
      <c r="AM116">
        <v>-2</v>
      </c>
      <c r="AN116">
        <v>0</v>
      </c>
      <c r="AO116">
        <v>1</v>
      </c>
      <c r="AP116">
        <v>1</v>
      </c>
      <c r="AQ116">
        <v>0</v>
      </c>
      <c r="AR116">
        <v>0</v>
      </c>
      <c r="AS116" t="s">
        <v>3</v>
      </c>
      <c r="AT116">
        <v>1.7000000000000001E-2</v>
      </c>
      <c r="AU116" t="s">
        <v>71</v>
      </c>
      <c r="AV116">
        <v>0</v>
      </c>
      <c r="AW116">
        <v>2</v>
      </c>
      <c r="AX116">
        <v>57014548</v>
      </c>
      <c r="AY116">
        <v>1</v>
      </c>
      <c r="AZ116">
        <v>0</v>
      </c>
      <c r="BA116">
        <v>148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CV116">
        <v>0</v>
      </c>
      <c r="CW116">
        <f>ROUND(Y116*Source!I105*DO116,9)</f>
        <v>0</v>
      </c>
      <c r="CX116">
        <f>ROUND(Y116*Source!I105,9)</f>
        <v>2.0400000000000001E-2</v>
      </c>
      <c r="CY116">
        <f>AB116</f>
        <v>0.84</v>
      </c>
      <c r="CZ116">
        <f>AF116</f>
        <v>0.8</v>
      </c>
      <c r="DA116">
        <f>AJ116</f>
        <v>1</v>
      </c>
      <c r="DB116">
        <f t="shared" si="27"/>
        <v>1.2E-2</v>
      </c>
      <c r="DC116">
        <f t="shared" si="28"/>
        <v>0</v>
      </c>
      <c r="DD116" t="s">
        <v>3</v>
      </c>
      <c r="DE116" t="s">
        <v>3</v>
      </c>
      <c r="DF116">
        <f t="shared" si="29"/>
        <v>0</v>
      </c>
      <c r="DG116">
        <f t="shared" si="30"/>
        <v>0.02</v>
      </c>
      <c r="DH116">
        <f t="shared" si="31"/>
        <v>0</v>
      </c>
      <c r="DI116">
        <f t="shared" si="16"/>
        <v>0</v>
      </c>
      <c r="DJ116">
        <f>DG116</f>
        <v>0.02</v>
      </c>
      <c r="DK116">
        <v>0</v>
      </c>
      <c r="DL116" t="s">
        <v>3</v>
      </c>
      <c r="DM116">
        <v>0</v>
      </c>
      <c r="DN116" t="s">
        <v>3</v>
      </c>
      <c r="DO116">
        <v>0</v>
      </c>
    </row>
    <row r="117" spans="1:119" x14ac:dyDescent="0.25">
      <c r="A117">
        <f>ROW(Source!A105)</f>
        <v>105</v>
      </c>
      <c r="B117">
        <v>57014138</v>
      </c>
      <c r="C117">
        <v>57014540</v>
      </c>
      <c r="D117">
        <v>55490296</v>
      </c>
      <c r="E117">
        <v>1</v>
      </c>
      <c r="F117">
        <v>1</v>
      </c>
      <c r="G117">
        <v>1081</v>
      </c>
      <c r="H117">
        <v>2</v>
      </c>
      <c r="I117" t="s">
        <v>415</v>
      </c>
      <c r="J117" t="s">
        <v>416</v>
      </c>
      <c r="K117" t="s">
        <v>417</v>
      </c>
      <c r="L117">
        <v>1368</v>
      </c>
      <c r="N117">
        <v>1011</v>
      </c>
      <c r="O117" t="s">
        <v>391</v>
      </c>
      <c r="P117" t="s">
        <v>391</v>
      </c>
      <c r="Q117">
        <v>1</v>
      </c>
      <c r="W117">
        <v>0</v>
      </c>
      <c r="X117">
        <v>-643591644</v>
      </c>
      <c r="Y117">
        <f t="shared" si="26"/>
        <v>2.4E-2</v>
      </c>
      <c r="AA117">
        <v>0</v>
      </c>
      <c r="AB117">
        <v>0.49</v>
      </c>
      <c r="AC117">
        <v>0</v>
      </c>
      <c r="AD117">
        <v>0</v>
      </c>
      <c r="AE117">
        <v>0</v>
      </c>
      <c r="AF117">
        <v>0.47</v>
      </c>
      <c r="AG117">
        <v>0</v>
      </c>
      <c r="AH117">
        <v>0</v>
      </c>
      <c r="AI117">
        <v>1</v>
      </c>
      <c r="AJ117">
        <v>1</v>
      </c>
      <c r="AK117">
        <v>1</v>
      </c>
      <c r="AL117">
        <v>1</v>
      </c>
      <c r="AM117">
        <v>-2</v>
      </c>
      <c r="AN117">
        <v>0</v>
      </c>
      <c r="AO117">
        <v>1</v>
      </c>
      <c r="AP117">
        <v>1</v>
      </c>
      <c r="AQ117">
        <v>0</v>
      </c>
      <c r="AR117">
        <v>0</v>
      </c>
      <c r="AS117" t="s">
        <v>3</v>
      </c>
      <c r="AT117">
        <v>0.02</v>
      </c>
      <c r="AU117" t="s">
        <v>71</v>
      </c>
      <c r="AV117">
        <v>0</v>
      </c>
      <c r="AW117">
        <v>2</v>
      </c>
      <c r="AX117">
        <v>57014549</v>
      </c>
      <c r="AY117">
        <v>1</v>
      </c>
      <c r="AZ117">
        <v>0</v>
      </c>
      <c r="BA117">
        <v>149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CV117">
        <v>0</v>
      </c>
      <c r="CW117">
        <f>ROUND(Y117*Source!I105*DO117,9)</f>
        <v>0</v>
      </c>
      <c r="CX117">
        <f>ROUND(Y117*Source!I105,9)</f>
        <v>2.4E-2</v>
      </c>
      <c r="CY117">
        <f>AB117</f>
        <v>0.49</v>
      </c>
      <c r="CZ117">
        <f>AF117</f>
        <v>0.47</v>
      </c>
      <c r="DA117">
        <f>AJ117</f>
        <v>1</v>
      </c>
      <c r="DB117">
        <f t="shared" si="27"/>
        <v>1.2E-2</v>
      </c>
      <c r="DC117">
        <f t="shared" si="28"/>
        <v>0</v>
      </c>
      <c r="DD117" t="s">
        <v>3</v>
      </c>
      <c r="DE117" t="s">
        <v>3</v>
      </c>
      <c r="DF117">
        <f t="shared" si="29"/>
        <v>0</v>
      </c>
      <c r="DG117">
        <f t="shared" si="30"/>
        <v>0.01</v>
      </c>
      <c r="DH117">
        <f t="shared" si="31"/>
        <v>0</v>
      </c>
      <c r="DI117">
        <f t="shared" si="16"/>
        <v>0</v>
      </c>
      <c r="DJ117">
        <f>DG117</f>
        <v>0.01</v>
      </c>
      <c r="DK117">
        <v>0</v>
      </c>
      <c r="DL117" t="s">
        <v>3</v>
      </c>
      <c r="DM117">
        <v>0</v>
      </c>
      <c r="DN117" t="s">
        <v>3</v>
      </c>
      <c r="DO117">
        <v>0</v>
      </c>
    </row>
    <row r="118" spans="1:119" x14ac:dyDescent="0.25">
      <c r="A118">
        <f>ROW(Source!A105)</f>
        <v>105</v>
      </c>
      <c r="B118">
        <v>57014138</v>
      </c>
      <c r="C118">
        <v>57014540</v>
      </c>
      <c r="D118">
        <v>55461074</v>
      </c>
      <c r="E118">
        <v>1</v>
      </c>
      <c r="F118">
        <v>1</v>
      </c>
      <c r="G118">
        <v>1081</v>
      </c>
      <c r="H118">
        <v>3</v>
      </c>
      <c r="I118" t="s">
        <v>418</v>
      </c>
      <c r="J118" t="s">
        <v>419</v>
      </c>
      <c r="K118" t="s">
        <v>420</v>
      </c>
      <c r="L118">
        <v>1346</v>
      </c>
      <c r="N118">
        <v>1009</v>
      </c>
      <c r="O118" t="s">
        <v>365</v>
      </c>
      <c r="P118" t="s">
        <v>365</v>
      </c>
      <c r="Q118">
        <v>1</v>
      </c>
      <c r="W118">
        <v>0</v>
      </c>
      <c r="X118">
        <v>-861631226</v>
      </c>
      <c r="Y118">
        <f>(AT118*1)</f>
        <v>6.2700000000000004E-3</v>
      </c>
      <c r="AA118">
        <v>27.62</v>
      </c>
      <c r="AB118">
        <v>0</v>
      </c>
      <c r="AC118">
        <v>0</v>
      </c>
      <c r="AD118">
        <v>0</v>
      </c>
      <c r="AE118">
        <v>27.62</v>
      </c>
      <c r="AF118">
        <v>0</v>
      </c>
      <c r="AG118">
        <v>0</v>
      </c>
      <c r="AH118">
        <v>0</v>
      </c>
      <c r="AI118">
        <v>1</v>
      </c>
      <c r="AJ118">
        <v>1</v>
      </c>
      <c r="AK118">
        <v>1</v>
      </c>
      <c r="AL118">
        <v>1</v>
      </c>
      <c r="AM118">
        <v>-2</v>
      </c>
      <c r="AN118">
        <v>0</v>
      </c>
      <c r="AO118">
        <v>1</v>
      </c>
      <c r="AP118">
        <v>1</v>
      </c>
      <c r="AQ118">
        <v>0</v>
      </c>
      <c r="AR118">
        <v>0</v>
      </c>
      <c r="AS118" t="s">
        <v>3</v>
      </c>
      <c r="AT118">
        <v>6.2700000000000004E-3</v>
      </c>
      <c r="AU118" t="s">
        <v>70</v>
      </c>
      <c r="AV118">
        <v>0</v>
      </c>
      <c r="AW118">
        <v>2</v>
      </c>
      <c r="AX118">
        <v>57014550</v>
      </c>
      <c r="AY118">
        <v>1</v>
      </c>
      <c r="AZ118">
        <v>0</v>
      </c>
      <c r="BA118">
        <v>150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CV118">
        <v>0</v>
      </c>
      <c r="CW118">
        <v>0</v>
      </c>
      <c r="CX118">
        <f>ROUND(Y118*Source!I105,9)</f>
        <v>6.2700000000000004E-3</v>
      </c>
      <c r="CY118">
        <f>AA118</f>
        <v>27.62</v>
      </c>
      <c r="CZ118">
        <f>AE118</f>
        <v>27.62</v>
      </c>
      <c r="DA118">
        <f>AI118</f>
        <v>1</v>
      </c>
      <c r="DB118">
        <f>ROUND((ROUND(AT118*CZ118,2)*1),6)</f>
        <v>0.17</v>
      </c>
      <c r="DC118">
        <f>ROUND((ROUND(AT118*AG118,2)*1),6)</f>
        <v>0</v>
      </c>
      <c r="DD118" t="s">
        <v>3</v>
      </c>
      <c r="DE118" t="s">
        <v>3</v>
      </c>
      <c r="DF118">
        <f t="shared" si="29"/>
        <v>0.17</v>
      </c>
      <c r="DG118">
        <f t="shared" si="30"/>
        <v>0</v>
      </c>
      <c r="DH118">
        <f t="shared" si="31"/>
        <v>0</v>
      </c>
      <c r="DI118">
        <f t="shared" si="16"/>
        <v>0</v>
      </c>
      <c r="DJ118">
        <f>DF118</f>
        <v>0.17</v>
      </c>
      <c r="DK118">
        <v>0</v>
      </c>
      <c r="DL118" t="s">
        <v>3</v>
      </c>
      <c r="DM118">
        <v>0</v>
      </c>
      <c r="DN118" t="s">
        <v>3</v>
      </c>
      <c r="DO118">
        <v>0</v>
      </c>
    </row>
    <row r="119" spans="1:119" x14ac:dyDescent="0.25">
      <c r="A119">
        <f>ROW(Source!A105)</f>
        <v>105</v>
      </c>
      <c r="B119">
        <v>57014138</v>
      </c>
      <c r="C119">
        <v>57014540</v>
      </c>
      <c r="D119">
        <v>55459793</v>
      </c>
      <c r="E119">
        <v>1</v>
      </c>
      <c r="F119">
        <v>1</v>
      </c>
      <c r="G119">
        <v>1081</v>
      </c>
      <c r="H119">
        <v>3</v>
      </c>
      <c r="I119" t="s">
        <v>412</v>
      </c>
      <c r="J119" t="s">
        <v>413</v>
      </c>
      <c r="K119" t="s">
        <v>414</v>
      </c>
      <c r="L119">
        <v>1348</v>
      </c>
      <c r="N119">
        <v>1009</v>
      </c>
      <c r="O119" t="s">
        <v>361</v>
      </c>
      <c r="P119" t="s">
        <v>361</v>
      </c>
      <c r="Q119">
        <v>1000</v>
      </c>
      <c r="W119">
        <v>0</v>
      </c>
      <c r="X119">
        <v>-761454284</v>
      </c>
      <c r="Y119">
        <f>(AT119*1)</f>
        <v>1.0000000000000001E-5</v>
      </c>
      <c r="AA119">
        <v>64123.05</v>
      </c>
      <c r="AB119">
        <v>0</v>
      </c>
      <c r="AC119">
        <v>0</v>
      </c>
      <c r="AD119">
        <v>0</v>
      </c>
      <c r="AE119">
        <v>64123.05</v>
      </c>
      <c r="AF119">
        <v>0</v>
      </c>
      <c r="AG119">
        <v>0</v>
      </c>
      <c r="AH119">
        <v>0</v>
      </c>
      <c r="AI119">
        <v>1</v>
      </c>
      <c r="AJ119">
        <v>1</v>
      </c>
      <c r="AK119">
        <v>1</v>
      </c>
      <c r="AL119">
        <v>1</v>
      </c>
      <c r="AM119">
        <v>-2</v>
      </c>
      <c r="AN119">
        <v>0</v>
      </c>
      <c r="AO119">
        <v>1</v>
      </c>
      <c r="AP119">
        <v>1</v>
      </c>
      <c r="AQ119">
        <v>0</v>
      </c>
      <c r="AR119">
        <v>0</v>
      </c>
      <c r="AS119" t="s">
        <v>3</v>
      </c>
      <c r="AT119">
        <v>1.0000000000000001E-5</v>
      </c>
      <c r="AU119" t="s">
        <v>70</v>
      </c>
      <c r="AV119">
        <v>0</v>
      </c>
      <c r="AW119">
        <v>2</v>
      </c>
      <c r="AX119">
        <v>57014551</v>
      </c>
      <c r="AY119">
        <v>1</v>
      </c>
      <c r="AZ119">
        <v>0</v>
      </c>
      <c r="BA119">
        <v>151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CV119">
        <v>0</v>
      </c>
      <c r="CW119">
        <v>0</v>
      </c>
      <c r="CX119">
        <f>ROUND(Y119*Source!I105,9)</f>
        <v>1.0000000000000001E-5</v>
      </c>
      <c r="CY119">
        <f>AA119</f>
        <v>64123.05</v>
      </c>
      <c r="CZ119">
        <f>AE119</f>
        <v>64123.05</v>
      </c>
      <c r="DA119">
        <f>AI119</f>
        <v>1</v>
      </c>
      <c r="DB119">
        <f>ROUND((ROUND(AT119*CZ119,2)*1),6)</f>
        <v>0.64</v>
      </c>
      <c r="DC119">
        <f>ROUND((ROUND(AT119*AG119,2)*1),6)</f>
        <v>0</v>
      </c>
      <c r="DD119" t="s">
        <v>3</v>
      </c>
      <c r="DE119" t="s">
        <v>3</v>
      </c>
      <c r="DF119">
        <f t="shared" si="29"/>
        <v>0.64</v>
      </c>
      <c r="DG119">
        <f t="shared" si="30"/>
        <v>0</v>
      </c>
      <c r="DH119">
        <f t="shared" si="31"/>
        <v>0</v>
      </c>
      <c r="DI119">
        <f t="shared" si="16"/>
        <v>0</v>
      </c>
      <c r="DJ119">
        <f>DF119</f>
        <v>0.64</v>
      </c>
      <c r="DK119">
        <v>0</v>
      </c>
      <c r="DL119" t="s">
        <v>3</v>
      </c>
      <c r="DM119">
        <v>0</v>
      </c>
      <c r="DN119" t="s">
        <v>3</v>
      </c>
      <c r="DO119">
        <v>0</v>
      </c>
    </row>
    <row r="120" spans="1:119" x14ac:dyDescent="0.25">
      <c r="A120">
        <f>ROW(Source!A105)</f>
        <v>105</v>
      </c>
      <c r="B120">
        <v>57014138</v>
      </c>
      <c r="C120">
        <v>57014540</v>
      </c>
      <c r="D120">
        <v>55469253</v>
      </c>
      <c r="E120">
        <v>1</v>
      </c>
      <c r="F120">
        <v>1</v>
      </c>
      <c r="G120">
        <v>1081</v>
      </c>
      <c r="H120">
        <v>3</v>
      </c>
      <c r="I120" t="s">
        <v>421</v>
      </c>
      <c r="J120" t="s">
        <v>422</v>
      </c>
      <c r="K120" t="s">
        <v>423</v>
      </c>
      <c r="L120">
        <v>1354</v>
      </c>
      <c r="N120">
        <v>1010</v>
      </c>
      <c r="O120" t="s">
        <v>251</v>
      </c>
      <c r="P120" t="s">
        <v>251</v>
      </c>
      <c r="Q120">
        <v>1</v>
      </c>
      <c r="W120">
        <v>0</v>
      </c>
      <c r="X120">
        <v>-32785108</v>
      </c>
      <c r="Y120">
        <f>(AT120*1)</f>
        <v>0.1</v>
      </c>
      <c r="AA120">
        <v>15.25</v>
      </c>
      <c r="AB120">
        <v>0</v>
      </c>
      <c r="AC120">
        <v>0</v>
      </c>
      <c r="AD120">
        <v>0</v>
      </c>
      <c r="AE120">
        <v>15.25</v>
      </c>
      <c r="AF120">
        <v>0</v>
      </c>
      <c r="AG120">
        <v>0</v>
      </c>
      <c r="AH120">
        <v>0</v>
      </c>
      <c r="AI120">
        <v>1</v>
      </c>
      <c r="AJ120">
        <v>1</v>
      </c>
      <c r="AK120">
        <v>1</v>
      </c>
      <c r="AL120">
        <v>1</v>
      </c>
      <c r="AM120">
        <v>-2</v>
      </c>
      <c r="AN120">
        <v>0</v>
      </c>
      <c r="AO120">
        <v>1</v>
      </c>
      <c r="AP120">
        <v>1</v>
      </c>
      <c r="AQ120">
        <v>0</v>
      </c>
      <c r="AR120">
        <v>0</v>
      </c>
      <c r="AS120" t="s">
        <v>3</v>
      </c>
      <c r="AT120">
        <v>0.1</v>
      </c>
      <c r="AU120" t="s">
        <v>70</v>
      </c>
      <c r="AV120">
        <v>0</v>
      </c>
      <c r="AW120">
        <v>2</v>
      </c>
      <c r="AX120">
        <v>57014552</v>
      </c>
      <c r="AY120">
        <v>1</v>
      </c>
      <c r="AZ120">
        <v>0</v>
      </c>
      <c r="BA120">
        <v>152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CV120">
        <v>0</v>
      </c>
      <c r="CW120">
        <v>0</v>
      </c>
      <c r="CX120">
        <f>ROUND(Y120*Source!I105,9)</f>
        <v>0.1</v>
      </c>
      <c r="CY120">
        <f>AA120</f>
        <v>15.25</v>
      </c>
      <c r="CZ120">
        <f>AE120</f>
        <v>15.25</v>
      </c>
      <c r="DA120">
        <f>AI120</f>
        <v>1</v>
      </c>
      <c r="DB120">
        <f>ROUND((ROUND(AT120*CZ120,2)*1),6)</f>
        <v>1.53</v>
      </c>
      <c r="DC120">
        <f>ROUND((ROUND(AT120*AG120,2)*1),6)</f>
        <v>0</v>
      </c>
      <c r="DD120" t="s">
        <v>3</v>
      </c>
      <c r="DE120" t="s">
        <v>3</v>
      </c>
      <c r="DF120">
        <f t="shared" si="29"/>
        <v>1.53</v>
      </c>
      <c r="DG120">
        <f t="shared" si="30"/>
        <v>0</v>
      </c>
      <c r="DH120">
        <f t="shared" si="31"/>
        <v>0</v>
      </c>
      <c r="DI120">
        <f t="shared" si="16"/>
        <v>0</v>
      </c>
      <c r="DJ120">
        <f>DF120</f>
        <v>1.53</v>
      </c>
      <c r="DK120">
        <v>0</v>
      </c>
      <c r="DL120" t="s">
        <v>3</v>
      </c>
      <c r="DM120">
        <v>0</v>
      </c>
      <c r="DN120" t="s">
        <v>3</v>
      </c>
      <c r="DO120">
        <v>0</v>
      </c>
    </row>
    <row r="121" spans="1:119" x14ac:dyDescent="0.25">
      <c r="A121">
        <f>ROW(Source!A106)</f>
        <v>106</v>
      </c>
      <c r="B121">
        <v>57014140</v>
      </c>
      <c r="C121">
        <v>57014540</v>
      </c>
      <c r="D121">
        <v>55424304</v>
      </c>
      <c r="E121">
        <v>1081</v>
      </c>
      <c r="F121">
        <v>1</v>
      </c>
      <c r="G121">
        <v>1081</v>
      </c>
      <c r="H121">
        <v>1</v>
      </c>
      <c r="I121" t="s">
        <v>385</v>
      </c>
      <c r="J121" t="s">
        <v>3</v>
      </c>
      <c r="K121" t="s">
        <v>386</v>
      </c>
      <c r="L121">
        <v>1191</v>
      </c>
      <c r="N121">
        <v>1013</v>
      </c>
      <c r="O121" t="s">
        <v>387</v>
      </c>
      <c r="P121" t="s">
        <v>387</v>
      </c>
      <c r="Q121">
        <v>1</v>
      </c>
      <c r="W121">
        <v>0</v>
      </c>
      <c r="X121">
        <v>476480486</v>
      </c>
      <c r="Y121">
        <f>(AT121*1.2)</f>
        <v>1.6320000000000001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1</v>
      </c>
      <c r="AJ121">
        <v>1</v>
      </c>
      <c r="AK121">
        <v>1</v>
      </c>
      <c r="AL121">
        <v>1</v>
      </c>
      <c r="AM121">
        <v>5</v>
      </c>
      <c r="AN121">
        <v>0</v>
      </c>
      <c r="AO121">
        <v>1</v>
      </c>
      <c r="AP121">
        <v>1</v>
      </c>
      <c r="AQ121">
        <v>0</v>
      </c>
      <c r="AR121">
        <v>0</v>
      </c>
      <c r="AS121" t="s">
        <v>3</v>
      </c>
      <c r="AT121">
        <v>1.36</v>
      </c>
      <c r="AU121" t="s">
        <v>71</v>
      </c>
      <c r="AV121">
        <v>1</v>
      </c>
      <c r="AW121">
        <v>2</v>
      </c>
      <c r="AX121">
        <v>57014547</v>
      </c>
      <c r="AY121">
        <v>1</v>
      </c>
      <c r="AZ121">
        <v>0</v>
      </c>
      <c r="BA121">
        <v>154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CU121">
        <f>ROUND(AT121*Source!I106*AH121*AL121,2)</f>
        <v>0</v>
      </c>
      <c r="CV121">
        <f>ROUND(Y121*Source!I106,9)</f>
        <v>1.6319999999999999</v>
      </c>
      <c r="CW121">
        <v>0</v>
      </c>
      <c r="CX121">
        <f>ROUND(Y121*Source!I106,9)</f>
        <v>1.6319999999999999</v>
      </c>
      <c r="CY121">
        <f>AD121</f>
        <v>0</v>
      </c>
      <c r="CZ121">
        <f>AH121</f>
        <v>0</v>
      </c>
      <c r="DA121">
        <f>AL121</f>
        <v>1</v>
      </c>
      <c r="DB121">
        <f>ROUND((ROUND(AT121*CZ121,2)*1.2),6)</f>
        <v>0</v>
      </c>
      <c r="DC121">
        <f>ROUND((ROUND(AT121*AG121,2)*1.2),6)</f>
        <v>0</v>
      </c>
      <c r="DD121" t="s">
        <v>3</v>
      </c>
      <c r="DE121" t="s">
        <v>3</v>
      </c>
      <c r="DF121">
        <f t="shared" si="29"/>
        <v>0</v>
      </c>
      <c r="DG121">
        <f t="shared" si="30"/>
        <v>0</v>
      </c>
      <c r="DH121">
        <f t="shared" si="31"/>
        <v>0</v>
      </c>
      <c r="DI121">
        <f t="shared" si="16"/>
        <v>0</v>
      </c>
      <c r="DJ121">
        <f>DI121</f>
        <v>0</v>
      </c>
      <c r="DK121">
        <v>0</v>
      </c>
      <c r="DL121" t="s">
        <v>3</v>
      </c>
      <c r="DM121">
        <v>0</v>
      </c>
      <c r="DN121" t="s">
        <v>3</v>
      </c>
      <c r="DO121">
        <v>0</v>
      </c>
    </row>
    <row r="122" spans="1:119" x14ac:dyDescent="0.25">
      <c r="A122">
        <f>ROW(Source!A106)</f>
        <v>106</v>
      </c>
      <c r="B122">
        <v>57014140</v>
      </c>
      <c r="C122">
        <v>57014540</v>
      </c>
      <c r="D122">
        <v>55490330</v>
      </c>
      <c r="E122">
        <v>1</v>
      </c>
      <c r="F122">
        <v>1</v>
      </c>
      <c r="G122">
        <v>1081</v>
      </c>
      <c r="H122">
        <v>2</v>
      </c>
      <c r="I122" t="s">
        <v>403</v>
      </c>
      <c r="J122" t="s">
        <v>404</v>
      </c>
      <c r="K122" t="s">
        <v>405</v>
      </c>
      <c r="L122">
        <v>1368</v>
      </c>
      <c r="N122">
        <v>1011</v>
      </c>
      <c r="O122" t="s">
        <v>391</v>
      </c>
      <c r="P122" t="s">
        <v>391</v>
      </c>
      <c r="Q122">
        <v>1</v>
      </c>
      <c r="W122">
        <v>0</v>
      </c>
      <c r="X122">
        <v>-2083101341</v>
      </c>
      <c r="Y122">
        <f>(AT122*1.2)</f>
        <v>2.0400000000000001E-2</v>
      </c>
      <c r="AA122">
        <v>0</v>
      </c>
      <c r="AB122">
        <v>7.92</v>
      </c>
      <c r="AC122">
        <v>0</v>
      </c>
      <c r="AD122">
        <v>0</v>
      </c>
      <c r="AE122">
        <v>0</v>
      </c>
      <c r="AF122">
        <v>0.8</v>
      </c>
      <c r="AG122">
        <v>0</v>
      </c>
      <c r="AH122">
        <v>0</v>
      </c>
      <c r="AI122">
        <v>1</v>
      </c>
      <c r="AJ122">
        <v>9.4600000000000009</v>
      </c>
      <c r="AK122">
        <v>1</v>
      </c>
      <c r="AL122">
        <v>1</v>
      </c>
      <c r="AM122">
        <v>2</v>
      </c>
      <c r="AN122">
        <v>0</v>
      </c>
      <c r="AO122">
        <v>1</v>
      </c>
      <c r="AP122">
        <v>1</v>
      </c>
      <c r="AQ122">
        <v>0</v>
      </c>
      <c r="AR122">
        <v>0</v>
      </c>
      <c r="AS122" t="s">
        <v>3</v>
      </c>
      <c r="AT122">
        <v>1.7000000000000001E-2</v>
      </c>
      <c r="AU122" t="s">
        <v>71</v>
      </c>
      <c r="AV122">
        <v>0</v>
      </c>
      <c r="AW122">
        <v>2</v>
      </c>
      <c r="AX122">
        <v>57014548</v>
      </c>
      <c r="AY122">
        <v>1</v>
      </c>
      <c r="AZ122">
        <v>0</v>
      </c>
      <c r="BA122">
        <v>155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CV122">
        <v>0</v>
      </c>
      <c r="CW122">
        <f>ROUND(Y122*Source!I106*DO122,9)</f>
        <v>0</v>
      </c>
      <c r="CX122">
        <f>ROUND(Y122*Source!I106,9)</f>
        <v>2.0400000000000001E-2</v>
      </c>
      <c r="CY122">
        <f>AB122</f>
        <v>7.92</v>
      </c>
      <c r="CZ122">
        <f>AF122</f>
        <v>0.8</v>
      </c>
      <c r="DA122">
        <f>AJ122</f>
        <v>9.4600000000000009</v>
      </c>
      <c r="DB122">
        <f>ROUND((ROUND(AT122*CZ122,2)*1.2),6)</f>
        <v>1.2E-2</v>
      </c>
      <c r="DC122">
        <f>ROUND((ROUND(AT122*AG122,2)*1.2),6)</f>
        <v>0</v>
      </c>
      <c r="DD122" t="s">
        <v>3</v>
      </c>
      <c r="DE122" t="s">
        <v>3</v>
      </c>
      <c r="DF122">
        <f t="shared" si="29"/>
        <v>0</v>
      </c>
      <c r="DG122">
        <f>ROUND(ROUND(AF122*AJ122,2)*CX122,2)</f>
        <v>0.15</v>
      </c>
      <c r="DH122">
        <f t="shared" si="31"/>
        <v>0</v>
      </c>
      <c r="DI122">
        <f t="shared" si="16"/>
        <v>0</v>
      </c>
      <c r="DJ122">
        <f>DG122</f>
        <v>0.15</v>
      </c>
      <c r="DK122">
        <v>0</v>
      </c>
      <c r="DL122" t="s">
        <v>3</v>
      </c>
      <c r="DM122">
        <v>0</v>
      </c>
      <c r="DN122" t="s">
        <v>3</v>
      </c>
      <c r="DO122">
        <v>0</v>
      </c>
    </row>
    <row r="123" spans="1:119" x14ac:dyDescent="0.25">
      <c r="A123">
        <f>ROW(Source!A106)</f>
        <v>106</v>
      </c>
      <c r="B123">
        <v>57014140</v>
      </c>
      <c r="C123">
        <v>57014540</v>
      </c>
      <c r="D123">
        <v>55490296</v>
      </c>
      <c r="E123">
        <v>1</v>
      </c>
      <c r="F123">
        <v>1</v>
      </c>
      <c r="G123">
        <v>1081</v>
      </c>
      <c r="H123">
        <v>2</v>
      </c>
      <c r="I123" t="s">
        <v>415</v>
      </c>
      <c r="J123" t="s">
        <v>416</v>
      </c>
      <c r="K123" t="s">
        <v>417</v>
      </c>
      <c r="L123">
        <v>1368</v>
      </c>
      <c r="N123">
        <v>1011</v>
      </c>
      <c r="O123" t="s">
        <v>391</v>
      </c>
      <c r="P123" t="s">
        <v>391</v>
      </c>
      <c r="Q123">
        <v>1</v>
      </c>
      <c r="W123">
        <v>0</v>
      </c>
      <c r="X123">
        <v>-643591644</v>
      </c>
      <c r="Y123">
        <f>(AT123*1.2)</f>
        <v>2.4E-2</v>
      </c>
      <c r="AA123">
        <v>0</v>
      </c>
      <c r="AB123">
        <v>4.75</v>
      </c>
      <c r="AC123">
        <v>0</v>
      </c>
      <c r="AD123">
        <v>0</v>
      </c>
      <c r="AE123">
        <v>0</v>
      </c>
      <c r="AF123">
        <v>0.47</v>
      </c>
      <c r="AG123">
        <v>0</v>
      </c>
      <c r="AH123">
        <v>0</v>
      </c>
      <c r="AI123">
        <v>1</v>
      </c>
      <c r="AJ123">
        <v>9.66</v>
      </c>
      <c r="AK123">
        <v>1</v>
      </c>
      <c r="AL123">
        <v>1</v>
      </c>
      <c r="AM123">
        <v>2</v>
      </c>
      <c r="AN123">
        <v>0</v>
      </c>
      <c r="AO123">
        <v>1</v>
      </c>
      <c r="AP123">
        <v>1</v>
      </c>
      <c r="AQ123">
        <v>0</v>
      </c>
      <c r="AR123">
        <v>0</v>
      </c>
      <c r="AS123" t="s">
        <v>3</v>
      </c>
      <c r="AT123">
        <v>0.02</v>
      </c>
      <c r="AU123" t="s">
        <v>71</v>
      </c>
      <c r="AV123">
        <v>0</v>
      </c>
      <c r="AW123">
        <v>2</v>
      </c>
      <c r="AX123">
        <v>57014549</v>
      </c>
      <c r="AY123">
        <v>1</v>
      </c>
      <c r="AZ123">
        <v>0</v>
      </c>
      <c r="BA123">
        <v>156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CV123">
        <v>0</v>
      </c>
      <c r="CW123">
        <f>ROUND(Y123*Source!I106*DO123,9)</f>
        <v>0</v>
      </c>
      <c r="CX123">
        <f>ROUND(Y123*Source!I106,9)</f>
        <v>2.4E-2</v>
      </c>
      <c r="CY123">
        <f>AB123</f>
        <v>4.75</v>
      </c>
      <c r="CZ123">
        <f>AF123</f>
        <v>0.47</v>
      </c>
      <c r="DA123">
        <f>AJ123</f>
        <v>9.66</v>
      </c>
      <c r="DB123">
        <f>ROUND((ROUND(AT123*CZ123,2)*1.2),6)</f>
        <v>1.2E-2</v>
      </c>
      <c r="DC123">
        <f>ROUND((ROUND(AT123*AG123,2)*1.2),6)</f>
        <v>0</v>
      </c>
      <c r="DD123" t="s">
        <v>3</v>
      </c>
      <c r="DE123" t="s">
        <v>3</v>
      </c>
      <c r="DF123">
        <f t="shared" si="29"/>
        <v>0</v>
      </c>
      <c r="DG123">
        <f>ROUND(ROUND(AF123*AJ123,2)*CX123,2)</f>
        <v>0.11</v>
      </c>
      <c r="DH123">
        <f t="shared" si="31"/>
        <v>0</v>
      </c>
      <c r="DI123">
        <f t="shared" si="16"/>
        <v>0</v>
      </c>
      <c r="DJ123">
        <f>DG123</f>
        <v>0.11</v>
      </c>
      <c r="DK123">
        <v>0</v>
      </c>
      <c r="DL123" t="s">
        <v>3</v>
      </c>
      <c r="DM123">
        <v>0</v>
      </c>
      <c r="DN123" t="s">
        <v>3</v>
      </c>
      <c r="DO123">
        <v>0</v>
      </c>
    </row>
    <row r="124" spans="1:119" x14ac:dyDescent="0.25">
      <c r="A124">
        <f>ROW(Source!A106)</f>
        <v>106</v>
      </c>
      <c r="B124">
        <v>57014140</v>
      </c>
      <c r="C124">
        <v>57014540</v>
      </c>
      <c r="D124">
        <v>55461074</v>
      </c>
      <c r="E124">
        <v>1</v>
      </c>
      <c r="F124">
        <v>1</v>
      </c>
      <c r="G124">
        <v>1081</v>
      </c>
      <c r="H124">
        <v>3</v>
      </c>
      <c r="I124" t="s">
        <v>418</v>
      </c>
      <c r="J124" t="s">
        <v>419</v>
      </c>
      <c r="K124" t="s">
        <v>420</v>
      </c>
      <c r="L124">
        <v>1346</v>
      </c>
      <c r="N124">
        <v>1009</v>
      </c>
      <c r="O124" t="s">
        <v>365</v>
      </c>
      <c r="P124" t="s">
        <v>365</v>
      </c>
      <c r="Q124">
        <v>1</v>
      </c>
      <c r="W124">
        <v>0</v>
      </c>
      <c r="X124">
        <v>-861631226</v>
      </c>
      <c r="Y124">
        <f>(AT124*1)</f>
        <v>6.2700000000000004E-3</v>
      </c>
      <c r="AA124">
        <v>163.51</v>
      </c>
      <c r="AB124">
        <v>0</v>
      </c>
      <c r="AC124">
        <v>0</v>
      </c>
      <c r="AD124">
        <v>0</v>
      </c>
      <c r="AE124">
        <v>27.62</v>
      </c>
      <c r="AF124">
        <v>0</v>
      </c>
      <c r="AG124">
        <v>0</v>
      </c>
      <c r="AH124">
        <v>0</v>
      </c>
      <c r="AI124">
        <v>5.92</v>
      </c>
      <c r="AJ124">
        <v>1</v>
      </c>
      <c r="AK124">
        <v>1</v>
      </c>
      <c r="AL124">
        <v>1</v>
      </c>
      <c r="AM124">
        <v>2</v>
      </c>
      <c r="AN124">
        <v>0</v>
      </c>
      <c r="AO124">
        <v>1</v>
      </c>
      <c r="AP124">
        <v>1</v>
      </c>
      <c r="AQ124">
        <v>0</v>
      </c>
      <c r="AR124">
        <v>0</v>
      </c>
      <c r="AS124" t="s">
        <v>3</v>
      </c>
      <c r="AT124">
        <v>6.2700000000000004E-3</v>
      </c>
      <c r="AU124" t="s">
        <v>70</v>
      </c>
      <c r="AV124">
        <v>0</v>
      </c>
      <c r="AW124">
        <v>2</v>
      </c>
      <c r="AX124">
        <v>57014550</v>
      </c>
      <c r="AY124">
        <v>1</v>
      </c>
      <c r="AZ124">
        <v>0</v>
      </c>
      <c r="BA124">
        <v>157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CV124">
        <v>0</v>
      </c>
      <c r="CW124">
        <v>0</v>
      </c>
      <c r="CX124">
        <f>ROUND(Y124*Source!I106,9)</f>
        <v>6.2700000000000004E-3</v>
      </c>
      <c r="CY124">
        <f>AA124</f>
        <v>163.51</v>
      </c>
      <c r="CZ124">
        <f>AE124</f>
        <v>27.62</v>
      </c>
      <c r="DA124">
        <f>AI124</f>
        <v>5.92</v>
      </c>
      <c r="DB124">
        <f>ROUND((ROUND(AT124*CZ124,2)*1),6)</f>
        <v>0.17</v>
      </c>
      <c r="DC124">
        <f>ROUND((ROUND(AT124*AG124,2)*1),6)</f>
        <v>0</v>
      </c>
      <c r="DD124" t="s">
        <v>3</v>
      </c>
      <c r="DE124" t="s">
        <v>3</v>
      </c>
      <c r="DF124">
        <f>ROUND(ROUND(AE124*AI124,2)*CX124,2)</f>
        <v>1.03</v>
      </c>
      <c r="DG124">
        <f t="shared" ref="DG124:DG129" si="32">ROUND(ROUND(AF124,2)*CX124,2)</f>
        <v>0</v>
      </c>
      <c r="DH124">
        <f t="shared" si="31"/>
        <v>0</v>
      </c>
      <c r="DI124">
        <f t="shared" si="16"/>
        <v>0</v>
      </c>
      <c r="DJ124">
        <f>DF124</f>
        <v>1.03</v>
      </c>
      <c r="DK124">
        <v>0</v>
      </c>
      <c r="DL124" t="s">
        <v>3</v>
      </c>
      <c r="DM124">
        <v>0</v>
      </c>
      <c r="DN124" t="s">
        <v>3</v>
      </c>
      <c r="DO124">
        <v>0</v>
      </c>
    </row>
    <row r="125" spans="1:119" x14ac:dyDescent="0.25">
      <c r="A125">
        <f>ROW(Source!A106)</f>
        <v>106</v>
      </c>
      <c r="B125">
        <v>57014140</v>
      </c>
      <c r="C125">
        <v>57014540</v>
      </c>
      <c r="D125">
        <v>55459793</v>
      </c>
      <c r="E125">
        <v>1</v>
      </c>
      <c r="F125">
        <v>1</v>
      </c>
      <c r="G125">
        <v>1081</v>
      </c>
      <c r="H125">
        <v>3</v>
      </c>
      <c r="I125" t="s">
        <v>412</v>
      </c>
      <c r="J125" t="s">
        <v>413</v>
      </c>
      <c r="K125" t="s">
        <v>414</v>
      </c>
      <c r="L125">
        <v>1348</v>
      </c>
      <c r="N125">
        <v>1009</v>
      </c>
      <c r="O125" t="s">
        <v>361</v>
      </c>
      <c r="P125" t="s">
        <v>361</v>
      </c>
      <c r="Q125">
        <v>1000</v>
      </c>
      <c r="W125">
        <v>0</v>
      </c>
      <c r="X125">
        <v>-761454284</v>
      </c>
      <c r="Y125">
        <f>(AT125*1)</f>
        <v>1.0000000000000001E-5</v>
      </c>
      <c r="AA125">
        <v>1930745.04</v>
      </c>
      <c r="AB125">
        <v>0</v>
      </c>
      <c r="AC125">
        <v>0</v>
      </c>
      <c r="AD125">
        <v>0</v>
      </c>
      <c r="AE125">
        <v>64123.05</v>
      </c>
      <c r="AF125">
        <v>0</v>
      </c>
      <c r="AG125">
        <v>0</v>
      </c>
      <c r="AH125">
        <v>0</v>
      </c>
      <c r="AI125">
        <v>30.11</v>
      </c>
      <c r="AJ125">
        <v>1</v>
      </c>
      <c r="AK125">
        <v>1</v>
      </c>
      <c r="AL125">
        <v>1</v>
      </c>
      <c r="AM125">
        <v>2</v>
      </c>
      <c r="AN125">
        <v>0</v>
      </c>
      <c r="AO125">
        <v>1</v>
      </c>
      <c r="AP125">
        <v>1</v>
      </c>
      <c r="AQ125">
        <v>0</v>
      </c>
      <c r="AR125">
        <v>0</v>
      </c>
      <c r="AS125" t="s">
        <v>3</v>
      </c>
      <c r="AT125">
        <v>1.0000000000000001E-5</v>
      </c>
      <c r="AU125" t="s">
        <v>70</v>
      </c>
      <c r="AV125">
        <v>0</v>
      </c>
      <c r="AW125">
        <v>2</v>
      </c>
      <c r="AX125">
        <v>57014551</v>
      </c>
      <c r="AY125">
        <v>1</v>
      </c>
      <c r="AZ125">
        <v>0</v>
      </c>
      <c r="BA125">
        <v>158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CV125">
        <v>0</v>
      </c>
      <c r="CW125">
        <v>0</v>
      </c>
      <c r="CX125">
        <f>ROUND(Y125*Source!I106,9)</f>
        <v>1.0000000000000001E-5</v>
      </c>
      <c r="CY125">
        <f>AA125</f>
        <v>1930745.04</v>
      </c>
      <c r="CZ125">
        <f>AE125</f>
        <v>64123.05</v>
      </c>
      <c r="DA125">
        <f>AI125</f>
        <v>30.11</v>
      </c>
      <c r="DB125">
        <f>ROUND((ROUND(AT125*CZ125,2)*1),6)</f>
        <v>0.64</v>
      </c>
      <c r="DC125">
        <f>ROUND((ROUND(AT125*AG125,2)*1),6)</f>
        <v>0</v>
      </c>
      <c r="DD125" t="s">
        <v>3</v>
      </c>
      <c r="DE125" t="s">
        <v>3</v>
      </c>
      <c r="DF125">
        <f>ROUND(ROUND(AE125*AI125,2)*CX125,2)</f>
        <v>19.309999999999999</v>
      </c>
      <c r="DG125">
        <f t="shared" si="32"/>
        <v>0</v>
      </c>
      <c r="DH125">
        <f t="shared" si="31"/>
        <v>0</v>
      </c>
      <c r="DI125">
        <f t="shared" si="16"/>
        <v>0</v>
      </c>
      <c r="DJ125">
        <f>DF125</f>
        <v>19.309999999999999</v>
      </c>
      <c r="DK125">
        <v>0</v>
      </c>
      <c r="DL125" t="s">
        <v>3</v>
      </c>
      <c r="DM125">
        <v>0</v>
      </c>
      <c r="DN125" t="s">
        <v>3</v>
      </c>
      <c r="DO125">
        <v>0</v>
      </c>
    </row>
    <row r="126" spans="1:119" x14ac:dyDescent="0.25">
      <c r="A126">
        <f>ROW(Source!A106)</f>
        <v>106</v>
      </c>
      <c r="B126">
        <v>57014140</v>
      </c>
      <c r="C126">
        <v>57014540</v>
      </c>
      <c r="D126">
        <v>55469253</v>
      </c>
      <c r="E126">
        <v>1</v>
      </c>
      <c r="F126">
        <v>1</v>
      </c>
      <c r="G126">
        <v>1081</v>
      </c>
      <c r="H126">
        <v>3</v>
      </c>
      <c r="I126" t="s">
        <v>421</v>
      </c>
      <c r="J126" t="s">
        <v>422</v>
      </c>
      <c r="K126" t="s">
        <v>423</v>
      </c>
      <c r="L126">
        <v>1354</v>
      </c>
      <c r="N126">
        <v>1010</v>
      </c>
      <c r="O126" t="s">
        <v>251</v>
      </c>
      <c r="P126" t="s">
        <v>251</v>
      </c>
      <c r="Q126">
        <v>1</v>
      </c>
      <c r="W126">
        <v>0</v>
      </c>
      <c r="X126">
        <v>-32785108</v>
      </c>
      <c r="Y126">
        <f>(AT126*1)</f>
        <v>0.1</v>
      </c>
      <c r="AA126">
        <v>36.14</v>
      </c>
      <c r="AB126">
        <v>0</v>
      </c>
      <c r="AC126">
        <v>0</v>
      </c>
      <c r="AD126">
        <v>0</v>
      </c>
      <c r="AE126">
        <v>15.25</v>
      </c>
      <c r="AF126">
        <v>0</v>
      </c>
      <c r="AG126">
        <v>0</v>
      </c>
      <c r="AH126">
        <v>0</v>
      </c>
      <c r="AI126">
        <v>2.37</v>
      </c>
      <c r="AJ126">
        <v>1</v>
      </c>
      <c r="AK126">
        <v>1</v>
      </c>
      <c r="AL126">
        <v>1</v>
      </c>
      <c r="AM126">
        <v>2</v>
      </c>
      <c r="AN126">
        <v>0</v>
      </c>
      <c r="AO126">
        <v>1</v>
      </c>
      <c r="AP126">
        <v>1</v>
      </c>
      <c r="AQ126">
        <v>0</v>
      </c>
      <c r="AR126">
        <v>0</v>
      </c>
      <c r="AS126" t="s">
        <v>3</v>
      </c>
      <c r="AT126">
        <v>0.1</v>
      </c>
      <c r="AU126" t="s">
        <v>70</v>
      </c>
      <c r="AV126">
        <v>0</v>
      </c>
      <c r="AW126">
        <v>2</v>
      </c>
      <c r="AX126">
        <v>57014552</v>
      </c>
      <c r="AY126">
        <v>1</v>
      </c>
      <c r="AZ126">
        <v>0</v>
      </c>
      <c r="BA126">
        <v>159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CV126">
        <v>0</v>
      </c>
      <c r="CW126">
        <v>0</v>
      </c>
      <c r="CX126">
        <f>ROUND(Y126*Source!I106,9)</f>
        <v>0.1</v>
      </c>
      <c r="CY126">
        <f>AA126</f>
        <v>36.14</v>
      </c>
      <c r="CZ126">
        <f>AE126</f>
        <v>15.25</v>
      </c>
      <c r="DA126">
        <f>AI126</f>
        <v>2.37</v>
      </c>
      <c r="DB126">
        <f>ROUND((ROUND(AT126*CZ126,2)*1),6)</f>
        <v>1.53</v>
      </c>
      <c r="DC126">
        <f>ROUND((ROUND(AT126*AG126,2)*1),6)</f>
        <v>0</v>
      </c>
      <c r="DD126" t="s">
        <v>3</v>
      </c>
      <c r="DE126" t="s">
        <v>3</v>
      </c>
      <c r="DF126">
        <f>ROUND(ROUND(AE126*AI126,2)*CX126,2)</f>
        <v>3.61</v>
      </c>
      <c r="DG126">
        <f t="shared" si="32"/>
        <v>0</v>
      </c>
      <c r="DH126">
        <f t="shared" si="31"/>
        <v>0</v>
      </c>
      <c r="DI126">
        <f t="shared" si="16"/>
        <v>0</v>
      </c>
      <c r="DJ126">
        <f>DF126</f>
        <v>3.61</v>
      </c>
      <c r="DK126">
        <v>0</v>
      </c>
      <c r="DL126" t="s">
        <v>3</v>
      </c>
      <c r="DM126">
        <v>0</v>
      </c>
      <c r="DN126" t="s">
        <v>3</v>
      </c>
      <c r="DO126">
        <v>0</v>
      </c>
    </row>
    <row r="127" spans="1:119" x14ac:dyDescent="0.25">
      <c r="A127">
        <f>ROW(Source!A109)</f>
        <v>109</v>
      </c>
      <c r="B127">
        <v>57014138</v>
      </c>
      <c r="C127">
        <v>57015329</v>
      </c>
      <c r="D127">
        <v>55424304</v>
      </c>
      <c r="E127">
        <v>1081</v>
      </c>
      <c r="F127">
        <v>1</v>
      </c>
      <c r="G127">
        <v>1081</v>
      </c>
      <c r="H127">
        <v>1</v>
      </c>
      <c r="I127" t="s">
        <v>385</v>
      </c>
      <c r="J127" t="s">
        <v>3</v>
      </c>
      <c r="K127" t="s">
        <v>386</v>
      </c>
      <c r="L127">
        <v>1191</v>
      </c>
      <c r="N127">
        <v>1013</v>
      </c>
      <c r="O127" t="s">
        <v>387</v>
      </c>
      <c r="P127" t="s">
        <v>387</v>
      </c>
      <c r="Q127">
        <v>1</v>
      </c>
      <c r="W127">
        <v>0</v>
      </c>
      <c r="X127">
        <v>476480486</v>
      </c>
      <c r="Y127">
        <f t="shared" ref="Y127:Y132" si="33">(AT127*1.2)</f>
        <v>1.236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1</v>
      </c>
      <c r="AJ127">
        <v>1</v>
      </c>
      <c r="AK127">
        <v>1</v>
      </c>
      <c r="AL127">
        <v>1</v>
      </c>
      <c r="AM127">
        <v>-2</v>
      </c>
      <c r="AN127">
        <v>0</v>
      </c>
      <c r="AO127">
        <v>1</v>
      </c>
      <c r="AP127">
        <v>1</v>
      </c>
      <c r="AQ127">
        <v>0</v>
      </c>
      <c r="AR127">
        <v>0</v>
      </c>
      <c r="AS127" t="s">
        <v>3</v>
      </c>
      <c r="AT127">
        <v>1.03</v>
      </c>
      <c r="AU127" t="s">
        <v>71</v>
      </c>
      <c r="AV127">
        <v>1</v>
      </c>
      <c r="AW127">
        <v>2</v>
      </c>
      <c r="AX127">
        <v>57015330</v>
      </c>
      <c r="AY127">
        <v>1</v>
      </c>
      <c r="AZ127">
        <v>0</v>
      </c>
      <c r="BA127">
        <v>161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CU127">
        <f>ROUND(AT127*Source!I109*AH127*AL127,2)</f>
        <v>0</v>
      </c>
      <c r="CV127">
        <f>ROUND(Y127*Source!I109,9)</f>
        <v>1.236</v>
      </c>
      <c r="CW127">
        <v>0</v>
      </c>
      <c r="CX127">
        <f>ROUND(Y127*Source!I109,9)</f>
        <v>1.236</v>
      </c>
      <c r="CY127">
        <f>AD127</f>
        <v>0</v>
      </c>
      <c r="CZ127">
        <f>AH127</f>
        <v>0</v>
      </c>
      <c r="DA127">
        <f>AL127</f>
        <v>1</v>
      </c>
      <c r="DB127">
        <f t="shared" ref="DB127:DB132" si="34">ROUND((ROUND(AT127*CZ127,2)*1.2),6)</f>
        <v>0</v>
      </c>
      <c r="DC127">
        <f t="shared" ref="DC127:DC132" si="35">ROUND((ROUND(AT127*AG127,2)*1.2),6)</f>
        <v>0</v>
      </c>
      <c r="DD127" t="s">
        <v>3</v>
      </c>
      <c r="DE127" t="s">
        <v>3</v>
      </c>
      <c r="DF127">
        <f t="shared" ref="DF127:DF135" si="36">ROUND(ROUND(AE127,2)*CX127,2)</f>
        <v>0</v>
      </c>
      <c r="DG127">
        <f t="shared" si="32"/>
        <v>0</v>
      </c>
      <c r="DH127">
        <f t="shared" si="31"/>
        <v>0</v>
      </c>
      <c r="DI127">
        <f t="shared" si="16"/>
        <v>0</v>
      </c>
      <c r="DJ127">
        <f>DI127</f>
        <v>0</v>
      </c>
      <c r="DK127">
        <v>0</v>
      </c>
      <c r="DL127" t="s">
        <v>3</v>
      </c>
      <c r="DM127">
        <v>0</v>
      </c>
      <c r="DN127" t="s">
        <v>3</v>
      </c>
      <c r="DO127">
        <v>0</v>
      </c>
    </row>
    <row r="128" spans="1:119" x14ac:dyDescent="0.25">
      <c r="A128">
        <f>ROW(Source!A109)</f>
        <v>109</v>
      </c>
      <c r="B128">
        <v>57014138</v>
      </c>
      <c r="C128">
        <v>57015329</v>
      </c>
      <c r="D128">
        <v>55490209</v>
      </c>
      <c r="E128">
        <v>1</v>
      </c>
      <c r="F128">
        <v>1</v>
      </c>
      <c r="G128">
        <v>1081</v>
      </c>
      <c r="H128">
        <v>2</v>
      </c>
      <c r="I128" t="s">
        <v>460</v>
      </c>
      <c r="J128" t="s">
        <v>461</v>
      </c>
      <c r="K128" t="s">
        <v>462</v>
      </c>
      <c r="L128">
        <v>1368</v>
      </c>
      <c r="N128">
        <v>1011</v>
      </c>
      <c r="O128" t="s">
        <v>391</v>
      </c>
      <c r="P128" t="s">
        <v>391</v>
      </c>
      <c r="Q128">
        <v>1</v>
      </c>
      <c r="W128">
        <v>0</v>
      </c>
      <c r="X128">
        <v>874612079</v>
      </c>
      <c r="Y128">
        <f t="shared" si="33"/>
        <v>7.1999999999999998E-3</v>
      </c>
      <c r="AA128">
        <v>0</v>
      </c>
      <c r="AB128">
        <v>87.01</v>
      </c>
      <c r="AC128">
        <v>13.21</v>
      </c>
      <c r="AD128">
        <v>0</v>
      </c>
      <c r="AE128">
        <v>0</v>
      </c>
      <c r="AF128">
        <v>83.1</v>
      </c>
      <c r="AG128">
        <v>12.62</v>
      </c>
      <c r="AH128">
        <v>0</v>
      </c>
      <c r="AI128">
        <v>1</v>
      </c>
      <c r="AJ128">
        <v>1</v>
      </c>
      <c r="AK128">
        <v>1</v>
      </c>
      <c r="AL128">
        <v>1</v>
      </c>
      <c r="AM128">
        <v>-2</v>
      </c>
      <c r="AN128">
        <v>0</v>
      </c>
      <c r="AO128">
        <v>1</v>
      </c>
      <c r="AP128">
        <v>1</v>
      </c>
      <c r="AQ128">
        <v>0</v>
      </c>
      <c r="AR128">
        <v>0</v>
      </c>
      <c r="AS128" t="s">
        <v>3</v>
      </c>
      <c r="AT128">
        <v>6.0000000000000001E-3</v>
      </c>
      <c r="AU128" t="s">
        <v>71</v>
      </c>
      <c r="AV128">
        <v>0</v>
      </c>
      <c r="AW128">
        <v>2</v>
      </c>
      <c r="AX128">
        <v>57015331</v>
      </c>
      <c r="AY128">
        <v>1</v>
      </c>
      <c r="AZ128">
        <v>0</v>
      </c>
      <c r="BA128">
        <v>162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CV128">
        <v>0</v>
      </c>
      <c r="CW128">
        <f>ROUND(Y128*Source!I109*DO128,9)</f>
        <v>9.0864E-2</v>
      </c>
      <c r="CX128">
        <f>ROUND(Y128*Source!I109,9)</f>
        <v>7.1999999999999998E-3</v>
      </c>
      <c r="CY128">
        <f>AB128</f>
        <v>87.01</v>
      </c>
      <c r="CZ128">
        <f>AF128</f>
        <v>83.1</v>
      </c>
      <c r="DA128">
        <f>AJ128</f>
        <v>1</v>
      </c>
      <c r="DB128">
        <f t="shared" si="34"/>
        <v>0.6</v>
      </c>
      <c r="DC128">
        <f t="shared" si="35"/>
        <v>9.6000000000000002E-2</v>
      </c>
      <c r="DD128" t="s">
        <v>3</v>
      </c>
      <c r="DE128" t="s">
        <v>3</v>
      </c>
      <c r="DF128">
        <f t="shared" si="36"/>
        <v>0</v>
      </c>
      <c r="DG128">
        <f t="shared" si="32"/>
        <v>0.6</v>
      </c>
      <c r="DH128">
        <f t="shared" si="31"/>
        <v>0.09</v>
      </c>
      <c r="DI128">
        <f t="shared" si="16"/>
        <v>0</v>
      </c>
      <c r="DJ128">
        <f>DG128</f>
        <v>0.6</v>
      </c>
      <c r="DK128">
        <v>0</v>
      </c>
      <c r="DL128" t="s">
        <v>392</v>
      </c>
      <c r="DM128">
        <v>0</v>
      </c>
      <c r="DN128" t="s">
        <v>387</v>
      </c>
      <c r="DO128">
        <v>12.62</v>
      </c>
    </row>
    <row r="129" spans="1:119" x14ac:dyDescent="0.25">
      <c r="A129">
        <f>ROW(Source!A110)</f>
        <v>110</v>
      </c>
      <c r="B129">
        <v>57014140</v>
      </c>
      <c r="C129">
        <v>57015329</v>
      </c>
      <c r="D129">
        <v>55424304</v>
      </c>
      <c r="E129">
        <v>1081</v>
      </c>
      <c r="F129">
        <v>1</v>
      </c>
      <c r="G129">
        <v>1081</v>
      </c>
      <c r="H129">
        <v>1</v>
      </c>
      <c r="I129" t="s">
        <v>385</v>
      </c>
      <c r="J129" t="s">
        <v>3</v>
      </c>
      <c r="K129" t="s">
        <v>386</v>
      </c>
      <c r="L129">
        <v>1191</v>
      </c>
      <c r="N129">
        <v>1013</v>
      </c>
      <c r="O129" t="s">
        <v>387</v>
      </c>
      <c r="P129" t="s">
        <v>387</v>
      </c>
      <c r="Q129">
        <v>1</v>
      </c>
      <c r="W129">
        <v>0</v>
      </c>
      <c r="X129">
        <v>476480486</v>
      </c>
      <c r="Y129">
        <f t="shared" si="33"/>
        <v>1.236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1</v>
      </c>
      <c r="AJ129">
        <v>1</v>
      </c>
      <c r="AK129">
        <v>1</v>
      </c>
      <c r="AL129">
        <v>1</v>
      </c>
      <c r="AM129">
        <v>5</v>
      </c>
      <c r="AN129">
        <v>0</v>
      </c>
      <c r="AO129">
        <v>1</v>
      </c>
      <c r="AP129">
        <v>1</v>
      </c>
      <c r="AQ129">
        <v>0</v>
      </c>
      <c r="AR129">
        <v>0</v>
      </c>
      <c r="AS129" t="s">
        <v>3</v>
      </c>
      <c r="AT129">
        <v>1.03</v>
      </c>
      <c r="AU129" t="s">
        <v>71</v>
      </c>
      <c r="AV129">
        <v>1</v>
      </c>
      <c r="AW129">
        <v>2</v>
      </c>
      <c r="AX129">
        <v>57015330</v>
      </c>
      <c r="AY129">
        <v>1</v>
      </c>
      <c r="AZ129">
        <v>0</v>
      </c>
      <c r="BA129">
        <v>164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CU129">
        <f>ROUND(AT129*Source!I110*AH129*AL129,2)</f>
        <v>0</v>
      </c>
      <c r="CV129">
        <f>ROUND(Y129*Source!I110,9)</f>
        <v>1.236</v>
      </c>
      <c r="CW129">
        <v>0</v>
      </c>
      <c r="CX129">
        <f>ROUND(Y129*Source!I110,9)</f>
        <v>1.236</v>
      </c>
      <c r="CY129">
        <f>AD129</f>
        <v>0</v>
      </c>
      <c r="CZ129">
        <f>AH129</f>
        <v>0</v>
      </c>
      <c r="DA129">
        <f>AL129</f>
        <v>1</v>
      </c>
      <c r="DB129">
        <f t="shared" si="34"/>
        <v>0</v>
      </c>
      <c r="DC129">
        <f t="shared" si="35"/>
        <v>0</v>
      </c>
      <c r="DD129" t="s">
        <v>3</v>
      </c>
      <c r="DE129" t="s">
        <v>3</v>
      </c>
      <c r="DF129">
        <f t="shared" si="36"/>
        <v>0</v>
      </c>
      <c r="DG129">
        <f t="shared" si="32"/>
        <v>0</v>
      </c>
      <c r="DH129">
        <f t="shared" si="31"/>
        <v>0</v>
      </c>
      <c r="DI129">
        <f t="shared" ref="DI129:DI192" si="37">ROUND(ROUND(AH129,2)*CX129,2)</f>
        <v>0</v>
      </c>
      <c r="DJ129">
        <f>DI129</f>
        <v>0</v>
      </c>
      <c r="DK129">
        <v>0</v>
      </c>
      <c r="DL129" t="s">
        <v>3</v>
      </c>
      <c r="DM129">
        <v>0</v>
      </c>
      <c r="DN129" t="s">
        <v>3</v>
      </c>
      <c r="DO129">
        <v>0</v>
      </c>
    </row>
    <row r="130" spans="1:119" x14ac:dyDescent="0.25">
      <c r="A130">
        <f>ROW(Source!A110)</f>
        <v>110</v>
      </c>
      <c r="B130">
        <v>57014140</v>
      </c>
      <c r="C130">
        <v>57015329</v>
      </c>
      <c r="D130">
        <v>55490209</v>
      </c>
      <c r="E130">
        <v>1</v>
      </c>
      <c r="F130">
        <v>1</v>
      </c>
      <c r="G130">
        <v>1081</v>
      </c>
      <c r="H130">
        <v>2</v>
      </c>
      <c r="I130" t="s">
        <v>460</v>
      </c>
      <c r="J130" t="s">
        <v>461</v>
      </c>
      <c r="K130" t="s">
        <v>462</v>
      </c>
      <c r="L130">
        <v>1368</v>
      </c>
      <c r="N130">
        <v>1011</v>
      </c>
      <c r="O130" t="s">
        <v>391</v>
      </c>
      <c r="P130" t="s">
        <v>391</v>
      </c>
      <c r="Q130">
        <v>1</v>
      </c>
      <c r="W130">
        <v>0</v>
      </c>
      <c r="X130">
        <v>874612079</v>
      </c>
      <c r="Y130">
        <f t="shared" si="33"/>
        <v>7.1999999999999998E-3</v>
      </c>
      <c r="AA130">
        <v>0</v>
      </c>
      <c r="AB130">
        <v>1485.19</v>
      </c>
      <c r="AC130">
        <v>744.56</v>
      </c>
      <c r="AD130">
        <v>0</v>
      </c>
      <c r="AE130">
        <v>0</v>
      </c>
      <c r="AF130">
        <v>83.1</v>
      </c>
      <c r="AG130">
        <v>12.62</v>
      </c>
      <c r="AH130">
        <v>0</v>
      </c>
      <c r="AI130">
        <v>1</v>
      </c>
      <c r="AJ130">
        <v>17.07</v>
      </c>
      <c r="AK130">
        <v>56.35</v>
      </c>
      <c r="AL130">
        <v>1</v>
      </c>
      <c r="AM130">
        <v>2</v>
      </c>
      <c r="AN130">
        <v>0</v>
      </c>
      <c r="AO130">
        <v>1</v>
      </c>
      <c r="AP130">
        <v>1</v>
      </c>
      <c r="AQ130">
        <v>0</v>
      </c>
      <c r="AR130">
        <v>0</v>
      </c>
      <c r="AS130" t="s">
        <v>3</v>
      </c>
      <c r="AT130">
        <v>6.0000000000000001E-3</v>
      </c>
      <c r="AU130" t="s">
        <v>71</v>
      </c>
      <c r="AV130">
        <v>0</v>
      </c>
      <c r="AW130">
        <v>2</v>
      </c>
      <c r="AX130">
        <v>57015331</v>
      </c>
      <c r="AY130">
        <v>1</v>
      </c>
      <c r="AZ130">
        <v>0</v>
      </c>
      <c r="BA130">
        <v>165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CV130">
        <v>0</v>
      </c>
      <c r="CW130">
        <f>ROUND(Y130*Source!I110*DO130,9)</f>
        <v>9.0864E-2</v>
      </c>
      <c r="CX130">
        <f>ROUND(Y130*Source!I110,9)</f>
        <v>7.1999999999999998E-3</v>
      </c>
      <c r="CY130">
        <f>AB130</f>
        <v>1485.19</v>
      </c>
      <c r="CZ130">
        <f>AF130</f>
        <v>83.1</v>
      </c>
      <c r="DA130">
        <f>AJ130</f>
        <v>17.07</v>
      </c>
      <c r="DB130">
        <f t="shared" si="34"/>
        <v>0.6</v>
      </c>
      <c r="DC130">
        <f t="shared" si="35"/>
        <v>9.6000000000000002E-2</v>
      </c>
      <c r="DD130" t="s">
        <v>3</v>
      </c>
      <c r="DE130" t="s">
        <v>3</v>
      </c>
      <c r="DF130">
        <f t="shared" si="36"/>
        <v>0</v>
      </c>
      <c r="DG130">
        <f>ROUND(ROUND(AF130*AJ130,2)*CX130,2)</f>
        <v>10.210000000000001</v>
      </c>
      <c r="DH130">
        <f>ROUND(ROUND(AG130*AK130,2)*CX130,2)</f>
        <v>5.12</v>
      </c>
      <c r="DI130">
        <f t="shared" si="37"/>
        <v>0</v>
      </c>
      <c r="DJ130">
        <f>DG130</f>
        <v>10.210000000000001</v>
      </c>
      <c r="DK130">
        <v>0</v>
      </c>
      <c r="DL130" t="s">
        <v>392</v>
      </c>
      <c r="DM130">
        <v>0</v>
      </c>
      <c r="DN130" t="s">
        <v>387</v>
      </c>
      <c r="DO130">
        <v>12.62</v>
      </c>
    </row>
    <row r="131" spans="1:119" x14ac:dyDescent="0.25">
      <c r="A131">
        <f>ROW(Source!A111)</f>
        <v>111</v>
      </c>
      <c r="B131">
        <v>57014138</v>
      </c>
      <c r="C131">
        <v>57014559</v>
      </c>
      <c r="D131">
        <v>55424304</v>
      </c>
      <c r="E131">
        <v>1081</v>
      </c>
      <c r="F131">
        <v>1</v>
      </c>
      <c r="G131">
        <v>1081</v>
      </c>
      <c r="H131">
        <v>1</v>
      </c>
      <c r="I131" t="s">
        <v>385</v>
      </c>
      <c r="J131" t="s">
        <v>3</v>
      </c>
      <c r="K131" t="s">
        <v>386</v>
      </c>
      <c r="L131">
        <v>1191</v>
      </c>
      <c r="N131">
        <v>1013</v>
      </c>
      <c r="O131" t="s">
        <v>387</v>
      </c>
      <c r="P131" t="s">
        <v>387</v>
      </c>
      <c r="Q131">
        <v>1</v>
      </c>
      <c r="W131">
        <v>0</v>
      </c>
      <c r="X131">
        <v>476480486</v>
      </c>
      <c r="Y131">
        <f t="shared" si="33"/>
        <v>2.3639999999999999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1</v>
      </c>
      <c r="AJ131">
        <v>1</v>
      </c>
      <c r="AK131">
        <v>1</v>
      </c>
      <c r="AL131">
        <v>1</v>
      </c>
      <c r="AM131">
        <v>-2</v>
      </c>
      <c r="AN131">
        <v>0</v>
      </c>
      <c r="AO131">
        <v>1</v>
      </c>
      <c r="AP131">
        <v>1</v>
      </c>
      <c r="AQ131">
        <v>0</v>
      </c>
      <c r="AR131">
        <v>0</v>
      </c>
      <c r="AS131" t="s">
        <v>3</v>
      </c>
      <c r="AT131">
        <v>1.97</v>
      </c>
      <c r="AU131" t="s">
        <v>71</v>
      </c>
      <c r="AV131">
        <v>1</v>
      </c>
      <c r="AW131">
        <v>2</v>
      </c>
      <c r="AX131">
        <v>57014563</v>
      </c>
      <c r="AY131">
        <v>1</v>
      </c>
      <c r="AZ131">
        <v>0</v>
      </c>
      <c r="BA131">
        <v>167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CU131">
        <f>ROUND(AT131*Source!I111*AH131*AL131,2)</f>
        <v>0</v>
      </c>
      <c r="CV131">
        <f>ROUND(Y131*Source!I111,9)</f>
        <v>2.3639999999999999</v>
      </c>
      <c r="CW131">
        <v>0</v>
      </c>
      <c r="CX131">
        <f>ROUND(Y131*Source!I111,9)</f>
        <v>2.3639999999999999</v>
      </c>
      <c r="CY131">
        <f>AD131</f>
        <v>0</v>
      </c>
      <c r="CZ131">
        <f>AH131</f>
        <v>0</v>
      </c>
      <c r="DA131">
        <f>AL131</f>
        <v>1</v>
      </c>
      <c r="DB131">
        <f t="shared" si="34"/>
        <v>0</v>
      </c>
      <c r="DC131">
        <f t="shared" si="35"/>
        <v>0</v>
      </c>
      <c r="DD131" t="s">
        <v>3</v>
      </c>
      <c r="DE131" t="s">
        <v>3</v>
      </c>
      <c r="DF131">
        <f t="shared" si="36"/>
        <v>0</v>
      </c>
      <c r="DG131">
        <f>ROUND(ROUND(AF131,2)*CX131,2)</f>
        <v>0</v>
      </c>
      <c r="DH131">
        <f>ROUND(ROUND(AG131,2)*CX131,2)</f>
        <v>0</v>
      </c>
      <c r="DI131">
        <f t="shared" si="37"/>
        <v>0</v>
      </c>
      <c r="DJ131">
        <f>DI131</f>
        <v>0</v>
      </c>
      <c r="DK131">
        <v>0</v>
      </c>
      <c r="DL131" t="s">
        <v>3</v>
      </c>
      <c r="DM131">
        <v>0</v>
      </c>
      <c r="DN131" t="s">
        <v>3</v>
      </c>
      <c r="DO131">
        <v>0</v>
      </c>
    </row>
    <row r="132" spans="1:119" x14ac:dyDescent="0.25">
      <c r="A132">
        <f>ROW(Source!A111)</f>
        <v>111</v>
      </c>
      <c r="B132">
        <v>57014138</v>
      </c>
      <c r="C132">
        <v>57014559</v>
      </c>
      <c r="D132">
        <v>55490209</v>
      </c>
      <c r="E132">
        <v>1</v>
      </c>
      <c r="F132">
        <v>1</v>
      </c>
      <c r="G132">
        <v>1081</v>
      </c>
      <c r="H132">
        <v>2</v>
      </c>
      <c r="I132" t="s">
        <v>460</v>
      </c>
      <c r="J132" t="s">
        <v>461</v>
      </c>
      <c r="K132" t="s">
        <v>462</v>
      </c>
      <c r="L132">
        <v>1368</v>
      </c>
      <c r="N132">
        <v>1011</v>
      </c>
      <c r="O132" t="s">
        <v>391</v>
      </c>
      <c r="P132" t="s">
        <v>391</v>
      </c>
      <c r="Q132">
        <v>1</v>
      </c>
      <c r="W132">
        <v>0</v>
      </c>
      <c r="X132">
        <v>874612079</v>
      </c>
      <c r="Y132">
        <f t="shared" si="33"/>
        <v>9.6000000000000002E-2</v>
      </c>
      <c r="AA132">
        <v>0</v>
      </c>
      <c r="AB132">
        <v>87.01</v>
      </c>
      <c r="AC132">
        <v>13.21</v>
      </c>
      <c r="AD132">
        <v>0</v>
      </c>
      <c r="AE132">
        <v>0</v>
      </c>
      <c r="AF132">
        <v>83.1</v>
      </c>
      <c r="AG132">
        <v>12.62</v>
      </c>
      <c r="AH132">
        <v>0</v>
      </c>
      <c r="AI132">
        <v>1</v>
      </c>
      <c r="AJ132">
        <v>1</v>
      </c>
      <c r="AK132">
        <v>1</v>
      </c>
      <c r="AL132">
        <v>1</v>
      </c>
      <c r="AM132">
        <v>-2</v>
      </c>
      <c r="AN132">
        <v>0</v>
      </c>
      <c r="AO132">
        <v>1</v>
      </c>
      <c r="AP132">
        <v>1</v>
      </c>
      <c r="AQ132">
        <v>0</v>
      </c>
      <c r="AR132">
        <v>0</v>
      </c>
      <c r="AS132" t="s">
        <v>3</v>
      </c>
      <c r="AT132">
        <v>0.08</v>
      </c>
      <c r="AU132" t="s">
        <v>71</v>
      </c>
      <c r="AV132">
        <v>0</v>
      </c>
      <c r="AW132">
        <v>2</v>
      </c>
      <c r="AX132">
        <v>57014564</v>
      </c>
      <c r="AY132">
        <v>1</v>
      </c>
      <c r="AZ132">
        <v>0</v>
      </c>
      <c r="BA132">
        <v>168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CV132">
        <v>0</v>
      </c>
      <c r="CW132">
        <f>ROUND(Y132*Source!I111*DO132,9)</f>
        <v>1.2115199999999999</v>
      </c>
      <c r="CX132">
        <f>ROUND(Y132*Source!I111,9)</f>
        <v>9.6000000000000002E-2</v>
      </c>
      <c r="CY132">
        <f>AB132</f>
        <v>87.01</v>
      </c>
      <c r="CZ132">
        <f>AF132</f>
        <v>83.1</v>
      </c>
      <c r="DA132">
        <f>AJ132</f>
        <v>1</v>
      </c>
      <c r="DB132">
        <f t="shared" si="34"/>
        <v>7.98</v>
      </c>
      <c r="DC132">
        <f t="shared" si="35"/>
        <v>1.212</v>
      </c>
      <c r="DD132" t="s">
        <v>3</v>
      </c>
      <c r="DE132" t="s">
        <v>3</v>
      </c>
      <c r="DF132">
        <f t="shared" si="36"/>
        <v>0</v>
      </c>
      <c r="DG132">
        <f>ROUND(ROUND(AF132,2)*CX132,2)</f>
        <v>7.98</v>
      </c>
      <c r="DH132">
        <f>ROUND(ROUND(AG132,2)*CX132,2)</f>
        <v>1.21</v>
      </c>
      <c r="DI132">
        <f t="shared" si="37"/>
        <v>0</v>
      </c>
      <c r="DJ132">
        <f>DG132</f>
        <v>7.98</v>
      </c>
      <c r="DK132">
        <v>0</v>
      </c>
      <c r="DL132" t="s">
        <v>392</v>
      </c>
      <c r="DM132">
        <v>0</v>
      </c>
      <c r="DN132" t="s">
        <v>387</v>
      </c>
      <c r="DO132">
        <v>12.62</v>
      </c>
    </row>
    <row r="133" spans="1:119" x14ac:dyDescent="0.25">
      <c r="A133">
        <f>ROW(Source!A111)</f>
        <v>111</v>
      </c>
      <c r="B133">
        <v>57014138</v>
      </c>
      <c r="C133">
        <v>57014559</v>
      </c>
      <c r="D133">
        <v>55460424</v>
      </c>
      <c r="E133">
        <v>1</v>
      </c>
      <c r="F133">
        <v>1</v>
      </c>
      <c r="G133">
        <v>1081</v>
      </c>
      <c r="H133">
        <v>3</v>
      </c>
      <c r="I133" t="s">
        <v>470</v>
      </c>
      <c r="J133" t="s">
        <v>471</v>
      </c>
      <c r="K133" t="s">
        <v>472</v>
      </c>
      <c r="L133">
        <v>1346</v>
      </c>
      <c r="N133">
        <v>1009</v>
      </c>
      <c r="O133" t="s">
        <v>365</v>
      </c>
      <c r="P133" t="s">
        <v>365</v>
      </c>
      <c r="Q133">
        <v>1</v>
      </c>
      <c r="W133">
        <v>0</v>
      </c>
      <c r="X133">
        <v>1309298634</v>
      </c>
      <c r="Y133">
        <f>(AT133*1)</f>
        <v>0.02</v>
      </c>
      <c r="AA133">
        <v>159.06</v>
      </c>
      <c r="AB133">
        <v>0</v>
      </c>
      <c r="AC133">
        <v>0</v>
      </c>
      <c r="AD133">
        <v>0</v>
      </c>
      <c r="AE133">
        <v>159.06</v>
      </c>
      <c r="AF133">
        <v>0</v>
      </c>
      <c r="AG133">
        <v>0</v>
      </c>
      <c r="AH133">
        <v>0</v>
      </c>
      <c r="AI133">
        <v>1</v>
      </c>
      <c r="AJ133">
        <v>1</v>
      </c>
      <c r="AK133">
        <v>1</v>
      </c>
      <c r="AL133">
        <v>1</v>
      </c>
      <c r="AM133">
        <v>-2</v>
      </c>
      <c r="AN133">
        <v>0</v>
      </c>
      <c r="AO133">
        <v>1</v>
      </c>
      <c r="AP133">
        <v>1</v>
      </c>
      <c r="AQ133">
        <v>0</v>
      </c>
      <c r="AR133">
        <v>0</v>
      </c>
      <c r="AS133" t="s">
        <v>3</v>
      </c>
      <c r="AT133">
        <v>0.02</v>
      </c>
      <c r="AU133" t="s">
        <v>70</v>
      </c>
      <c r="AV133">
        <v>0</v>
      </c>
      <c r="AW133">
        <v>2</v>
      </c>
      <c r="AX133">
        <v>57014565</v>
      </c>
      <c r="AY133">
        <v>1</v>
      </c>
      <c r="AZ133">
        <v>0</v>
      </c>
      <c r="BA133">
        <v>169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CV133">
        <v>0</v>
      </c>
      <c r="CW133">
        <v>0</v>
      </c>
      <c r="CX133">
        <f>ROUND(Y133*Source!I111,9)</f>
        <v>0.02</v>
      </c>
      <c r="CY133">
        <f>AA133</f>
        <v>159.06</v>
      </c>
      <c r="CZ133">
        <f>AE133</f>
        <v>159.06</v>
      </c>
      <c r="DA133">
        <f>AI133</f>
        <v>1</v>
      </c>
      <c r="DB133">
        <f>ROUND((ROUND(AT133*CZ133,2)*1),6)</f>
        <v>3.18</v>
      </c>
      <c r="DC133">
        <f>ROUND((ROUND(AT133*AG133,2)*1),6)</f>
        <v>0</v>
      </c>
      <c r="DD133" t="s">
        <v>3</v>
      </c>
      <c r="DE133" t="s">
        <v>3</v>
      </c>
      <c r="DF133">
        <f t="shared" si="36"/>
        <v>3.18</v>
      </c>
      <c r="DG133">
        <f>ROUND(ROUND(AF133,2)*CX133,2)</f>
        <v>0</v>
      </c>
      <c r="DH133">
        <f>ROUND(ROUND(AG133,2)*CX133,2)</f>
        <v>0</v>
      </c>
      <c r="DI133">
        <f t="shared" si="37"/>
        <v>0</v>
      </c>
      <c r="DJ133">
        <f>DF133</f>
        <v>3.18</v>
      </c>
      <c r="DK133">
        <v>0</v>
      </c>
      <c r="DL133" t="s">
        <v>3</v>
      </c>
      <c r="DM133">
        <v>0</v>
      </c>
      <c r="DN133" t="s">
        <v>3</v>
      </c>
      <c r="DO133">
        <v>0</v>
      </c>
    </row>
    <row r="134" spans="1:119" x14ac:dyDescent="0.25">
      <c r="A134">
        <f>ROW(Source!A112)</f>
        <v>112</v>
      </c>
      <c r="B134">
        <v>57014140</v>
      </c>
      <c r="C134">
        <v>57014559</v>
      </c>
      <c r="D134">
        <v>55424304</v>
      </c>
      <c r="E134">
        <v>1081</v>
      </c>
      <c r="F134">
        <v>1</v>
      </c>
      <c r="G134">
        <v>1081</v>
      </c>
      <c r="H134">
        <v>1</v>
      </c>
      <c r="I134" t="s">
        <v>385</v>
      </c>
      <c r="J134" t="s">
        <v>3</v>
      </c>
      <c r="K134" t="s">
        <v>386</v>
      </c>
      <c r="L134">
        <v>1191</v>
      </c>
      <c r="N134">
        <v>1013</v>
      </c>
      <c r="O134" t="s">
        <v>387</v>
      </c>
      <c r="P134" t="s">
        <v>387</v>
      </c>
      <c r="Q134">
        <v>1</v>
      </c>
      <c r="W134">
        <v>0</v>
      </c>
      <c r="X134">
        <v>476480486</v>
      </c>
      <c r="Y134">
        <f>(AT134*1.2)</f>
        <v>2.3639999999999999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1</v>
      </c>
      <c r="AJ134">
        <v>1</v>
      </c>
      <c r="AK134">
        <v>1</v>
      </c>
      <c r="AL134">
        <v>1</v>
      </c>
      <c r="AM134">
        <v>5</v>
      </c>
      <c r="AN134">
        <v>0</v>
      </c>
      <c r="AO134">
        <v>1</v>
      </c>
      <c r="AP134">
        <v>1</v>
      </c>
      <c r="AQ134">
        <v>0</v>
      </c>
      <c r="AR134">
        <v>0</v>
      </c>
      <c r="AS134" t="s">
        <v>3</v>
      </c>
      <c r="AT134">
        <v>1.97</v>
      </c>
      <c r="AU134" t="s">
        <v>71</v>
      </c>
      <c r="AV134">
        <v>1</v>
      </c>
      <c r="AW134">
        <v>2</v>
      </c>
      <c r="AX134">
        <v>57014563</v>
      </c>
      <c r="AY134">
        <v>1</v>
      </c>
      <c r="AZ134">
        <v>0</v>
      </c>
      <c r="BA134">
        <v>173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CU134">
        <f>ROUND(AT134*Source!I112*AH134*AL134,2)</f>
        <v>0</v>
      </c>
      <c r="CV134">
        <f>ROUND(Y134*Source!I112,9)</f>
        <v>2.3639999999999999</v>
      </c>
      <c r="CW134">
        <v>0</v>
      </c>
      <c r="CX134">
        <f>ROUND(Y134*Source!I112,9)</f>
        <v>2.3639999999999999</v>
      </c>
      <c r="CY134">
        <f>AD134</f>
        <v>0</v>
      </c>
      <c r="CZ134">
        <f>AH134</f>
        <v>0</v>
      </c>
      <c r="DA134">
        <f>AL134</f>
        <v>1</v>
      </c>
      <c r="DB134">
        <f>ROUND((ROUND(AT134*CZ134,2)*1.2),6)</f>
        <v>0</v>
      </c>
      <c r="DC134">
        <f>ROUND((ROUND(AT134*AG134,2)*1.2),6)</f>
        <v>0</v>
      </c>
      <c r="DD134" t="s">
        <v>3</v>
      </c>
      <c r="DE134" t="s">
        <v>3</v>
      </c>
      <c r="DF134">
        <f t="shared" si="36"/>
        <v>0</v>
      </c>
      <c r="DG134">
        <f>ROUND(ROUND(AF134,2)*CX134,2)</f>
        <v>0</v>
      </c>
      <c r="DH134">
        <f>ROUND(ROUND(AG134,2)*CX134,2)</f>
        <v>0</v>
      </c>
      <c r="DI134">
        <f t="shared" si="37"/>
        <v>0</v>
      </c>
      <c r="DJ134">
        <f>DI134</f>
        <v>0</v>
      </c>
      <c r="DK134">
        <v>0</v>
      </c>
      <c r="DL134" t="s">
        <v>3</v>
      </c>
      <c r="DM134">
        <v>0</v>
      </c>
      <c r="DN134" t="s">
        <v>3</v>
      </c>
      <c r="DO134">
        <v>0</v>
      </c>
    </row>
    <row r="135" spans="1:119" x14ac:dyDescent="0.25">
      <c r="A135">
        <f>ROW(Source!A112)</f>
        <v>112</v>
      </c>
      <c r="B135">
        <v>57014140</v>
      </c>
      <c r="C135">
        <v>57014559</v>
      </c>
      <c r="D135">
        <v>55490209</v>
      </c>
      <c r="E135">
        <v>1</v>
      </c>
      <c r="F135">
        <v>1</v>
      </c>
      <c r="G135">
        <v>1081</v>
      </c>
      <c r="H135">
        <v>2</v>
      </c>
      <c r="I135" t="s">
        <v>460</v>
      </c>
      <c r="J135" t="s">
        <v>461</v>
      </c>
      <c r="K135" t="s">
        <v>462</v>
      </c>
      <c r="L135">
        <v>1368</v>
      </c>
      <c r="N135">
        <v>1011</v>
      </c>
      <c r="O135" t="s">
        <v>391</v>
      </c>
      <c r="P135" t="s">
        <v>391</v>
      </c>
      <c r="Q135">
        <v>1</v>
      </c>
      <c r="W135">
        <v>0</v>
      </c>
      <c r="X135">
        <v>874612079</v>
      </c>
      <c r="Y135">
        <f>(AT135*1.2)</f>
        <v>9.6000000000000002E-2</v>
      </c>
      <c r="AA135">
        <v>0</v>
      </c>
      <c r="AB135">
        <v>1485.19</v>
      </c>
      <c r="AC135">
        <v>744.56</v>
      </c>
      <c r="AD135">
        <v>0</v>
      </c>
      <c r="AE135">
        <v>0</v>
      </c>
      <c r="AF135">
        <v>83.1</v>
      </c>
      <c r="AG135">
        <v>12.62</v>
      </c>
      <c r="AH135">
        <v>0</v>
      </c>
      <c r="AI135">
        <v>1</v>
      </c>
      <c r="AJ135">
        <v>17.07</v>
      </c>
      <c r="AK135">
        <v>56.35</v>
      </c>
      <c r="AL135">
        <v>1</v>
      </c>
      <c r="AM135">
        <v>2</v>
      </c>
      <c r="AN135">
        <v>0</v>
      </c>
      <c r="AO135">
        <v>1</v>
      </c>
      <c r="AP135">
        <v>1</v>
      </c>
      <c r="AQ135">
        <v>0</v>
      </c>
      <c r="AR135">
        <v>0</v>
      </c>
      <c r="AS135" t="s">
        <v>3</v>
      </c>
      <c r="AT135">
        <v>0.08</v>
      </c>
      <c r="AU135" t="s">
        <v>71</v>
      </c>
      <c r="AV135">
        <v>0</v>
      </c>
      <c r="AW135">
        <v>2</v>
      </c>
      <c r="AX135">
        <v>57014564</v>
      </c>
      <c r="AY135">
        <v>1</v>
      </c>
      <c r="AZ135">
        <v>0</v>
      </c>
      <c r="BA135">
        <v>174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CV135">
        <v>0</v>
      </c>
      <c r="CW135">
        <f>ROUND(Y135*Source!I112*DO135,9)</f>
        <v>1.2115199999999999</v>
      </c>
      <c r="CX135">
        <f>ROUND(Y135*Source!I112,9)</f>
        <v>9.6000000000000002E-2</v>
      </c>
      <c r="CY135">
        <f>AB135</f>
        <v>1485.19</v>
      </c>
      <c r="CZ135">
        <f>AF135</f>
        <v>83.1</v>
      </c>
      <c r="DA135">
        <f>AJ135</f>
        <v>17.07</v>
      </c>
      <c r="DB135">
        <f>ROUND((ROUND(AT135*CZ135,2)*1.2),6)</f>
        <v>7.98</v>
      </c>
      <c r="DC135">
        <f>ROUND((ROUND(AT135*AG135,2)*1.2),6)</f>
        <v>1.212</v>
      </c>
      <c r="DD135" t="s">
        <v>3</v>
      </c>
      <c r="DE135" t="s">
        <v>3</v>
      </c>
      <c r="DF135">
        <f t="shared" si="36"/>
        <v>0</v>
      </c>
      <c r="DG135">
        <f>ROUND(ROUND(AF135*AJ135,2)*CX135,2)</f>
        <v>136.18</v>
      </c>
      <c r="DH135">
        <f>ROUND(ROUND(AG135*AK135,2)*CX135,2)</f>
        <v>68.27</v>
      </c>
      <c r="DI135">
        <f t="shared" si="37"/>
        <v>0</v>
      </c>
      <c r="DJ135">
        <f>DG135</f>
        <v>136.18</v>
      </c>
      <c r="DK135">
        <v>0</v>
      </c>
      <c r="DL135" t="s">
        <v>392</v>
      </c>
      <c r="DM135">
        <v>0</v>
      </c>
      <c r="DN135" t="s">
        <v>387</v>
      </c>
      <c r="DO135">
        <v>12.62</v>
      </c>
    </row>
    <row r="136" spans="1:119" x14ac:dyDescent="0.25">
      <c r="A136">
        <f>ROW(Source!A112)</f>
        <v>112</v>
      </c>
      <c r="B136">
        <v>57014140</v>
      </c>
      <c r="C136">
        <v>57014559</v>
      </c>
      <c r="D136">
        <v>55460424</v>
      </c>
      <c r="E136">
        <v>1</v>
      </c>
      <c r="F136">
        <v>1</v>
      </c>
      <c r="G136">
        <v>1081</v>
      </c>
      <c r="H136">
        <v>3</v>
      </c>
      <c r="I136" t="s">
        <v>470</v>
      </c>
      <c r="J136" t="s">
        <v>471</v>
      </c>
      <c r="K136" t="s">
        <v>472</v>
      </c>
      <c r="L136">
        <v>1346</v>
      </c>
      <c r="N136">
        <v>1009</v>
      </c>
      <c r="O136" t="s">
        <v>365</v>
      </c>
      <c r="P136" t="s">
        <v>365</v>
      </c>
      <c r="Q136">
        <v>1</v>
      </c>
      <c r="W136">
        <v>0</v>
      </c>
      <c r="X136">
        <v>1309298634</v>
      </c>
      <c r="Y136">
        <f>(AT136*1)</f>
        <v>0.02</v>
      </c>
      <c r="AA136">
        <v>286.31</v>
      </c>
      <c r="AB136">
        <v>0</v>
      </c>
      <c r="AC136">
        <v>0</v>
      </c>
      <c r="AD136">
        <v>0</v>
      </c>
      <c r="AE136">
        <v>159.06</v>
      </c>
      <c r="AF136">
        <v>0</v>
      </c>
      <c r="AG136">
        <v>0</v>
      </c>
      <c r="AH136">
        <v>0</v>
      </c>
      <c r="AI136">
        <v>1.8</v>
      </c>
      <c r="AJ136">
        <v>1</v>
      </c>
      <c r="AK136">
        <v>1</v>
      </c>
      <c r="AL136">
        <v>1</v>
      </c>
      <c r="AM136">
        <v>2</v>
      </c>
      <c r="AN136">
        <v>0</v>
      </c>
      <c r="AO136">
        <v>1</v>
      </c>
      <c r="AP136">
        <v>1</v>
      </c>
      <c r="AQ136">
        <v>0</v>
      </c>
      <c r="AR136">
        <v>0</v>
      </c>
      <c r="AS136" t="s">
        <v>3</v>
      </c>
      <c r="AT136">
        <v>0.02</v>
      </c>
      <c r="AU136" t="s">
        <v>70</v>
      </c>
      <c r="AV136">
        <v>0</v>
      </c>
      <c r="AW136">
        <v>2</v>
      </c>
      <c r="AX136">
        <v>57014565</v>
      </c>
      <c r="AY136">
        <v>1</v>
      </c>
      <c r="AZ136">
        <v>0</v>
      </c>
      <c r="BA136">
        <v>175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CV136">
        <v>0</v>
      </c>
      <c r="CW136">
        <v>0</v>
      </c>
      <c r="CX136">
        <f>ROUND(Y136*Source!I112,9)</f>
        <v>0.02</v>
      </c>
      <c r="CY136">
        <f>AA136</f>
        <v>286.31</v>
      </c>
      <c r="CZ136">
        <f>AE136</f>
        <v>159.06</v>
      </c>
      <c r="DA136">
        <f>AI136</f>
        <v>1.8</v>
      </c>
      <c r="DB136">
        <f>ROUND((ROUND(AT136*CZ136,2)*1),6)</f>
        <v>3.18</v>
      </c>
      <c r="DC136">
        <f>ROUND((ROUND(AT136*AG136,2)*1),6)</f>
        <v>0</v>
      </c>
      <c r="DD136" t="s">
        <v>3</v>
      </c>
      <c r="DE136" t="s">
        <v>3</v>
      </c>
      <c r="DF136">
        <f>ROUND(ROUND(AE136*AI136,2)*CX136,2)</f>
        <v>5.73</v>
      </c>
      <c r="DG136">
        <f>ROUND(ROUND(AF136,2)*CX136,2)</f>
        <v>0</v>
      </c>
      <c r="DH136">
        <f>ROUND(ROUND(AG136,2)*CX136,2)</f>
        <v>0</v>
      </c>
      <c r="DI136">
        <f t="shared" si="37"/>
        <v>0</v>
      </c>
      <c r="DJ136">
        <f>DF136</f>
        <v>5.73</v>
      </c>
      <c r="DK136">
        <v>0</v>
      </c>
      <c r="DL136" t="s">
        <v>3</v>
      </c>
      <c r="DM136">
        <v>0</v>
      </c>
      <c r="DN136" t="s">
        <v>3</v>
      </c>
      <c r="DO136">
        <v>0</v>
      </c>
    </row>
    <row r="137" spans="1:119" x14ac:dyDescent="0.25">
      <c r="A137">
        <f>ROW(Source!A115)</f>
        <v>115</v>
      </c>
      <c r="B137">
        <v>57014138</v>
      </c>
      <c r="C137">
        <v>57014574</v>
      </c>
      <c r="D137">
        <v>55424304</v>
      </c>
      <c r="E137">
        <v>1081</v>
      </c>
      <c r="F137">
        <v>1</v>
      </c>
      <c r="G137">
        <v>1081</v>
      </c>
      <c r="H137">
        <v>1</v>
      </c>
      <c r="I137" t="s">
        <v>385</v>
      </c>
      <c r="J137" t="s">
        <v>3</v>
      </c>
      <c r="K137" t="s">
        <v>386</v>
      </c>
      <c r="L137">
        <v>1191</v>
      </c>
      <c r="N137">
        <v>1013</v>
      </c>
      <c r="O137" t="s">
        <v>387</v>
      </c>
      <c r="P137" t="s">
        <v>387</v>
      </c>
      <c r="Q137">
        <v>1</v>
      </c>
      <c r="W137">
        <v>0</v>
      </c>
      <c r="X137">
        <v>476480486</v>
      </c>
      <c r="Y137">
        <f t="shared" ref="Y137:Y143" si="38">(AT137*1.2)</f>
        <v>1.236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1</v>
      </c>
      <c r="AJ137">
        <v>1</v>
      </c>
      <c r="AK137">
        <v>1</v>
      </c>
      <c r="AL137">
        <v>1</v>
      </c>
      <c r="AM137">
        <v>-2</v>
      </c>
      <c r="AN137">
        <v>0</v>
      </c>
      <c r="AO137">
        <v>1</v>
      </c>
      <c r="AP137">
        <v>1</v>
      </c>
      <c r="AQ137">
        <v>0</v>
      </c>
      <c r="AR137">
        <v>0</v>
      </c>
      <c r="AS137" t="s">
        <v>3</v>
      </c>
      <c r="AT137">
        <v>1.03</v>
      </c>
      <c r="AU137" t="s">
        <v>71</v>
      </c>
      <c r="AV137">
        <v>1</v>
      </c>
      <c r="AW137">
        <v>2</v>
      </c>
      <c r="AX137">
        <v>57014577</v>
      </c>
      <c r="AY137">
        <v>1</v>
      </c>
      <c r="AZ137">
        <v>0</v>
      </c>
      <c r="BA137">
        <v>179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CU137">
        <f>ROUND(AT137*Source!I115*AH137*AL137,2)</f>
        <v>0</v>
      </c>
      <c r="CV137">
        <f>ROUND(Y137*Source!I115,9)</f>
        <v>1.236</v>
      </c>
      <c r="CW137">
        <v>0</v>
      </c>
      <c r="CX137">
        <f>ROUND(Y137*Source!I115,9)</f>
        <v>1.236</v>
      </c>
      <c r="CY137">
        <f>AD137</f>
        <v>0</v>
      </c>
      <c r="CZ137">
        <f>AH137</f>
        <v>0</v>
      </c>
      <c r="DA137">
        <f>AL137</f>
        <v>1</v>
      </c>
      <c r="DB137">
        <f t="shared" ref="DB137:DB143" si="39">ROUND((ROUND(AT137*CZ137,2)*1.2),6)</f>
        <v>0</v>
      </c>
      <c r="DC137">
        <f t="shared" ref="DC137:DC143" si="40">ROUND((ROUND(AT137*AG137,2)*1.2),6)</f>
        <v>0</v>
      </c>
      <c r="DD137" t="s">
        <v>3</v>
      </c>
      <c r="DE137" t="s">
        <v>3</v>
      </c>
      <c r="DF137">
        <f t="shared" ref="DF137:DF149" si="41">ROUND(ROUND(AE137,2)*CX137,2)</f>
        <v>0</v>
      </c>
      <c r="DG137">
        <f>ROUND(ROUND(AF137,2)*CX137,2)</f>
        <v>0</v>
      </c>
      <c r="DH137">
        <f>ROUND(ROUND(AG137,2)*CX137,2)</f>
        <v>0</v>
      </c>
      <c r="DI137">
        <f t="shared" si="37"/>
        <v>0</v>
      </c>
      <c r="DJ137">
        <f>DI137</f>
        <v>0</v>
      </c>
      <c r="DK137">
        <v>0</v>
      </c>
      <c r="DL137" t="s">
        <v>3</v>
      </c>
      <c r="DM137">
        <v>0</v>
      </c>
      <c r="DN137" t="s">
        <v>3</v>
      </c>
      <c r="DO137">
        <v>0</v>
      </c>
    </row>
    <row r="138" spans="1:119" x14ac:dyDescent="0.25">
      <c r="A138">
        <f>ROW(Source!A115)</f>
        <v>115</v>
      </c>
      <c r="B138">
        <v>57014138</v>
      </c>
      <c r="C138">
        <v>57014574</v>
      </c>
      <c r="D138">
        <v>55490209</v>
      </c>
      <c r="E138">
        <v>1</v>
      </c>
      <c r="F138">
        <v>1</v>
      </c>
      <c r="G138">
        <v>1081</v>
      </c>
      <c r="H138">
        <v>2</v>
      </c>
      <c r="I138" t="s">
        <v>460</v>
      </c>
      <c r="J138" t="s">
        <v>461</v>
      </c>
      <c r="K138" t="s">
        <v>462</v>
      </c>
      <c r="L138">
        <v>1368</v>
      </c>
      <c r="N138">
        <v>1011</v>
      </c>
      <c r="O138" t="s">
        <v>391</v>
      </c>
      <c r="P138" t="s">
        <v>391</v>
      </c>
      <c r="Q138">
        <v>1</v>
      </c>
      <c r="W138">
        <v>0</v>
      </c>
      <c r="X138">
        <v>874612079</v>
      </c>
      <c r="Y138">
        <f t="shared" si="38"/>
        <v>7.1999999999999998E-3</v>
      </c>
      <c r="AA138">
        <v>0</v>
      </c>
      <c r="AB138">
        <v>87.01</v>
      </c>
      <c r="AC138">
        <v>13.21</v>
      </c>
      <c r="AD138">
        <v>0</v>
      </c>
      <c r="AE138">
        <v>0</v>
      </c>
      <c r="AF138">
        <v>83.1</v>
      </c>
      <c r="AG138">
        <v>12.62</v>
      </c>
      <c r="AH138">
        <v>0</v>
      </c>
      <c r="AI138">
        <v>1</v>
      </c>
      <c r="AJ138">
        <v>1</v>
      </c>
      <c r="AK138">
        <v>1</v>
      </c>
      <c r="AL138">
        <v>1</v>
      </c>
      <c r="AM138">
        <v>-2</v>
      </c>
      <c r="AN138">
        <v>0</v>
      </c>
      <c r="AO138">
        <v>1</v>
      </c>
      <c r="AP138">
        <v>1</v>
      </c>
      <c r="AQ138">
        <v>0</v>
      </c>
      <c r="AR138">
        <v>0</v>
      </c>
      <c r="AS138" t="s">
        <v>3</v>
      </c>
      <c r="AT138">
        <v>6.0000000000000001E-3</v>
      </c>
      <c r="AU138" t="s">
        <v>71</v>
      </c>
      <c r="AV138">
        <v>0</v>
      </c>
      <c r="AW138">
        <v>2</v>
      </c>
      <c r="AX138">
        <v>57014578</v>
      </c>
      <c r="AY138">
        <v>1</v>
      </c>
      <c r="AZ138">
        <v>0</v>
      </c>
      <c r="BA138">
        <v>180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CV138">
        <v>0</v>
      </c>
      <c r="CW138">
        <f>ROUND(Y138*Source!I115*DO138,9)</f>
        <v>9.0864E-2</v>
      </c>
      <c r="CX138">
        <f>ROUND(Y138*Source!I115,9)</f>
        <v>7.1999999999999998E-3</v>
      </c>
      <c r="CY138">
        <f>AB138</f>
        <v>87.01</v>
      </c>
      <c r="CZ138">
        <f>AF138</f>
        <v>83.1</v>
      </c>
      <c r="DA138">
        <f>AJ138</f>
        <v>1</v>
      </c>
      <c r="DB138">
        <f t="shared" si="39"/>
        <v>0.6</v>
      </c>
      <c r="DC138">
        <f t="shared" si="40"/>
        <v>9.6000000000000002E-2</v>
      </c>
      <c r="DD138" t="s">
        <v>3</v>
      </c>
      <c r="DE138" t="s">
        <v>3</v>
      </c>
      <c r="DF138">
        <f t="shared" si="41"/>
        <v>0</v>
      </c>
      <c r="DG138">
        <f>ROUND(ROUND(AF138,2)*CX138,2)</f>
        <v>0.6</v>
      </c>
      <c r="DH138">
        <f>ROUND(ROUND(AG138,2)*CX138,2)</f>
        <v>0.09</v>
      </c>
      <c r="DI138">
        <f t="shared" si="37"/>
        <v>0</v>
      </c>
      <c r="DJ138">
        <f>DG138</f>
        <v>0.6</v>
      </c>
      <c r="DK138">
        <v>0</v>
      </c>
      <c r="DL138" t="s">
        <v>392</v>
      </c>
      <c r="DM138">
        <v>0</v>
      </c>
      <c r="DN138" t="s">
        <v>387</v>
      </c>
      <c r="DO138">
        <v>12.62</v>
      </c>
    </row>
    <row r="139" spans="1:119" x14ac:dyDescent="0.25">
      <c r="A139">
        <f>ROW(Source!A116)</f>
        <v>116</v>
      </c>
      <c r="B139">
        <v>57014140</v>
      </c>
      <c r="C139">
        <v>57014574</v>
      </c>
      <c r="D139">
        <v>55424304</v>
      </c>
      <c r="E139">
        <v>1081</v>
      </c>
      <c r="F139">
        <v>1</v>
      </c>
      <c r="G139">
        <v>1081</v>
      </c>
      <c r="H139">
        <v>1</v>
      </c>
      <c r="I139" t="s">
        <v>385</v>
      </c>
      <c r="J139" t="s">
        <v>3</v>
      </c>
      <c r="K139" t="s">
        <v>386</v>
      </c>
      <c r="L139">
        <v>1191</v>
      </c>
      <c r="N139">
        <v>1013</v>
      </c>
      <c r="O139" t="s">
        <v>387</v>
      </c>
      <c r="P139" t="s">
        <v>387</v>
      </c>
      <c r="Q139">
        <v>1</v>
      </c>
      <c r="W139">
        <v>0</v>
      </c>
      <c r="X139">
        <v>476480486</v>
      </c>
      <c r="Y139">
        <f t="shared" si="38"/>
        <v>1.236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1</v>
      </c>
      <c r="AJ139">
        <v>1</v>
      </c>
      <c r="AK139">
        <v>1</v>
      </c>
      <c r="AL139">
        <v>1</v>
      </c>
      <c r="AM139">
        <v>5</v>
      </c>
      <c r="AN139">
        <v>0</v>
      </c>
      <c r="AO139">
        <v>1</v>
      </c>
      <c r="AP139">
        <v>1</v>
      </c>
      <c r="AQ139">
        <v>0</v>
      </c>
      <c r="AR139">
        <v>0</v>
      </c>
      <c r="AS139" t="s">
        <v>3</v>
      </c>
      <c r="AT139">
        <v>1.03</v>
      </c>
      <c r="AU139" t="s">
        <v>71</v>
      </c>
      <c r="AV139">
        <v>1</v>
      </c>
      <c r="AW139">
        <v>2</v>
      </c>
      <c r="AX139">
        <v>57014577</v>
      </c>
      <c r="AY139">
        <v>1</v>
      </c>
      <c r="AZ139">
        <v>0</v>
      </c>
      <c r="BA139">
        <v>182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CU139">
        <f>ROUND(AT139*Source!I116*AH139*AL139,2)</f>
        <v>0</v>
      </c>
      <c r="CV139">
        <f>ROUND(Y139*Source!I116,9)</f>
        <v>1.236</v>
      </c>
      <c r="CW139">
        <v>0</v>
      </c>
      <c r="CX139">
        <f>ROUND(Y139*Source!I116,9)</f>
        <v>1.236</v>
      </c>
      <c r="CY139">
        <f>AD139</f>
        <v>0</v>
      </c>
      <c r="CZ139">
        <f>AH139</f>
        <v>0</v>
      </c>
      <c r="DA139">
        <f>AL139</f>
        <v>1</v>
      </c>
      <c r="DB139">
        <f t="shared" si="39"/>
        <v>0</v>
      </c>
      <c r="DC139">
        <f t="shared" si="40"/>
        <v>0</v>
      </c>
      <c r="DD139" t="s">
        <v>3</v>
      </c>
      <c r="DE139" t="s">
        <v>3</v>
      </c>
      <c r="DF139">
        <f t="shared" si="41"/>
        <v>0</v>
      </c>
      <c r="DG139">
        <f>ROUND(ROUND(AF139,2)*CX139,2)</f>
        <v>0</v>
      </c>
      <c r="DH139">
        <f>ROUND(ROUND(AG139,2)*CX139,2)</f>
        <v>0</v>
      </c>
      <c r="DI139">
        <f t="shared" si="37"/>
        <v>0</v>
      </c>
      <c r="DJ139">
        <f>DI139</f>
        <v>0</v>
      </c>
      <c r="DK139">
        <v>0</v>
      </c>
      <c r="DL139" t="s">
        <v>3</v>
      </c>
      <c r="DM139">
        <v>0</v>
      </c>
      <c r="DN139" t="s">
        <v>3</v>
      </c>
      <c r="DO139">
        <v>0</v>
      </c>
    </row>
    <row r="140" spans="1:119" x14ac:dyDescent="0.25">
      <c r="A140">
        <f>ROW(Source!A116)</f>
        <v>116</v>
      </c>
      <c r="B140">
        <v>57014140</v>
      </c>
      <c r="C140">
        <v>57014574</v>
      </c>
      <c r="D140">
        <v>55490209</v>
      </c>
      <c r="E140">
        <v>1</v>
      </c>
      <c r="F140">
        <v>1</v>
      </c>
      <c r="G140">
        <v>1081</v>
      </c>
      <c r="H140">
        <v>2</v>
      </c>
      <c r="I140" t="s">
        <v>460</v>
      </c>
      <c r="J140" t="s">
        <v>461</v>
      </c>
      <c r="K140" t="s">
        <v>462</v>
      </c>
      <c r="L140">
        <v>1368</v>
      </c>
      <c r="N140">
        <v>1011</v>
      </c>
      <c r="O140" t="s">
        <v>391</v>
      </c>
      <c r="P140" t="s">
        <v>391</v>
      </c>
      <c r="Q140">
        <v>1</v>
      </c>
      <c r="W140">
        <v>0</v>
      </c>
      <c r="X140">
        <v>874612079</v>
      </c>
      <c r="Y140">
        <f t="shared" si="38"/>
        <v>7.1999999999999998E-3</v>
      </c>
      <c r="AA140">
        <v>0</v>
      </c>
      <c r="AB140">
        <v>1485.19</v>
      </c>
      <c r="AC140">
        <v>744.56</v>
      </c>
      <c r="AD140">
        <v>0</v>
      </c>
      <c r="AE140">
        <v>0</v>
      </c>
      <c r="AF140">
        <v>83.1</v>
      </c>
      <c r="AG140">
        <v>12.62</v>
      </c>
      <c r="AH140">
        <v>0</v>
      </c>
      <c r="AI140">
        <v>1</v>
      </c>
      <c r="AJ140">
        <v>17.07</v>
      </c>
      <c r="AK140">
        <v>56.35</v>
      </c>
      <c r="AL140">
        <v>1</v>
      </c>
      <c r="AM140">
        <v>2</v>
      </c>
      <c r="AN140">
        <v>0</v>
      </c>
      <c r="AO140">
        <v>1</v>
      </c>
      <c r="AP140">
        <v>1</v>
      </c>
      <c r="AQ140">
        <v>0</v>
      </c>
      <c r="AR140">
        <v>0</v>
      </c>
      <c r="AS140" t="s">
        <v>3</v>
      </c>
      <c r="AT140">
        <v>6.0000000000000001E-3</v>
      </c>
      <c r="AU140" t="s">
        <v>71</v>
      </c>
      <c r="AV140">
        <v>0</v>
      </c>
      <c r="AW140">
        <v>2</v>
      </c>
      <c r="AX140">
        <v>57014578</v>
      </c>
      <c r="AY140">
        <v>1</v>
      </c>
      <c r="AZ140">
        <v>0</v>
      </c>
      <c r="BA140">
        <v>183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CV140">
        <v>0</v>
      </c>
      <c r="CW140">
        <f>ROUND(Y140*Source!I116*DO140,9)</f>
        <v>9.0864E-2</v>
      </c>
      <c r="CX140">
        <f>ROUND(Y140*Source!I116,9)</f>
        <v>7.1999999999999998E-3</v>
      </c>
      <c r="CY140">
        <f>AB140</f>
        <v>1485.19</v>
      </c>
      <c r="CZ140">
        <f>AF140</f>
        <v>83.1</v>
      </c>
      <c r="DA140">
        <f>AJ140</f>
        <v>17.07</v>
      </c>
      <c r="DB140">
        <f t="shared" si="39"/>
        <v>0.6</v>
      </c>
      <c r="DC140">
        <f t="shared" si="40"/>
        <v>9.6000000000000002E-2</v>
      </c>
      <c r="DD140" t="s">
        <v>3</v>
      </c>
      <c r="DE140" t="s">
        <v>3</v>
      </c>
      <c r="DF140">
        <f t="shared" si="41"/>
        <v>0</v>
      </c>
      <c r="DG140">
        <f>ROUND(ROUND(AF140*AJ140,2)*CX140,2)</f>
        <v>10.210000000000001</v>
      </c>
      <c r="DH140">
        <f>ROUND(ROUND(AG140*AK140,2)*CX140,2)</f>
        <v>5.12</v>
      </c>
      <c r="DI140">
        <f t="shared" si="37"/>
        <v>0</v>
      </c>
      <c r="DJ140">
        <f>DG140</f>
        <v>10.210000000000001</v>
      </c>
      <c r="DK140">
        <v>0</v>
      </c>
      <c r="DL140" t="s">
        <v>392</v>
      </c>
      <c r="DM140">
        <v>0</v>
      </c>
      <c r="DN140" t="s">
        <v>387</v>
      </c>
      <c r="DO140">
        <v>12.62</v>
      </c>
    </row>
    <row r="141" spans="1:119" x14ac:dyDescent="0.25">
      <c r="A141">
        <f>ROW(Source!A119)</f>
        <v>119</v>
      </c>
      <c r="B141">
        <v>57014138</v>
      </c>
      <c r="C141">
        <v>57014585</v>
      </c>
      <c r="D141">
        <v>55424304</v>
      </c>
      <c r="E141">
        <v>1081</v>
      </c>
      <c r="F141">
        <v>1</v>
      </c>
      <c r="G141">
        <v>1081</v>
      </c>
      <c r="H141">
        <v>1</v>
      </c>
      <c r="I141" t="s">
        <v>385</v>
      </c>
      <c r="J141" t="s">
        <v>3</v>
      </c>
      <c r="K141" t="s">
        <v>386</v>
      </c>
      <c r="L141">
        <v>1191</v>
      </c>
      <c r="N141">
        <v>1013</v>
      </c>
      <c r="O141" t="s">
        <v>387</v>
      </c>
      <c r="P141" t="s">
        <v>387</v>
      </c>
      <c r="Q141">
        <v>1</v>
      </c>
      <c r="W141">
        <v>0</v>
      </c>
      <c r="X141">
        <v>476480486</v>
      </c>
      <c r="Y141">
        <f t="shared" si="38"/>
        <v>1.6320000000000001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1</v>
      </c>
      <c r="AJ141">
        <v>1</v>
      </c>
      <c r="AK141">
        <v>1</v>
      </c>
      <c r="AL141">
        <v>1</v>
      </c>
      <c r="AM141">
        <v>-2</v>
      </c>
      <c r="AN141">
        <v>0</v>
      </c>
      <c r="AO141">
        <v>1</v>
      </c>
      <c r="AP141">
        <v>1</v>
      </c>
      <c r="AQ141">
        <v>0</v>
      </c>
      <c r="AR141">
        <v>0</v>
      </c>
      <c r="AS141" t="s">
        <v>3</v>
      </c>
      <c r="AT141">
        <v>1.36</v>
      </c>
      <c r="AU141" t="s">
        <v>71</v>
      </c>
      <c r="AV141">
        <v>1</v>
      </c>
      <c r="AW141">
        <v>2</v>
      </c>
      <c r="AX141">
        <v>57014592</v>
      </c>
      <c r="AY141">
        <v>1</v>
      </c>
      <c r="AZ141">
        <v>0</v>
      </c>
      <c r="BA141">
        <v>185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CU141">
        <f>ROUND(AT141*Source!I119*AH141*AL141,2)</f>
        <v>0</v>
      </c>
      <c r="CV141">
        <f>ROUND(Y141*Source!I119,9)</f>
        <v>4.8959999999999999</v>
      </c>
      <c r="CW141">
        <v>0</v>
      </c>
      <c r="CX141">
        <f>ROUND(Y141*Source!I119,9)</f>
        <v>4.8959999999999999</v>
      </c>
      <c r="CY141">
        <f>AD141</f>
        <v>0</v>
      </c>
      <c r="CZ141">
        <f>AH141</f>
        <v>0</v>
      </c>
      <c r="DA141">
        <f>AL141</f>
        <v>1</v>
      </c>
      <c r="DB141">
        <f t="shared" si="39"/>
        <v>0</v>
      </c>
      <c r="DC141">
        <f t="shared" si="40"/>
        <v>0</v>
      </c>
      <c r="DD141" t="s">
        <v>3</v>
      </c>
      <c r="DE141" t="s">
        <v>3</v>
      </c>
      <c r="DF141">
        <f t="shared" si="41"/>
        <v>0</v>
      </c>
      <c r="DG141">
        <f t="shared" ref="DG141:DG147" si="42">ROUND(ROUND(AF141,2)*CX141,2)</f>
        <v>0</v>
      </c>
      <c r="DH141">
        <f t="shared" ref="DH141:DH173" si="43">ROUND(ROUND(AG141,2)*CX141,2)</f>
        <v>0</v>
      </c>
      <c r="DI141">
        <f t="shared" si="37"/>
        <v>0</v>
      </c>
      <c r="DJ141">
        <f>DI141</f>
        <v>0</v>
      </c>
      <c r="DK141">
        <v>0</v>
      </c>
      <c r="DL141" t="s">
        <v>3</v>
      </c>
      <c r="DM141">
        <v>0</v>
      </c>
      <c r="DN141" t="s">
        <v>3</v>
      </c>
      <c r="DO141">
        <v>0</v>
      </c>
    </row>
    <row r="142" spans="1:119" x14ac:dyDescent="0.25">
      <c r="A142">
        <f>ROW(Source!A119)</f>
        <v>119</v>
      </c>
      <c r="B142">
        <v>57014138</v>
      </c>
      <c r="C142">
        <v>57014585</v>
      </c>
      <c r="D142">
        <v>55490330</v>
      </c>
      <c r="E142">
        <v>1</v>
      </c>
      <c r="F142">
        <v>1</v>
      </c>
      <c r="G142">
        <v>1081</v>
      </c>
      <c r="H142">
        <v>2</v>
      </c>
      <c r="I142" t="s">
        <v>403</v>
      </c>
      <c r="J142" t="s">
        <v>404</v>
      </c>
      <c r="K142" t="s">
        <v>405</v>
      </c>
      <c r="L142">
        <v>1368</v>
      </c>
      <c r="N142">
        <v>1011</v>
      </c>
      <c r="O142" t="s">
        <v>391</v>
      </c>
      <c r="P142" t="s">
        <v>391</v>
      </c>
      <c r="Q142">
        <v>1</v>
      </c>
      <c r="W142">
        <v>0</v>
      </c>
      <c r="X142">
        <v>-2083101341</v>
      </c>
      <c r="Y142">
        <f t="shared" si="38"/>
        <v>2.0400000000000001E-2</v>
      </c>
      <c r="AA142">
        <v>0</v>
      </c>
      <c r="AB142">
        <v>0.84</v>
      </c>
      <c r="AC142">
        <v>0</v>
      </c>
      <c r="AD142">
        <v>0</v>
      </c>
      <c r="AE142">
        <v>0</v>
      </c>
      <c r="AF142">
        <v>0.8</v>
      </c>
      <c r="AG142">
        <v>0</v>
      </c>
      <c r="AH142">
        <v>0</v>
      </c>
      <c r="AI142">
        <v>1</v>
      </c>
      <c r="AJ142">
        <v>1</v>
      </c>
      <c r="AK142">
        <v>1</v>
      </c>
      <c r="AL142">
        <v>1</v>
      </c>
      <c r="AM142">
        <v>-2</v>
      </c>
      <c r="AN142">
        <v>0</v>
      </c>
      <c r="AO142">
        <v>1</v>
      </c>
      <c r="AP142">
        <v>1</v>
      </c>
      <c r="AQ142">
        <v>0</v>
      </c>
      <c r="AR142">
        <v>0</v>
      </c>
      <c r="AS142" t="s">
        <v>3</v>
      </c>
      <c r="AT142">
        <v>1.7000000000000001E-2</v>
      </c>
      <c r="AU142" t="s">
        <v>71</v>
      </c>
      <c r="AV142">
        <v>0</v>
      </c>
      <c r="AW142">
        <v>2</v>
      </c>
      <c r="AX142">
        <v>57014593</v>
      </c>
      <c r="AY142">
        <v>1</v>
      </c>
      <c r="AZ142">
        <v>0</v>
      </c>
      <c r="BA142">
        <v>186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CV142">
        <v>0</v>
      </c>
      <c r="CW142">
        <f>ROUND(Y142*Source!I119*DO142,9)</f>
        <v>0</v>
      </c>
      <c r="CX142">
        <f>ROUND(Y142*Source!I119,9)</f>
        <v>6.1199999999999997E-2</v>
      </c>
      <c r="CY142">
        <f>AB142</f>
        <v>0.84</v>
      </c>
      <c r="CZ142">
        <f>AF142</f>
        <v>0.8</v>
      </c>
      <c r="DA142">
        <f>AJ142</f>
        <v>1</v>
      </c>
      <c r="DB142">
        <f t="shared" si="39"/>
        <v>1.2E-2</v>
      </c>
      <c r="DC142">
        <f t="shared" si="40"/>
        <v>0</v>
      </c>
      <c r="DD142" t="s">
        <v>3</v>
      </c>
      <c r="DE142" t="s">
        <v>3</v>
      </c>
      <c r="DF142">
        <f t="shared" si="41"/>
        <v>0</v>
      </c>
      <c r="DG142">
        <f t="shared" si="42"/>
        <v>0.05</v>
      </c>
      <c r="DH142">
        <f t="shared" si="43"/>
        <v>0</v>
      </c>
      <c r="DI142">
        <f t="shared" si="37"/>
        <v>0</v>
      </c>
      <c r="DJ142">
        <f>DG142</f>
        <v>0.05</v>
      </c>
      <c r="DK142">
        <v>0</v>
      </c>
      <c r="DL142" t="s">
        <v>3</v>
      </c>
      <c r="DM142">
        <v>0</v>
      </c>
      <c r="DN142" t="s">
        <v>3</v>
      </c>
      <c r="DO142">
        <v>0</v>
      </c>
    </row>
    <row r="143" spans="1:119" x14ac:dyDescent="0.25">
      <c r="A143">
        <f>ROW(Source!A119)</f>
        <v>119</v>
      </c>
      <c r="B143">
        <v>57014138</v>
      </c>
      <c r="C143">
        <v>57014585</v>
      </c>
      <c r="D143">
        <v>55490296</v>
      </c>
      <c r="E143">
        <v>1</v>
      </c>
      <c r="F143">
        <v>1</v>
      </c>
      <c r="G143">
        <v>1081</v>
      </c>
      <c r="H143">
        <v>2</v>
      </c>
      <c r="I143" t="s">
        <v>415</v>
      </c>
      <c r="J143" t="s">
        <v>416</v>
      </c>
      <c r="K143" t="s">
        <v>417</v>
      </c>
      <c r="L143">
        <v>1368</v>
      </c>
      <c r="N143">
        <v>1011</v>
      </c>
      <c r="O143" t="s">
        <v>391</v>
      </c>
      <c r="P143" t="s">
        <v>391</v>
      </c>
      <c r="Q143">
        <v>1</v>
      </c>
      <c r="W143">
        <v>0</v>
      </c>
      <c r="X143">
        <v>-643591644</v>
      </c>
      <c r="Y143">
        <f t="shared" si="38"/>
        <v>2.4E-2</v>
      </c>
      <c r="AA143">
        <v>0</v>
      </c>
      <c r="AB143">
        <v>0.49</v>
      </c>
      <c r="AC143">
        <v>0</v>
      </c>
      <c r="AD143">
        <v>0</v>
      </c>
      <c r="AE143">
        <v>0</v>
      </c>
      <c r="AF143">
        <v>0.47</v>
      </c>
      <c r="AG143">
        <v>0</v>
      </c>
      <c r="AH143">
        <v>0</v>
      </c>
      <c r="AI143">
        <v>1</v>
      </c>
      <c r="AJ143">
        <v>1</v>
      </c>
      <c r="AK143">
        <v>1</v>
      </c>
      <c r="AL143">
        <v>1</v>
      </c>
      <c r="AM143">
        <v>-2</v>
      </c>
      <c r="AN143">
        <v>0</v>
      </c>
      <c r="AO143">
        <v>1</v>
      </c>
      <c r="AP143">
        <v>1</v>
      </c>
      <c r="AQ143">
        <v>0</v>
      </c>
      <c r="AR143">
        <v>0</v>
      </c>
      <c r="AS143" t="s">
        <v>3</v>
      </c>
      <c r="AT143">
        <v>0.02</v>
      </c>
      <c r="AU143" t="s">
        <v>71</v>
      </c>
      <c r="AV143">
        <v>0</v>
      </c>
      <c r="AW143">
        <v>2</v>
      </c>
      <c r="AX143">
        <v>57014594</v>
      </c>
      <c r="AY143">
        <v>1</v>
      </c>
      <c r="AZ143">
        <v>0</v>
      </c>
      <c r="BA143">
        <v>187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CV143">
        <v>0</v>
      </c>
      <c r="CW143">
        <f>ROUND(Y143*Source!I119*DO143,9)</f>
        <v>0</v>
      </c>
      <c r="CX143">
        <f>ROUND(Y143*Source!I119,9)</f>
        <v>7.1999999999999995E-2</v>
      </c>
      <c r="CY143">
        <f>AB143</f>
        <v>0.49</v>
      </c>
      <c r="CZ143">
        <f>AF143</f>
        <v>0.47</v>
      </c>
      <c r="DA143">
        <f>AJ143</f>
        <v>1</v>
      </c>
      <c r="DB143">
        <f t="shared" si="39"/>
        <v>1.2E-2</v>
      </c>
      <c r="DC143">
        <f t="shared" si="40"/>
        <v>0</v>
      </c>
      <c r="DD143" t="s">
        <v>3</v>
      </c>
      <c r="DE143" t="s">
        <v>3</v>
      </c>
      <c r="DF143">
        <f t="shared" si="41"/>
        <v>0</v>
      </c>
      <c r="DG143">
        <f t="shared" si="42"/>
        <v>0.03</v>
      </c>
      <c r="DH143">
        <f t="shared" si="43"/>
        <v>0</v>
      </c>
      <c r="DI143">
        <f t="shared" si="37"/>
        <v>0</v>
      </c>
      <c r="DJ143">
        <f>DG143</f>
        <v>0.03</v>
      </c>
      <c r="DK143">
        <v>0</v>
      </c>
      <c r="DL143" t="s">
        <v>3</v>
      </c>
      <c r="DM143">
        <v>0</v>
      </c>
      <c r="DN143" t="s">
        <v>3</v>
      </c>
      <c r="DO143">
        <v>0</v>
      </c>
    </row>
    <row r="144" spans="1:119" x14ac:dyDescent="0.25">
      <c r="A144">
        <f>ROW(Source!A119)</f>
        <v>119</v>
      </c>
      <c r="B144">
        <v>57014138</v>
      </c>
      <c r="C144">
        <v>57014585</v>
      </c>
      <c r="D144">
        <v>55461074</v>
      </c>
      <c r="E144">
        <v>1</v>
      </c>
      <c r="F144">
        <v>1</v>
      </c>
      <c r="G144">
        <v>1081</v>
      </c>
      <c r="H144">
        <v>3</v>
      </c>
      <c r="I144" t="s">
        <v>418</v>
      </c>
      <c r="J144" t="s">
        <v>419</v>
      </c>
      <c r="K144" t="s">
        <v>420</v>
      </c>
      <c r="L144">
        <v>1346</v>
      </c>
      <c r="N144">
        <v>1009</v>
      </c>
      <c r="O144" t="s">
        <v>365</v>
      </c>
      <c r="P144" t="s">
        <v>365</v>
      </c>
      <c r="Q144">
        <v>1</v>
      </c>
      <c r="W144">
        <v>0</v>
      </c>
      <c r="X144">
        <v>-861631226</v>
      </c>
      <c r="Y144">
        <f>(AT144*1)</f>
        <v>6.2700000000000004E-3</v>
      </c>
      <c r="AA144">
        <v>27.62</v>
      </c>
      <c r="AB144">
        <v>0</v>
      </c>
      <c r="AC144">
        <v>0</v>
      </c>
      <c r="AD144">
        <v>0</v>
      </c>
      <c r="AE144">
        <v>27.62</v>
      </c>
      <c r="AF144">
        <v>0</v>
      </c>
      <c r="AG144">
        <v>0</v>
      </c>
      <c r="AH144">
        <v>0</v>
      </c>
      <c r="AI144">
        <v>1</v>
      </c>
      <c r="AJ144">
        <v>1</v>
      </c>
      <c r="AK144">
        <v>1</v>
      </c>
      <c r="AL144">
        <v>1</v>
      </c>
      <c r="AM144">
        <v>-2</v>
      </c>
      <c r="AN144">
        <v>0</v>
      </c>
      <c r="AO144">
        <v>1</v>
      </c>
      <c r="AP144">
        <v>1</v>
      </c>
      <c r="AQ144">
        <v>0</v>
      </c>
      <c r="AR144">
        <v>0</v>
      </c>
      <c r="AS144" t="s">
        <v>3</v>
      </c>
      <c r="AT144">
        <v>6.2700000000000004E-3</v>
      </c>
      <c r="AU144" t="s">
        <v>70</v>
      </c>
      <c r="AV144">
        <v>0</v>
      </c>
      <c r="AW144">
        <v>2</v>
      </c>
      <c r="AX144">
        <v>57014595</v>
      </c>
      <c r="AY144">
        <v>1</v>
      </c>
      <c r="AZ144">
        <v>0</v>
      </c>
      <c r="BA144">
        <v>188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CV144">
        <v>0</v>
      </c>
      <c r="CW144">
        <v>0</v>
      </c>
      <c r="CX144">
        <f>ROUND(Y144*Source!I119,9)</f>
        <v>1.881E-2</v>
      </c>
      <c r="CY144">
        <f>AA144</f>
        <v>27.62</v>
      </c>
      <c r="CZ144">
        <f>AE144</f>
        <v>27.62</v>
      </c>
      <c r="DA144">
        <f>AI144</f>
        <v>1</v>
      </c>
      <c r="DB144">
        <f>ROUND((ROUND(AT144*CZ144,2)*1),6)</f>
        <v>0.17</v>
      </c>
      <c r="DC144">
        <f>ROUND((ROUND(AT144*AG144,2)*1),6)</f>
        <v>0</v>
      </c>
      <c r="DD144" t="s">
        <v>3</v>
      </c>
      <c r="DE144" t="s">
        <v>3</v>
      </c>
      <c r="DF144">
        <f t="shared" si="41"/>
        <v>0.52</v>
      </c>
      <c r="DG144">
        <f t="shared" si="42"/>
        <v>0</v>
      </c>
      <c r="DH144">
        <f t="shared" si="43"/>
        <v>0</v>
      </c>
      <c r="DI144">
        <f t="shared" si="37"/>
        <v>0</v>
      </c>
      <c r="DJ144">
        <f>DF144</f>
        <v>0.52</v>
      </c>
      <c r="DK144">
        <v>0</v>
      </c>
      <c r="DL144" t="s">
        <v>3</v>
      </c>
      <c r="DM144">
        <v>0</v>
      </c>
      <c r="DN144" t="s">
        <v>3</v>
      </c>
      <c r="DO144">
        <v>0</v>
      </c>
    </row>
    <row r="145" spans="1:119" x14ac:dyDescent="0.25">
      <c r="A145">
        <f>ROW(Source!A119)</f>
        <v>119</v>
      </c>
      <c r="B145">
        <v>57014138</v>
      </c>
      <c r="C145">
        <v>57014585</v>
      </c>
      <c r="D145">
        <v>55459793</v>
      </c>
      <c r="E145">
        <v>1</v>
      </c>
      <c r="F145">
        <v>1</v>
      </c>
      <c r="G145">
        <v>1081</v>
      </c>
      <c r="H145">
        <v>3</v>
      </c>
      <c r="I145" t="s">
        <v>412</v>
      </c>
      <c r="J145" t="s">
        <v>413</v>
      </c>
      <c r="K145" t="s">
        <v>414</v>
      </c>
      <c r="L145">
        <v>1348</v>
      </c>
      <c r="N145">
        <v>1009</v>
      </c>
      <c r="O145" t="s">
        <v>361</v>
      </c>
      <c r="P145" t="s">
        <v>361</v>
      </c>
      <c r="Q145">
        <v>1000</v>
      </c>
      <c r="W145">
        <v>0</v>
      </c>
      <c r="X145">
        <v>-761454284</v>
      </c>
      <c r="Y145">
        <f>(AT145*1)</f>
        <v>1.0000000000000001E-5</v>
      </c>
      <c r="AA145">
        <v>64123.05</v>
      </c>
      <c r="AB145">
        <v>0</v>
      </c>
      <c r="AC145">
        <v>0</v>
      </c>
      <c r="AD145">
        <v>0</v>
      </c>
      <c r="AE145">
        <v>64123.05</v>
      </c>
      <c r="AF145">
        <v>0</v>
      </c>
      <c r="AG145">
        <v>0</v>
      </c>
      <c r="AH145">
        <v>0</v>
      </c>
      <c r="AI145">
        <v>1</v>
      </c>
      <c r="AJ145">
        <v>1</v>
      </c>
      <c r="AK145">
        <v>1</v>
      </c>
      <c r="AL145">
        <v>1</v>
      </c>
      <c r="AM145">
        <v>-2</v>
      </c>
      <c r="AN145">
        <v>0</v>
      </c>
      <c r="AO145">
        <v>1</v>
      </c>
      <c r="AP145">
        <v>1</v>
      </c>
      <c r="AQ145">
        <v>0</v>
      </c>
      <c r="AR145">
        <v>0</v>
      </c>
      <c r="AS145" t="s">
        <v>3</v>
      </c>
      <c r="AT145">
        <v>1.0000000000000001E-5</v>
      </c>
      <c r="AU145" t="s">
        <v>70</v>
      </c>
      <c r="AV145">
        <v>0</v>
      </c>
      <c r="AW145">
        <v>2</v>
      </c>
      <c r="AX145">
        <v>57014596</v>
      </c>
      <c r="AY145">
        <v>1</v>
      </c>
      <c r="AZ145">
        <v>0</v>
      </c>
      <c r="BA145">
        <v>189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CV145">
        <v>0</v>
      </c>
      <c r="CW145">
        <v>0</v>
      </c>
      <c r="CX145">
        <f>ROUND(Y145*Source!I119,9)</f>
        <v>3.0000000000000001E-5</v>
      </c>
      <c r="CY145">
        <f>AA145</f>
        <v>64123.05</v>
      </c>
      <c r="CZ145">
        <f>AE145</f>
        <v>64123.05</v>
      </c>
      <c r="DA145">
        <f>AI145</f>
        <v>1</v>
      </c>
      <c r="DB145">
        <f>ROUND((ROUND(AT145*CZ145,2)*1),6)</f>
        <v>0.64</v>
      </c>
      <c r="DC145">
        <f>ROUND((ROUND(AT145*AG145,2)*1),6)</f>
        <v>0</v>
      </c>
      <c r="DD145" t="s">
        <v>3</v>
      </c>
      <c r="DE145" t="s">
        <v>3</v>
      </c>
      <c r="DF145">
        <f t="shared" si="41"/>
        <v>1.92</v>
      </c>
      <c r="DG145">
        <f t="shared" si="42"/>
        <v>0</v>
      </c>
      <c r="DH145">
        <f t="shared" si="43"/>
        <v>0</v>
      </c>
      <c r="DI145">
        <f t="shared" si="37"/>
        <v>0</v>
      </c>
      <c r="DJ145">
        <f>DF145</f>
        <v>1.92</v>
      </c>
      <c r="DK145">
        <v>0</v>
      </c>
      <c r="DL145" t="s">
        <v>3</v>
      </c>
      <c r="DM145">
        <v>0</v>
      </c>
      <c r="DN145" t="s">
        <v>3</v>
      </c>
      <c r="DO145">
        <v>0</v>
      </c>
    </row>
    <row r="146" spans="1:119" x14ac:dyDescent="0.25">
      <c r="A146">
        <f>ROW(Source!A119)</f>
        <v>119</v>
      </c>
      <c r="B146">
        <v>57014138</v>
      </c>
      <c r="C146">
        <v>57014585</v>
      </c>
      <c r="D146">
        <v>55469253</v>
      </c>
      <c r="E146">
        <v>1</v>
      </c>
      <c r="F146">
        <v>1</v>
      </c>
      <c r="G146">
        <v>1081</v>
      </c>
      <c r="H146">
        <v>3</v>
      </c>
      <c r="I146" t="s">
        <v>421</v>
      </c>
      <c r="J146" t="s">
        <v>422</v>
      </c>
      <c r="K146" t="s">
        <v>423</v>
      </c>
      <c r="L146">
        <v>1354</v>
      </c>
      <c r="N146">
        <v>1010</v>
      </c>
      <c r="O146" t="s">
        <v>251</v>
      </c>
      <c r="P146" t="s">
        <v>251</v>
      </c>
      <c r="Q146">
        <v>1</v>
      </c>
      <c r="W146">
        <v>0</v>
      </c>
      <c r="X146">
        <v>-32785108</v>
      </c>
      <c r="Y146">
        <f>(AT146*1)</f>
        <v>0.1</v>
      </c>
      <c r="AA146">
        <v>15.25</v>
      </c>
      <c r="AB146">
        <v>0</v>
      </c>
      <c r="AC146">
        <v>0</v>
      </c>
      <c r="AD146">
        <v>0</v>
      </c>
      <c r="AE146">
        <v>15.25</v>
      </c>
      <c r="AF146">
        <v>0</v>
      </c>
      <c r="AG146">
        <v>0</v>
      </c>
      <c r="AH146">
        <v>0</v>
      </c>
      <c r="AI146">
        <v>1</v>
      </c>
      <c r="AJ146">
        <v>1</v>
      </c>
      <c r="AK146">
        <v>1</v>
      </c>
      <c r="AL146">
        <v>1</v>
      </c>
      <c r="AM146">
        <v>-2</v>
      </c>
      <c r="AN146">
        <v>0</v>
      </c>
      <c r="AO146">
        <v>1</v>
      </c>
      <c r="AP146">
        <v>1</v>
      </c>
      <c r="AQ146">
        <v>0</v>
      </c>
      <c r="AR146">
        <v>0</v>
      </c>
      <c r="AS146" t="s">
        <v>3</v>
      </c>
      <c r="AT146">
        <v>0.1</v>
      </c>
      <c r="AU146" t="s">
        <v>70</v>
      </c>
      <c r="AV146">
        <v>0</v>
      </c>
      <c r="AW146">
        <v>2</v>
      </c>
      <c r="AX146">
        <v>57014597</v>
      </c>
      <c r="AY146">
        <v>1</v>
      </c>
      <c r="AZ146">
        <v>0</v>
      </c>
      <c r="BA146">
        <v>190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CV146">
        <v>0</v>
      </c>
      <c r="CW146">
        <v>0</v>
      </c>
      <c r="CX146">
        <f>ROUND(Y146*Source!I119,9)</f>
        <v>0.3</v>
      </c>
      <c r="CY146">
        <f>AA146</f>
        <v>15.25</v>
      </c>
      <c r="CZ146">
        <f>AE146</f>
        <v>15.25</v>
      </c>
      <c r="DA146">
        <f>AI146</f>
        <v>1</v>
      </c>
      <c r="DB146">
        <f>ROUND((ROUND(AT146*CZ146,2)*1),6)</f>
        <v>1.53</v>
      </c>
      <c r="DC146">
        <f>ROUND((ROUND(AT146*AG146,2)*1),6)</f>
        <v>0</v>
      </c>
      <c r="DD146" t="s">
        <v>3</v>
      </c>
      <c r="DE146" t="s">
        <v>3</v>
      </c>
      <c r="DF146">
        <f t="shared" si="41"/>
        <v>4.58</v>
      </c>
      <c r="DG146">
        <f t="shared" si="42"/>
        <v>0</v>
      </c>
      <c r="DH146">
        <f t="shared" si="43"/>
        <v>0</v>
      </c>
      <c r="DI146">
        <f t="shared" si="37"/>
        <v>0</v>
      </c>
      <c r="DJ146">
        <f>DF146</f>
        <v>4.58</v>
      </c>
      <c r="DK146">
        <v>0</v>
      </c>
      <c r="DL146" t="s">
        <v>3</v>
      </c>
      <c r="DM146">
        <v>0</v>
      </c>
      <c r="DN146" t="s">
        <v>3</v>
      </c>
      <c r="DO146">
        <v>0</v>
      </c>
    </row>
    <row r="147" spans="1:119" x14ac:dyDescent="0.25">
      <c r="A147">
        <f>ROW(Source!A120)</f>
        <v>120</v>
      </c>
      <c r="B147">
        <v>57014140</v>
      </c>
      <c r="C147">
        <v>57014585</v>
      </c>
      <c r="D147">
        <v>55424304</v>
      </c>
      <c r="E147">
        <v>1081</v>
      </c>
      <c r="F147">
        <v>1</v>
      </c>
      <c r="G147">
        <v>1081</v>
      </c>
      <c r="H147">
        <v>1</v>
      </c>
      <c r="I147" t="s">
        <v>385</v>
      </c>
      <c r="J147" t="s">
        <v>3</v>
      </c>
      <c r="K147" t="s">
        <v>386</v>
      </c>
      <c r="L147">
        <v>1191</v>
      </c>
      <c r="N147">
        <v>1013</v>
      </c>
      <c r="O147" t="s">
        <v>387</v>
      </c>
      <c r="P147" t="s">
        <v>387</v>
      </c>
      <c r="Q147">
        <v>1</v>
      </c>
      <c r="W147">
        <v>0</v>
      </c>
      <c r="X147">
        <v>476480486</v>
      </c>
      <c r="Y147">
        <f>(AT147*1.2)</f>
        <v>1.6320000000000001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1</v>
      </c>
      <c r="AJ147">
        <v>1</v>
      </c>
      <c r="AK147">
        <v>1</v>
      </c>
      <c r="AL147">
        <v>1</v>
      </c>
      <c r="AM147">
        <v>5</v>
      </c>
      <c r="AN147">
        <v>0</v>
      </c>
      <c r="AO147">
        <v>1</v>
      </c>
      <c r="AP147">
        <v>1</v>
      </c>
      <c r="AQ147">
        <v>0</v>
      </c>
      <c r="AR147">
        <v>0</v>
      </c>
      <c r="AS147" t="s">
        <v>3</v>
      </c>
      <c r="AT147">
        <v>1.36</v>
      </c>
      <c r="AU147" t="s">
        <v>71</v>
      </c>
      <c r="AV147">
        <v>1</v>
      </c>
      <c r="AW147">
        <v>2</v>
      </c>
      <c r="AX147">
        <v>57014592</v>
      </c>
      <c r="AY147">
        <v>1</v>
      </c>
      <c r="AZ147">
        <v>0</v>
      </c>
      <c r="BA147">
        <v>192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CU147">
        <f>ROUND(AT147*Source!I120*AH147*AL147,2)</f>
        <v>0</v>
      </c>
      <c r="CV147">
        <f>ROUND(Y147*Source!I120,9)</f>
        <v>4.8959999999999999</v>
      </c>
      <c r="CW147">
        <v>0</v>
      </c>
      <c r="CX147">
        <f>ROUND(Y147*Source!I120,9)</f>
        <v>4.8959999999999999</v>
      </c>
      <c r="CY147">
        <f>AD147</f>
        <v>0</v>
      </c>
      <c r="CZ147">
        <f>AH147</f>
        <v>0</v>
      </c>
      <c r="DA147">
        <f>AL147</f>
        <v>1</v>
      </c>
      <c r="DB147">
        <f>ROUND((ROUND(AT147*CZ147,2)*1.2),6)</f>
        <v>0</v>
      </c>
      <c r="DC147">
        <f>ROUND((ROUND(AT147*AG147,2)*1.2),6)</f>
        <v>0</v>
      </c>
      <c r="DD147" t="s">
        <v>3</v>
      </c>
      <c r="DE147" t="s">
        <v>3</v>
      </c>
      <c r="DF147">
        <f t="shared" si="41"/>
        <v>0</v>
      </c>
      <c r="DG147">
        <f t="shared" si="42"/>
        <v>0</v>
      </c>
      <c r="DH147">
        <f t="shared" si="43"/>
        <v>0</v>
      </c>
      <c r="DI147">
        <f t="shared" si="37"/>
        <v>0</v>
      </c>
      <c r="DJ147">
        <f>DI147</f>
        <v>0</v>
      </c>
      <c r="DK147">
        <v>0</v>
      </c>
      <c r="DL147" t="s">
        <v>3</v>
      </c>
      <c r="DM147">
        <v>0</v>
      </c>
      <c r="DN147" t="s">
        <v>3</v>
      </c>
      <c r="DO147">
        <v>0</v>
      </c>
    </row>
    <row r="148" spans="1:119" x14ac:dyDescent="0.25">
      <c r="A148">
        <f>ROW(Source!A120)</f>
        <v>120</v>
      </c>
      <c r="B148">
        <v>57014140</v>
      </c>
      <c r="C148">
        <v>57014585</v>
      </c>
      <c r="D148">
        <v>55490330</v>
      </c>
      <c r="E148">
        <v>1</v>
      </c>
      <c r="F148">
        <v>1</v>
      </c>
      <c r="G148">
        <v>1081</v>
      </c>
      <c r="H148">
        <v>2</v>
      </c>
      <c r="I148" t="s">
        <v>403</v>
      </c>
      <c r="J148" t="s">
        <v>404</v>
      </c>
      <c r="K148" t="s">
        <v>405</v>
      </c>
      <c r="L148">
        <v>1368</v>
      </c>
      <c r="N148">
        <v>1011</v>
      </c>
      <c r="O148" t="s">
        <v>391</v>
      </c>
      <c r="P148" t="s">
        <v>391</v>
      </c>
      <c r="Q148">
        <v>1</v>
      </c>
      <c r="W148">
        <v>0</v>
      </c>
      <c r="X148">
        <v>-2083101341</v>
      </c>
      <c r="Y148">
        <f>(AT148*1.2)</f>
        <v>2.0400000000000001E-2</v>
      </c>
      <c r="AA148">
        <v>0</v>
      </c>
      <c r="AB148">
        <v>7.92</v>
      </c>
      <c r="AC148">
        <v>0</v>
      </c>
      <c r="AD148">
        <v>0</v>
      </c>
      <c r="AE148">
        <v>0</v>
      </c>
      <c r="AF148">
        <v>0.8</v>
      </c>
      <c r="AG148">
        <v>0</v>
      </c>
      <c r="AH148">
        <v>0</v>
      </c>
      <c r="AI148">
        <v>1</v>
      </c>
      <c r="AJ148">
        <v>9.4600000000000009</v>
      </c>
      <c r="AK148">
        <v>1</v>
      </c>
      <c r="AL148">
        <v>1</v>
      </c>
      <c r="AM148">
        <v>2</v>
      </c>
      <c r="AN148">
        <v>0</v>
      </c>
      <c r="AO148">
        <v>1</v>
      </c>
      <c r="AP148">
        <v>1</v>
      </c>
      <c r="AQ148">
        <v>0</v>
      </c>
      <c r="AR148">
        <v>0</v>
      </c>
      <c r="AS148" t="s">
        <v>3</v>
      </c>
      <c r="AT148">
        <v>1.7000000000000001E-2</v>
      </c>
      <c r="AU148" t="s">
        <v>71</v>
      </c>
      <c r="AV148">
        <v>0</v>
      </c>
      <c r="AW148">
        <v>2</v>
      </c>
      <c r="AX148">
        <v>57014593</v>
      </c>
      <c r="AY148">
        <v>1</v>
      </c>
      <c r="AZ148">
        <v>0</v>
      </c>
      <c r="BA148">
        <v>193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CV148">
        <v>0</v>
      </c>
      <c r="CW148">
        <f>ROUND(Y148*Source!I120*DO148,9)</f>
        <v>0</v>
      </c>
      <c r="CX148">
        <f>ROUND(Y148*Source!I120,9)</f>
        <v>6.1199999999999997E-2</v>
      </c>
      <c r="CY148">
        <f>AB148</f>
        <v>7.92</v>
      </c>
      <c r="CZ148">
        <f>AF148</f>
        <v>0.8</v>
      </c>
      <c r="DA148">
        <f>AJ148</f>
        <v>9.4600000000000009</v>
      </c>
      <c r="DB148">
        <f>ROUND((ROUND(AT148*CZ148,2)*1.2),6)</f>
        <v>1.2E-2</v>
      </c>
      <c r="DC148">
        <f>ROUND((ROUND(AT148*AG148,2)*1.2),6)</f>
        <v>0</v>
      </c>
      <c r="DD148" t="s">
        <v>3</v>
      </c>
      <c r="DE148" t="s">
        <v>3</v>
      </c>
      <c r="DF148">
        <f t="shared" si="41"/>
        <v>0</v>
      </c>
      <c r="DG148">
        <f>ROUND(ROUND(AF148*AJ148,2)*CX148,2)</f>
        <v>0.46</v>
      </c>
      <c r="DH148">
        <f t="shared" si="43"/>
        <v>0</v>
      </c>
      <c r="DI148">
        <f t="shared" si="37"/>
        <v>0</v>
      </c>
      <c r="DJ148">
        <f>DG148</f>
        <v>0.46</v>
      </c>
      <c r="DK148">
        <v>0</v>
      </c>
      <c r="DL148" t="s">
        <v>3</v>
      </c>
      <c r="DM148">
        <v>0</v>
      </c>
      <c r="DN148" t="s">
        <v>3</v>
      </c>
      <c r="DO148">
        <v>0</v>
      </c>
    </row>
    <row r="149" spans="1:119" x14ac:dyDescent="0.25">
      <c r="A149">
        <f>ROW(Source!A120)</f>
        <v>120</v>
      </c>
      <c r="B149">
        <v>57014140</v>
      </c>
      <c r="C149">
        <v>57014585</v>
      </c>
      <c r="D149">
        <v>55490296</v>
      </c>
      <c r="E149">
        <v>1</v>
      </c>
      <c r="F149">
        <v>1</v>
      </c>
      <c r="G149">
        <v>1081</v>
      </c>
      <c r="H149">
        <v>2</v>
      </c>
      <c r="I149" t="s">
        <v>415</v>
      </c>
      <c r="J149" t="s">
        <v>416</v>
      </c>
      <c r="K149" t="s">
        <v>417</v>
      </c>
      <c r="L149">
        <v>1368</v>
      </c>
      <c r="N149">
        <v>1011</v>
      </c>
      <c r="O149" t="s">
        <v>391</v>
      </c>
      <c r="P149" t="s">
        <v>391</v>
      </c>
      <c r="Q149">
        <v>1</v>
      </c>
      <c r="W149">
        <v>0</v>
      </c>
      <c r="X149">
        <v>-643591644</v>
      </c>
      <c r="Y149">
        <f>(AT149*1.2)</f>
        <v>2.4E-2</v>
      </c>
      <c r="AA149">
        <v>0</v>
      </c>
      <c r="AB149">
        <v>4.75</v>
      </c>
      <c r="AC149">
        <v>0</v>
      </c>
      <c r="AD149">
        <v>0</v>
      </c>
      <c r="AE149">
        <v>0</v>
      </c>
      <c r="AF149">
        <v>0.47</v>
      </c>
      <c r="AG149">
        <v>0</v>
      </c>
      <c r="AH149">
        <v>0</v>
      </c>
      <c r="AI149">
        <v>1</v>
      </c>
      <c r="AJ149">
        <v>9.66</v>
      </c>
      <c r="AK149">
        <v>1</v>
      </c>
      <c r="AL149">
        <v>1</v>
      </c>
      <c r="AM149">
        <v>2</v>
      </c>
      <c r="AN149">
        <v>0</v>
      </c>
      <c r="AO149">
        <v>1</v>
      </c>
      <c r="AP149">
        <v>1</v>
      </c>
      <c r="AQ149">
        <v>0</v>
      </c>
      <c r="AR149">
        <v>0</v>
      </c>
      <c r="AS149" t="s">
        <v>3</v>
      </c>
      <c r="AT149">
        <v>0.02</v>
      </c>
      <c r="AU149" t="s">
        <v>71</v>
      </c>
      <c r="AV149">
        <v>0</v>
      </c>
      <c r="AW149">
        <v>2</v>
      </c>
      <c r="AX149">
        <v>57014594</v>
      </c>
      <c r="AY149">
        <v>1</v>
      </c>
      <c r="AZ149">
        <v>0</v>
      </c>
      <c r="BA149">
        <v>194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CV149">
        <v>0</v>
      </c>
      <c r="CW149">
        <f>ROUND(Y149*Source!I120*DO149,9)</f>
        <v>0</v>
      </c>
      <c r="CX149">
        <f>ROUND(Y149*Source!I120,9)</f>
        <v>7.1999999999999995E-2</v>
      </c>
      <c r="CY149">
        <f>AB149</f>
        <v>4.75</v>
      </c>
      <c r="CZ149">
        <f>AF149</f>
        <v>0.47</v>
      </c>
      <c r="DA149">
        <f>AJ149</f>
        <v>9.66</v>
      </c>
      <c r="DB149">
        <f>ROUND((ROUND(AT149*CZ149,2)*1.2),6)</f>
        <v>1.2E-2</v>
      </c>
      <c r="DC149">
        <f>ROUND((ROUND(AT149*AG149,2)*1.2),6)</f>
        <v>0</v>
      </c>
      <c r="DD149" t="s">
        <v>3</v>
      </c>
      <c r="DE149" t="s">
        <v>3</v>
      </c>
      <c r="DF149">
        <f t="shared" si="41"/>
        <v>0</v>
      </c>
      <c r="DG149">
        <f>ROUND(ROUND(AF149*AJ149,2)*CX149,2)</f>
        <v>0.33</v>
      </c>
      <c r="DH149">
        <f t="shared" si="43"/>
        <v>0</v>
      </c>
      <c r="DI149">
        <f t="shared" si="37"/>
        <v>0</v>
      </c>
      <c r="DJ149">
        <f>DG149</f>
        <v>0.33</v>
      </c>
      <c r="DK149">
        <v>0</v>
      </c>
      <c r="DL149" t="s">
        <v>3</v>
      </c>
      <c r="DM149">
        <v>0</v>
      </c>
      <c r="DN149" t="s">
        <v>3</v>
      </c>
      <c r="DO149">
        <v>0</v>
      </c>
    </row>
    <row r="150" spans="1:119" x14ac:dyDescent="0.25">
      <c r="A150">
        <f>ROW(Source!A120)</f>
        <v>120</v>
      </c>
      <c r="B150">
        <v>57014140</v>
      </c>
      <c r="C150">
        <v>57014585</v>
      </c>
      <c r="D150">
        <v>55461074</v>
      </c>
      <c r="E150">
        <v>1</v>
      </c>
      <c r="F150">
        <v>1</v>
      </c>
      <c r="G150">
        <v>1081</v>
      </c>
      <c r="H150">
        <v>3</v>
      </c>
      <c r="I150" t="s">
        <v>418</v>
      </c>
      <c r="J150" t="s">
        <v>419</v>
      </c>
      <c r="K150" t="s">
        <v>420</v>
      </c>
      <c r="L150">
        <v>1346</v>
      </c>
      <c r="N150">
        <v>1009</v>
      </c>
      <c r="O150" t="s">
        <v>365</v>
      </c>
      <c r="P150" t="s">
        <v>365</v>
      </c>
      <c r="Q150">
        <v>1</v>
      </c>
      <c r="W150">
        <v>0</v>
      </c>
      <c r="X150">
        <v>-861631226</v>
      </c>
      <c r="Y150">
        <f>(AT150*1)</f>
        <v>6.2700000000000004E-3</v>
      </c>
      <c r="AA150">
        <v>163.51</v>
      </c>
      <c r="AB150">
        <v>0</v>
      </c>
      <c r="AC150">
        <v>0</v>
      </c>
      <c r="AD150">
        <v>0</v>
      </c>
      <c r="AE150">
        <v>27.62</v>
      </c>
      <c r="AF150">
        <v>0</v>
      </c>
      <c r="AG150">
        <v>0</v>
      </c>
      <c r="AH150">
        <v>0</v>
      </c>
      <c r="AI150">
        <v>5.92</v>
      </c>
      <c r="AJ150">
        <v>1</v>
      </c>
      <c r="AK150">
        <v>1</v>
      </c>
      <c r="AL150">
        <v>1</v>
      </c>
      <c r="AM150">
        <v>2</v>
      </c>
      <c r="AN150">
        <v>0</v>
      </c>
      <c r="AO150">
        <v>1</v>
      </c>
      <c r="AP150">
        <v>1</v>
      </c>
      <c r="AQ150">
        <v>0</v>
      </c>
      <c r="AR150">
        <v>0</v>
      </c>
      <c r="AS150" t="s">
        <v>3</v>
      </c>
      <c r="AT150">
        <v>6.2700000000000004E-3</v>
      </c>
      <c r="AU150" t="s">
        <v>70</v>
      </c>
      <c r="AV150">
        <v>0</v>
      </c>
      <c r="AW150">
        <v>2</v>
      </c>
      <c r="AX150">
        <v>57014595</v>
      </c>
      <c r="AY150">
        <v>1</v>
      </c>
      <c r="AZ150">
        <v>0</v>
      </c>
      <c r="BA150">
        <v>195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CV150">
        <v>0</v>
      </c>
      <c r="CW150">
        <v>0</v>
      </c>
      <c r="CX150">
        <f>ROUND(Y150*Source!I120,9)</f>
        <v>1.881E-2</v>
      </c>
      <c r="CY150">
        <f>AA150</f>
        <v>163.51</v>
      </c>
      <c r="CZ150">
        <f>AE150</f>
        <v>27.62</v>
      </c>
      <c r="DA150">
        <f>AI150</f>
        <v>5.92</v>
      </c>
      <c r="DB150">
        <f>ROUND((ROUND(AT150*CZ150,2)*1),6)</f>
        <v>0.17</v>
      </c>
      <c r="DC150">
        <f>ROUND((ROUND(AT150*AG150,2)*1),6)</f>
        <v>0</v>
      </c>
      <c r="DD150" t="s">
        <v>3</v>
      </c>
      <c r="DE150" t="s">
        <v>3</v>
      </c>
      <c r="DF150">
        <f>ROUND(ROUND(AE150*AI150,2)*CX150,2)</f>
        <v>3.08</v>
      </c>
      <c r="DG150">
        <f t="shared" ref="DG150:DG156" si="44">ROUND(ROUND(AF150,2)*CX150,2)</f>
        <v>0</v>
      </c>
      <c r="DH150">
        <f t="shared" si="43"/>
        <v>0</v>
      </c>
      <c r="DI150">
        <f t="shared" si="37"/>
        <v>0</v>
      </c>
      <c r="DJ150">
        <f>DF150</f>
        <v>3.08</v>
      </c>
      <c r="DK150">
        <v>0</v>
      </c>
      <c r="DL150" t="s">
        <v>3</v>
      </c>
      <c r="DM150">
        <v>0</v>
      </c>
      <c r="DN150" t="s">
        <v>3</v>
      </c>
      <c r="DO150">
        <v>0</v>
      </c>
    </row>
    <row r="151" spans="1:119" x14ac:dyDescent="0.25">
      <c r="A151">
        <f>ROW(Source!A120)</f>
        <v>120</v>
      </c>
      <c r="B151">
        <v>57014140</v>
      </c>
      <c r="C151">
        <v>57014585</v>
      </c>
      <c r="D151">
        <v>55459793</v>
      </c>
      <c r="E151">
        <v>1</v>
      </c>
      <c r="F151">
        <v>1</v>
      </c>
      <c r="G151">
        <v>1081</v>
      </c>
      <c r="H151">
        <v>3</v>
      </c>
      <c r="I151" t="s">
        <v>412</v>
      </c>
      <c r="J151" t="s">
        <v>413</v>
      </c>
      <c r="K151" t="s">
        <v>414</v>
      </c>
      <c r="L151">
        <v>1348</v>
      </c>
      <c r="N151">
        <v>1009</v>
      </c>
      <c r="O151" t="s">
        <v>361</v>
      </c>
      <c r="P151" t="s">
        <v>361</v>
      </c>
      <c r="Q151">
        <v>1000</v>
      </c>
      <c r="W151">
        <v>0</v>
      </c>
      <c r="X151">
        <v>-761454284</v>
      </c>
      <c r="Y151">
        <f>(AT151*1)</f>
        <v>1.0000000000000001E-5</v>
      </c>
      <c r="AA151">
        <v>1930745.04</v>
      </c>
      <c r="AB151">
        <v>0</v>
      </c>
      <c r="AC151">
        <v>0</v>
      </c>
      <c r="AD151">
        <v>0</v>
      </c>
      <c r="AE151">
        <v>64123.05</v>
      </c>
      <c r="AF151">
        <v>0</v>
      </c>
      <c r="AG151">
        <v>0</v>
      </c>
      <c r="AH151">
        <v>0</v>
      </c>
      <c r="AI151">
        <v>30.11</v>
      </c>
      <c r="AJ151">
        <v>1</v>
      </c>
      <c r="AK151">
        <v>1</v>
      </c>
      <c r="AL151">
        <v>1</v>
      </c>
      <c r="AM151">
        <v>2</v>
      </c>
      <c r="AN151">
        <v>0</v>
      </c>
      <c r="AO151">
        <v>1</v>
      </c>
      <c r="AP151">
        <v>1</v>
      </c>
      <c r="AQ151">
        <v>0</v>
      </c>
      <c r="AR151">
        <v>0</v>
      </c>
      <c r="AS151" t="s">
        <v>3</v>
      </c>
      <c r="AT151">
        <v>1.0000000000000001E-5</v>
      </c>
      <c r="AU151" t="s">
        <v>70</v>
      </c>
      <c r="AV151">
        <v>0</v>
      </c>
      <c r="AW151">
        <v>2</v>
      </c>
      <c r="AX151">
        <v>57014596</v>
      </c>
      <c r="AY151">
        <v>1</v>
      </c>
      <c r="AZ151">
        <v>0</v>
      </c>
      <c r="BA151">
        <v>196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CV151">
        <v>0</v>
      </c>
      <c r="CW151">
        <v>0</v>
      </c>
      <c r="CX151">
        <f>ROUND(Y151*Source!I120,9)</f>
        <v>3.0000000000000001E-5</v>
      </c>
      <c r="CY151">
        <f>AA151</f>
        <v>1930745.04</v>
      </c>
      <c r="CZ151">
        <f>AE151</f>
        <v>64123.05</v>
      </c>
      <c r="DA151">
        <f>AI151</f>
        <v>30.11</v>
      </c>
      <c r="DB151">
        <f>ROUND((ROUND(AT151*CZ151,2)*1),6)</f>
        <v>0.64</v>
      </c>
      <c r="DC151">
        <f>ROUND((ROUND(AT151*AG151,2)*1),6)</f>
        <v>0</v>
      </c>
      <c r="DD151" t="s">
        <v>3</v>
      </c>
      <c r="DE151" t="s">
        <v>3</v>
      </c>
      <c r="DF151">
        <f>ROUND(ROUND(AE151*AI151,2)*CX151,2)</f>
        <v>57.92</v>
      </c>
      <c r="DG151">
        <f t="shared" si="44"/>
        <v>0</v>
      </c>
      <c r="DH151">
        <f t="shared" si="43"/>
        <v>0</v>
      </c>
      <c r="DI151">
        <f t="shared" si="37"/>
        <v>0</v>
      </c>
      <c r="DJ151">
        <f>DF151</f>
        <v>57.92</v>
      </c>
      <c r="DK151">
        <v>0</v>
      </c>
      <c r="DL151" t="s">
        <v>3</v>
      </c>
      <c r="DM151">
        <v>0</v>
      </c>
      <c r="DN151" t="s">
        <v>3</v>
      </c>
      <c r="DO151">
        <v>0</v>
      </c>
    </row>
    <row r="152" spans="1:119" x14ac:dyDescent="0.25">
      <c r="A152">
        <f>ROW(Source!A120)</f>
        <v>120</v>
      </c>
      <c r="B152">
        <v>57014140</v>
      </c>
      <c r="C152">
        <v>57014585</v>
      </c>
      <c r="D152">
        <v>55469253</v>
      </c>
      <c r="E152">
        <v>1</v>
      </c>
      <c r="F152">
        <v>1</v>
      </c>
      <c r="G152">
        <v>1081</v>
      </c>
      <c r="H152">
        <v>3</v>
      </c>
      <c r="I152" t="s">
        <v>421</v>
      </c>
      <c r="J152" t="s">
        <v>422</v>
      </c>
      <c r="K152" t="s">
        <v>423</v>
      </c>
      <c r="L152">
        <v>1354</v>
      </c>
      <c r="N152">
        <v>1010</v>
      </c>
      <c r="O152" t="s">
        <v>251</v>
      </c>
      <c r="P152" t="s">
        <v>251</v>
      </c>
      <c r="Q152">
        <v>1</v>
      </c>
      <c r="W152">
        <v>0</v>
      </c>
      <c r="X152">
        <v>-32785108</v>
      </c>
      <c r="Y152">
        <f>(AT152*1)</f>
        <v>0.1</v>
      </c>
      <c r="AA152">
        <v>36.14</v>
      </c>
      <c r="AB152">
        <v>0</v>
      </c>
      <c r="AC152">
        <v>0</v>
      </c>
      <c r="AD152">
        <v>0</v>
      </c>
      <c r="AE152">
        <v>15.25</v>
      </c>
      <c r="AF152">
        <v>0</v>
      </c>
      <c r="AG152">
        <v>0</v>
      </c>
      <c r="AH152">
        <v>0</v>
      </c>
      <c r="AI152">
        <v>2.37</v>
      </c>
      <c r="AJ152">
        <v>1</v>
      </c>
      <c r="AK152">
        <v>1</v>
      </c>
      <c r="AL152">
        <v>1</v>
      </c>
      <c r="AM152">
        <v>2</v>
      </c>
      <c r="AN152">
        <v>0</v>
      </c>
      <c r="AO152">
        <v>1</v>
      </c>
      <c r="AP152">
        <v>1</v>
      </c>
      <c r="AQ152">
        <v>0</v>
      </c>
      <c r="AR152">
        <v>0</v>
      </c>
      <c r="AS152" t="s">
        <v>3</v>
      </c>
      <c r="AT152">
        <v>0.1</v>
      </c>
      <c r="AU152" t="s">
        <v>70</v>
      </c>
      <c r="AV152">
        <v>0</v>
      </c>
      <c r="AW152">
        <v>2</v>
      </c>
      <c r="AX152">
        <v>57014597</v>
      </c>
      <c r="AY152">
        <v>1</v>
      </c>
      <c r="AZ152">
        <v>0</v>
      </c>
      <c r="BA152">
        <v>197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CV152">
        <v>0</v>
      </c>
      <c r="CW152">
        <v>0</v>
      </c>
      <c r="CX152">
        <f>ROUND(Y152*Source!I120,9)</f>
        <v>0.3</v>
      </c>
      <c r="CY152">
        <f>AA152</f>
        <v>36.14</v>
      </c>
      <c r="CZ152">
        <f>AE152</f>
        <v>15.25</v>
      </c>
      <c r="DA152">
        <f>AI152</f>
        <v>2.37</v>
      </c>
      <c r="DB152">
        <f>ROUND((ROUND(AT152*CZ152,2)*1),6)</f>
        <v>1.53</v>
      </c>
      <c r="DC152">
        <f>ROUND((ROUND(AT152*AG152,2)*1),6)</f>
        <v>0</v>
      </c>
      <c r="DD152" t="s">
        <v>3</v>
      </c>
      <c r="DE152" t="s">
        <v>3</v>
      </c>
      <c r="DF152">
        <f>ROUND(ROUND(AE152*AI152,2)*CX152,2)</f>
        <v>10.84</v>
      </c>
      <c r="DG152">
        <f t="shared" si="44"/>
        <v>0</v>
      </c>
      <c r="DH152">
        <f t="shared" si="43"/>
        <v>0</v>
      </c>
      <c r="DI152">
        <f t="shared" si="37"/>
        <v>0</v>
      </c>
      <c r="DJ152">
        <f>DF152</f>
        <v>10.84</v>
      </c>
      <c r="DK152">
        <v>0</v>
      </c>
      <c r="DL152" t="s">
        <v>3</v>
      </c>
      <c r="DM152">
        <v>0</v>
      </c>
      <c r="DN152" t="s">
        <v>3</v>
      </c>
      <c r="DO152">
        <v>0</v>
      </c>
    </row>
    <row r="153" spans="1:119" x14ac:dyDescent="0.25">
      <c r="A153">
        <f>ROW(Source!A125)</f>
        <v>125</v>
      </c>
      <c r="B153">
        <v>57014138</v>
      </c>
      <c r="C153">
        <v>57015334</v>
      </c>
      <c r="D153">
        <v>55424304</v>
      </c>
      <c r="E153">
        <v>1081</v>
      </c>
      <c r="F153">
        <v>1</v>
      </c>
      <c r="G153">
        <v>1081</v>
      </c>
      <c r="H153">
        <v>1</v>
      </c>
      <c r="I153" t="s">
        <v>385</v>
      </c>
      <c r="J153" t="s">
        <v>3</v>
      </c>
      <c r="K153" t="s">
        <v>386</v>
      </c>
      <c r="L153">
        <v>1191</v>
      </c>
      <c r="N153">
        <v>1013</v>
      </c>
      <c r="O153" t="s">
        <v>387</v>
      </c>
      <c r="P153" t="s">
        <v>387</v>
      </c>
      <c r="Q153">
        <v>1</v>
      </c>
      <c r="W153">
        <v>0</v>
      </c>
      <c r="X153">
        <v>476480486</v>
      </c>
      <c r="Y153">
        <f>(AT153*1.2)</f>
        <v>6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1</v>
      </c>
      <c r="AJ153">
        <v>1</v>
      </c>
      <c r="AK153">
        <v>1</v>
      </c>
      <c r="AL153">
        <v>1</v>
      </c>
      <c r="AM153">
        <v>-2</v>
      </c>
      <c r="AN153">
        <v>0</v>
      </c>
      <c r="AO153">
        <v>1</v>
      </c>
      <c r="AP153">
        <v>1</v>
      </c>
      <c r="AQ153">
        <v>0</v>
      </c>
      <c r="AR153">
        <v>0</v>
      </c>
      <c r="AS153" t="s">
        <v>3</v>
      </c>
      <c r="AT153">
        <v>5</v>
      </c>
      <c r="AU153" t="s">
        <v>71</v>
      </c>
      <c r="AV153">
        <v>1</v>
      </c>
      <c r="AW153">
        <v>2</v>
      </c>
      <c r="AX153">
        <v>57015335</v>
      </c>
      <c r="AY153">
        <v>1</v>
      </c>
      <c r="AZ153">
        <v>0</v>
      </c>
      <c r="BA153">
        <v>199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CU153">
        <f>ROUND(AT153*Source!I125*AH153*AL153,2)</f>
        <v>0</v>
      </c>
      <c r="CV153">
        <f>ROUND(Y153*Source!I125,9)</f>
        <v>6</v>
      </c>
      <c r="CW153">
        <v>0</v>
      </c>
      <c r="CX153">
        <f>ROUND(Y153*Source!I125,9)</f>
        <v>6</v>
      </c>
      <c r="CY153">
        <f>AD153</f>
        <v>0</v>
      </c>
      <c r="CZ153">
        <f>AH153</f>
        <v>0</v>
      </c>
      <c r="DA153">
        <f>AL153</f>
        <v>1</v>
      </c>
      <c r="DB153">
        <f>ROUND((ROUND(AT153*CZ153,2)*1.2),6)</f>
        <v>0</v>
      </c>
      <c r="DC153">
        <f>ROUND((ROUND(AT153*AG153,2)*1.2),6)</f>
        <v>0</v>
      </c>
      <c r="DD153" t="s">
        <v>3</v>
      </c>
      <c r="DE153" t="s">
        <v>3</v>
      </c>
      <c r="DF153">
        <f>ROUND(ROUND(AE153,2)*CX153,2)</f>
        <v>0</v>
      </c>
      <c r="DG153">
        <f t="shared" si="44"/>
        <v>0</v>
      </c>
      <c r="DH153">
        <f t="shared" si="43"/>
        <v>0</v>
      </c>
      <c r="DI153">
        <f t="shared" si="37"/>
        <v>0</v>
      </c>
      <c r="DJ153">
        <f>DI153</f>
        <v>0</v>
      </c>
      <c r="DK153">
        <v>0</v>
      </c>
      <c r="DL153" t="s">
        <v>3</v>
      </c>
      <c r="DM153">
        <v>0</v>
      </c>
      <c r="DN153" t="s">
        <v>3</v>
      </c>
      <c r="DO153">
        <v>0</v>
      </c>
    </row>
    <row r="154" spans="1:119" x14ac:dyDescent="0.25">
      <c r="A154">
        <f>ROW(Source!A125)</f>
        <v>125</v>
      </c>
      <c r="B154">
        <v>57014138</v>
      </c>
      <c r="C154">
        <v>57015334</v>
      </c>
      <c r="D154">
        <v>55490330</v>
      </c>
      <c r="E154">
        <v>1</v>
      </c>
      <c r="F154">
        <v>1</v>
      </c>
      <c r="G154">
        <v>1081</v>
      </c>
      <c r="H154">
        <v>2</v>
      </c>
      <c r="I154" t="s">
        <v>403</v>
      </c>
      <c r="J154" t="s">
        <v>404</v>
      </c>
      <c r="K154" t="s">
        <v>405</v>
      </c>
      <c r="L154">
        <v>1368</v>
      </c>
      <c r="N154">
        <v>1011</v>
      </c>
      <c r="O154" t="s">
        <v>391</v>
      </c>
      <c r="P154" t="s">
        <v>391</v>
      </c>
      <c r="Q154">
        <v>1</v>
      </c>
      <c r="W154">
        <v>0</v>
      </c>
      <c r="X154">
        <v>-2083101341</v>
      </c>
      <c r="Y154">
        <f>(AT154*1.2)</f>
        <v>0.156</v>
      </c>
      <c r="AA154">
        <v>0</v>
      </c>
      <c r="AB154">
        <v>0.84</v>
      </c>
      <c r="AC154">
        <v>0</v>
      </c>
      <c r="AD154">
        <v>0</v>
      </c>
      <c r="AE154">
        <v>0</v>
      </c>
      <c r="AF154">
        <v>0.8</v>
      </c>
      <c r="AG154">
        <v>0</v>
      </c>
      <c r="AH154">
        <v>0</v>
      </c>
      <c r="AI154">
        <v>1</v>
      </c>
      <c r="AJ154">
        <v>1</v>
      </c>
      <c r="AK154">
        <v>1</v>
      </c>
      <c r="AL154">
        <v>1</v>
      </c>
      <c r="AM154">
        <v>-2</v>
      </c>
      <c r="AN154">
        <v>0</v>
      </c>
      <c r="AO154">
        <v>1</v>
      </c>
      <c r="AP154">
        <v>1</v>
      </c>
      <c r="AQ154">
        <v>0</v>
      </c>
      <c r="AR154">
        <v>0</v>
      </c>
      <c r="AS154" t="s">
        <v>3</v>
      </c>
      <c r="AT154">
        <v>0.13</v>
      </c>
      <c r="AU154" t="s">
        <v>71</v>
      </c>
      <c r="AV154">
        <v>0</v>
      </c>
      <c r="AW154">
        <v>2</v>
      </c>
      <c r="AX154">
        <v>57015336</v>
      </c>
      <c r="AY154">
        <v>1</v>
      </c>
      <c r="AZ154">
        <v>0</v>
      </c>
      <c r="BA154">
        <v>200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CV154">
        <v>0</v>
      </c>
      <c r="CW154">
        <f>ROUND(Y154*Source!I125*DO154,9)</f>
        <v>0</v>
      </c>
      <c r="CX154">
        <f>ROUND(Y154*Source!I125,9)</f>
        <v>0.156</v>
      </c>
      <c r="CY154">
        <f>AB154</f>
        <v>0.84</v>
      </c>
      <c r="CZ154">
        <f>AF154</f>
        <v>0.8</v>
      </c>
      <c r="DA154">
        <f>AJ154</f>
        <v>1</v>
      </c>
      <c r="DB154">
        <f>ROUND((ROUND(AT154*CZ154,2)*1.2),6)</f>
        <v>0.12</v>
      </c>
      <c r="DC154">
        <f>ROUND((ROUND(AT154*AG154,2)*1.2),6)</f>
        <v>0</v>
      </c>
      <c r="DD154" t="s">
        <v>3</v>
      </c>
      <c r="DE154" t="s">
        <v>3</v>
      </c>
      <c r="DF154">
        <f>ROUND(ROUND(AE154,2)*CX154,2)</f>
        <v>0</v>
      </c>
      <c r="DG154">
        <f t="shared" si="44"/>
        <v>0.12</v>
      </c>
      <c r="DH154">
        <f t="shared" si="43"/>
        <v>0</v>
      </c>
      <c r="DI154">
        <f t="shared" si="37"/>
        <v>0</v>
      </c>
      <c r="DJ154">
        <f>DG154</f>
        <v>0.12</v>
      </c>
      <c r="DK154">
        <v>0</v>
      </c>
      <c r="DL154" t="s">
        <v>3</v>
      </c>
      <c r="DM154">
        <v>0</v>
      </c>
      <c r="DN154" t="s">
        <v>3</v>
      </c>
      <c r="DO154">
        <v>0</v>
      </c>
    </row>
    <row r="155" spans="1:119" x14ac:dyDescent="0.25">
      <c r="A155">
        <f>ROW(Source!A125)</f>
        <v>125</v>
      </c>
      <c r="B155">
        <v>57014138</v>
      </c>
      <c r="C155">
        <v>57015334</v>
      </c>
      <c r="D155">
        <v>55459340</v>
      </c>
      <c r="E155">
        <v>1</v>
      </c>
      <c r="F155">
        <v>1</v>
      </c>
      <c r="G155">
        <v>1081</v>
      </c>
      <c r="H155">
        <v>3</v>
      </c>
      <c r="I155" t="s">
        <v>406</v>
      </c>
      <c r="J155" t="s">
        <v>407</v>
      </c>
      <c r="K155" t="s">
        <v>408</v>
      </c>
      <c r="L155">
        <v>1354</v>
      </c>
      <c r="N155">
        <v>1010</v>
      </c>
      <c r="O155" t="s">
        <v>251</v>
      </c>
      <c r="P155" t="s">
        <v>251</v>
      </c>
      <c r="Q155">
        <v>1</v>
      </c>
      <c r="W155">
        <v>0</v>
      </c>
      <c r="X155">
        <v>-1352077490</v>
      </c>
      <c r="Y155">
        <f>(AT155*1)</f>
        <v>3</v>
      </c>
      <c r="AA155">
        <v>0.89</v>
      </c>
      <c r="AB155">
        <v>0</v>
      </c>
      <c r="AC155">
        <v>0</v>
      </c>
      <c r="AD155">
        <v>0</v>
      </c>
      <c r="AE155">
        <v>0.89</v>
      </c>
      <c r="AF155">
        <v>0</v>
      </c>
      <c r="AG155">
        <v>0</v>
      </c>
      <c r="AH155">
        <v>0</v>
      </c>
      <c r="AI155">
        <v>1</v>
      </c>
      <c r="AJ155">
        <v>1</v>
      </c>
      <c r="AK155">
        <v>1</v>
      </c>
      <c r="AL155">
        <v>1</v>
      </c>
      <c r="AM155">
        <v>-2</v>
      </c>
      <c r="AN155">
        <v>0</v>
      </c>
      <c r="AO155">
        <v>1</v>
      </c>
      <c r="AP155">
        <v>1</v>
      </c>
      <c r="AQ155">
        <v>0</v>
      </c>
      <c r="AR155">
        <v>0</v>
      </c>
      <c r="AS155" t="s">
        <v>3</v>
      </c>
      <c r="AT155">
        <v>3</v>
      </c>
      <c r="AU155" t="s">
        <v>70</v>
      </c>
      <c r="AV155">
        <v>0</v>
      </c>
      <c r="AW155">
        <v>2</v>
      </c>
      <c r="AX155">
        <v>57015337</v>
      </c>
      <c r="AY155">
        <v>1</v>
      </c>
      <c r="AZ155">
        <v>0</v>
      </c>
      <c r="BA155">
        <v>201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CV155">
        <v>0</v>
      </c>
      <c r="CW155">
        <v>0</v>
      </c>
      <c r="CX155">
        <f>ROUND(Y155*Source!I125,9)</f>
        <v>3</v>
      </c>
      <c r="CY155">
        <f>AA155</f>
        <v>0.89</v>
      </c>
      <c r="CZ155">
        <f>AE155</f>
        <v>0.89</v>
      </c>
      <c r="DA155">
        <f>AI155</f>
        <v>1</v>
      </c>
      <c r="DB155">
        <f>ROUND((ROUND(AT155*CZ155,2)*1),6)</f>
        <v>2.67</v>
      </c>
      <c r="DC155">
        <f>ROUND((ROUND(AT155*AG155,2)*1),6)</f>
        <v>0</v>
      </c>
      <c r="DD155" t="s">
        <v>3</v>
      </c>
      <c r="DE155" t="s">
        <v>3</v>
      </c>
      <c r="DF155">
        <f>ROUND(ROUND(AE155,2)*CX155,2)</f>
        <v>2.67</v>
      </c>
      <c r="DG155">
        <f t="shared" si="44"/>
        <v>0</v>
      </c>
      <c r="DH155">
        <f t="shared" si="43"/>
        <v>0</v>
      </c>
      <c r="DI155">
        <f t="shared" si="37"/>
        <v>0</v>
      </c>
      <c r="DJ155">
        <f>DF155</f>
        <v>2.67</v>
      </c>
      <c r="DK155">
        <v>0</v>
      </c>
      <c r="DL155" t="s">
        <v>3</v>
      </c>
      <c r="DM155">
        <v>0</v>
      </c>
      <c r="DN155" t="s">
        <v>3</v>
      </c>
      <c r="DO155">
        <v>0</v>
      </c>
    </row>
    <row r="156" spans="1:119" x14ac:dyDescent="0.25">
      <c r="A156">
        <f>ROW(Source!A126)</f>
        <v>126</v>
      </c>
      <c r="B156">
        <v>57014140</v>
      </c>
      <c r="C156">
        <v>57015334</v>
      </c>
      <c r="D156">
        <v>55424304</v>
      </c>
      <c r="E156">
        <v>1081</v>
      </c>
      <c r="F156">
        <v>1</v>
      </c>
      <c r="G156">
        <v>1081</v>
      </c>
      <c r="H156">
        <v>1</v>
      </c>
      <c r="I156" t="s">
        <v>385</v>
      </c>
      <c r="J156" t="s">
        <v>3</v>
      </c>
      <c r="K156" t="s">
        <v>386</v>
      </c>
      <c r="L156">
        <v>1191</v>
      </c>
      <c r="N156">
        <v>1013</v>
      </c>
      <c r="O156" t="s">
        <v>387</v>
      </c>
      <c r="P156" t="s">
        <v>387</v>
      </c>
      <c r="Q156">
        <v>1</v>
      </c>
      <c r="W156">
        <v>0</v>
      </c>
      <c r="X156">
        <v>476480486</v>
      </c>
      <c r="Y156">
        <f>(AT156*1.2)</f>
        <v>6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1</v>
      </c>
      <c r="AJ156">
        <v>1</v>
      </c>
      <c r="AK156">
        <v>1</v>
      </c>
      <c r="AL156">
        <v>1</v>
      </c>
      <c r="AM156">
        <v>5</v>
      </c>
      <c r="AN156">
        <v>0</v>
      </c>
      <c r="AO156">
        <v>1</v>
      </c>
      <c r="AP156">
        <v>1</v>
      </c>
      <c r="AQ156">
        <v>0</v>
      </c>
      <c r="AR156">
        <v>0</v>
      </c>
      <c r="AS156" t="s">
        <v>3</v>
      </c>
      <c r="AT156">
        <v>5</v>
      </c>
      <c r="AU156" t="s">
        <v>71</v>
      </c>
      <c r="AV156">
        <v>1</v>
      </c>
      <c r="AW156">
        <v>2</v>
      </c>
      <c r="AX156">
        <v>57015335</v>
      </c>
      <c r="AY156">
        <v>1</v>
      </c>
      <c r="AZ156">
        <v>0</v>
      </c>
      <c r="BA156">
        <v>203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CU156">
        <f>ROUND(AT156*Source!I126*AH156*AL156,2)</f>
        <v>0</v>
      </c>
      <c r="CV156">
        <f>ROUND(Y156*Source!I126,9)</f>
        <v>6</v>
      </c>
      <c r="CW156">
        <v>0</v>
      </c>
      <c r="CX156">
        <f>ROUND(Y156*Source!I126,9)</f>
        <v>6</v>
      </c>
      <c r="CY156">
        <f>AD156</f>
        <v>0</v>
      </c>
      <c r="CZ156">
        <f>AH156</f>
        <v>0</v>
      </c>
      <c r="DA156">
        <f>AL156</f>
        <v>1</v>
      </c>
      <c r="DB156">
        <f>ROUND((ROUND(AT156*CZ156,2)*1.2),6)</f>
        <v>0</v>
      </c>
      <c r="DC156">
        <f>ROUND((ROUND(AT156*AG156,2)*1.2),6)</f>
        <v>0</v>
      </c>
      <c r="DD156" t="s">
        <v>3</v>
      </c>
      <c r="DE156" t="s">
        <v>3</v>
      </c>
      <c r="DF156">
        <f>ROUND(ROUND(AE156,2)*CX156,2)</f>
        <v>0</v>
      </c>
      <c r="DG156">
        <f t="shared" si="44"/>
        <v>0</v>
      </c>
      <c r="DH156">
        <f t="shared" si="43"/>
        <v>0</v>
      </c>
      <c r="DI156">
        <f t="shared" si="37"/>
        <v>0</v>
      </c>
      <c r="DJ156">
        <f>DI156</f>
        <v>0</v>
      </c>
      <c r="DK156">
        <v>0</v>
      </c>
      <c r="DL156" t="s">
        <v>3</v>
      </c>
      <c r="DM156">
        <v>0</v>
      </c>
      <c r="DN156" t="s">
        <v>3</v>
      </c>
      <c r="DO156">
        <v>0</v>
      </c>
    </row>
    <row r="157" spans="1:119" x14ac:dyDescent="0.25">
      <c r="A157">
        <f>ROW(Source!A126)</f>
        <v>126</v>
      </c>
      <c r="B157">
        <v>57014140</v>
      </c>
      <c r="C157">
        <v>57015334</v>
      </c>
      <c r="D157">
        <v>55490330</v>
      </c>
      <c r="E157">
        <v>1</v>
      </c>
      <c r="F157">
        <v>1</v>
      </c>
      <c r="G157">
        <v>1081</v>
      </c>
      <c r="H157">
        <v>2</v>
      </c>
      <c r="I157" t="s">
        <v>403</v>
      </c>
      <c r="J157" t="s">
        <v>404</v>
      </c>
      <c r="K157" t="s">
        <v>405</v>
      </c>
      <c r="L157">
        <v>1368</v>
      </c>
      <c r="N157">
        <v>1011</v>
      </c>
      <c r="O157" t="s">
        <v>391</v>
      </c>
      <c r="P157" t="s">
        <v>391</v>
      </c>
      <c r="Q157">
        <v>1</v>
      </c>
      <c r="W157">
        <v>0</v>
      </c>
      <c r="X157">
        <v>-2083101341</v>
      </c>
      <c r="Y157">
        <f>(AT157*1.2)</f>
        <v>0.156</v>
      </c>
      <c r="AA157">
        <v>0</v>
      </c>
      <c r="AB157">
        <v>7.92</v>
      </c>
      <c r="AC157">
        <v>0</v>
      </c>
      <c r="AD157">
        <v>0</v>
      </c>
      <c r="AE157">
        <v>0</v>
      </c>
      <c r="AF157">
        <v>0.8</v>
      </c>
      <c r="AG157">
        <v>0</v>
      </c>
      <c r="AH157">
        <v>0</v>
      </c>
      <c r="AI157">
        <v>1</v>
      </c>
      <c r="AJ157">
        <v>9.4600000000000009</v>
      </c>
      <c r="AK157">
        <v>1</v>
      </c>
      <c r="AL157">
        <v>1</v>
      </c>
      <c r="AM157">
        <v>2</v>
      </c>
      <c r="AN157">
        <v>0</v>
      </c>
      <c r="AO157">
        <v>1</v>
      </c>
      <c r="AP157">
        <v>1</v>
      </c>
      <c r="AQ157">
        <v>0</v>
      </c>
      <c r="AR157">
        <v>0</v>
      </c>
      <c r="AS157" t="s">
        <v>3</v>
      </c>
      <c r="AT157">
        <v>0.13</v>
      </c>
      <c r="AU157" t="s">
        <v>71</v>
      </c>
      <c r="AV157">
        <v>0</v>
      </c>
      <c r="AW157">
        <v>2</v>
      </c>
      <c r="AX157">
        <v>57015336</v>
      </c>
      <c r="AY157">
        <v>1</v>
      </c>
      <c r="AZ157">
        <v>0</v>
      </c>
      <c r="BA157">
        <v>204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CV157">
        <v>0</v>
      </c>
      <c r="CW157">
        <f>ROUND(Y157*Source!I126*DO157,9)</f>
        <v>0</v>
      </c>
      <c r="CX157">
        <f>ROUND(Y157*Source!I126,9)</f>
        <v>0.156</v>
      </c>
      <c r="CY157">
        <f>AB157</f>
        <v>7.92</v>
      </c>
      <c r="CZ157">
        <f>AF157</f>
        <v>0.8</v>
      </c>
      <c r="DA157">
        <f>AJ157</f>
        <v>9.4600000000000009</v>
      </c>
      <c r="DB157">
        <f>ROUND((ROUND(AT157*CZ157,2)*1.2),6)</f>
        <v>0.12</v>
      </c>
      <c r="DC157">
        <f>ROUND((ROUND(AT157*AG157,2)*1.2),6)</f>
        <v>0</v>
      </c>
      <c r="DD157" t="s">
        <v>3</v>
      </c>
      <c r="DE157" t="s">
        <v>3</v>
      </c>
      <c r="DF157">
        <f>ROUND(ROUND(AE157,2)*CX157,2)</f>
        <v>0</v>
      </c>
      <c r="DG157">
        <f>ROUND(ROUND(AF157*AJ157,2)*CX157,2)</f>
        <v>1.18</v>
      </c>
      <c r="DH157">
        <f t="shared" si="43"/>
        <v>0</v>
      </c>
      <c r="DI157">
        <f t="shared" si="37"/>
        <v>0</v>
      </c>
      <c r="DJ157">
        <f>DG157</f>
        <v>1.18</v>
      </c>
      <c r="DK157">
        <v>0</v>
      </c>
      <c r="DL157" t="s">
        <v>3</v>
      </c>
      <c r="DM157">
        <v>0</v>
      </c>
      <c r="DN157" t="s">
        <v>3</v>
      </c>
      <c r="DO157">
        <v>0</v>
      </c>
    </row>
    <row r="158" spans="1:119" x14ac:dyDescent="0.25">
      <c r="A158">
        <f>ROW(Source!A126)</f>
        <v>126</v>
      </c>
      <c r="B158">
        <v>57014140</v>
      </c>
      <c r="C158">
        <v>57015334</v>
      </c>
      <c r="D158">
        <v>55459340</v>
      </c>
      <c r="E158">
        <v>1</v>
      </c>
      <c r="F158">
        <v>1</v>
      </c>
      <c r="G158">
        <v>1081</v>
      </c>
      <c r="H158">
        <v>3</v>
      </c>
      <c r="I158" t="s">
        <v>406</v>
      </c>
      <c r="J158" t="s">
        <v>407</v>
      </c>
      <c r="K158" t="s">
        <v>408</v>
      </c>
      <c r="L158">
        <v>1354</v>
      </c>
      <c r="N158">
        <v>1010</v>
      </c>
      <c r="O158" t="s">
        <v>251</v>
      </c>
      <c r="P158" t="s">
        <v>251</v>
      </c>
      <c r="Q158">
        <v>1</v>
      </c>
      <c r="W158">
        <v>0</v>
      </c>
      <c r="X158">
        <v>-1352077490</v>
      </c>
      <c r="Y158">
        <f>(AT158*1)</f>
        <v>3</v>
      </c>
      <c r="AA158">
        <v>0.83</v>
      </c>
      <c r="AB158">
        <v>0</v>
      </c>
      <c r="AC158">
        <v>0</v>
      </c>
      <c r="AD158">
        <v>0</v>
      </c>
      <c r="AE158">
        <v>0.89</v>
      </c>
      <c r="AF158">
        <v>0</v>
      </c>
      <c r="AG158">
        <v>0</v>
      </c>
      <c r="AH158">
        <v>0</v>
      </c>
      <c r="AI158">
        <v>0.93</v>
      </c>
      <c r="AJ158">
        <v>1</v>
      </c>
      <c r="AK158">
        <v>1</v>
      </c>
      <c r="AL158">
        <v>1</v>
      </c>
      <c r="AM158">
        <v>2</v>
      </c>
      <c r="AN158">
        <v>0</v>
      </c>
      <c r="AO158">
        <v>1</v>
      </c>
      <c r="AP158">
        <v>1</v>
      </c>
      <c r="AQ158">
        <v>0</v>
      </c>
      <c r="AR158">
        <v>0</v>
      </c>
      <c r="AS158" t="s">
        <v>3</v>
      </c>
      <c r="AT158">
        <v>3</v>
      </c>
      <c r="AU158" t="s">
        <v>70</v>
      </c>
      <c r="AV158">
        <v>0</v>
      </c>
      <c r="AW158">
        <v>2</v>
      </c>
      <c r="AX158">
        <v>57015337</v>
      </c>
      <c r="AY158">
        <v>1</v>
      </c>
      <c r="AZ158">
        <v>0</v>
      </c>
      <c r="BA158">
        <v>205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CV158">
        <v>0</v>
      </c>
      <c r="CW158">
        <v>0</v>
      </c>
      <c r="CX158">
        <f>ROUND(Y158*Source!I126,9)</f>
        <v>3</v>
      </c>
      <c r="CY158">
        <f>AA158</f>
        <v>0.83</v>
      </c>
      <c r="CZ158">
        <f>AE158</f>
        <v>0.89</v>
      </c>
      <c r="DA158">
        <f>AI158</f>
        <v>0.93</v>
      </c>
      <c r="DB158">
        <f>ROUND((ROUND(AT158*CZ158,2)*1),6)</f>
        <v>2.67</v>
      </c>
      <c r="DC158">
        <f>ROUND((ROUND(AT158*AG158,2)*1),6)</f>
        <v>0</v>
      </c>
      <c r="DD158" t="s">
        <v>3</v>
      </c>
      <c r="DE158" t="s">
        <v>3</v>
      </c>
      <c r="DF158">
        <f>ROUND(ROUND(AE158*AI158,2)*CX158,2)</f>
        <v>2.4900000000000002</v>
      </c>
      <c r="DG158">
        <f>ROUND(ROUND(AF158,2)*CX158,2)</f>
        <v>0</v>
      </c>
      <c r="DH158">
        <f t="shared" si="43"/>
        <v>0</v>
      </c>
      <c r="DI158">
        <f t="shared" si="37"/>
        <v>0</v>
      </c>
      <c r="DJ158">
        <f>DF158</f>
        <v>2.4900000000000002</v>
      </c>
      <c r="DK158">
        <v>0</v>
      </c>
      <c r="DL158" t="s">
        <v>3</v>
      </c>
      <c r="DM158">
        <v>0</v>
      </c>
      <c r="DN158" t="s">
        <v>3</v>
      </c>
      <c r="DO158">
        <v>0</v>
      </c>
    </row>
    <row r="159" spans="1:119" x14ac:dyDescent="0.25">
      <c r="A159">
        <f>ROW(Source!A127)</f>
        <v>127</v>
      </c>
      <c r="B159">
        <v>57014138</v>
      </c>
      <c r="C159">
        <v>57014609</v>
      </c>
      <c r="D159">
        <v>55424304</v>
      </c>
      <c r="E159">
        <v>1081</v>
      </c>
      <c r="F159">
        <v>1</v>
      </c>
      <c r="G159">
        <v>1081</v>
      </c>
      <c r="H159">
        <v>1</v>
      </c>
      <c r="I159" t="s">
        <v>385</v>
      </c>
      <c r="J159" t="s">
        <v>3</v>
      </c>
      <c r="K159" t="s">
        <v>386</v>
      </c>
      <c r="L159">
        <v>1191</v>
      </c>
      <c r="N159">
        <v>1013</v>
      </c>
      <c r="O159" t="s">
        <v>387</v>
      </c>
      <c r="P159" t="s">
        <v>387</v>
      </c>
      <c r="Q159">
        <v>1</v>
      </c>
      <c r="W159">
        <v>0</v>
      </c>
      <c r="X159">
        <v>476480486</v>
      </c>
      <c r="Y159">
        <f>(AT159*1.2)</f>
        <v>10.799999999999999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1</v>
      </c>
      <c r="AJ159">
        <v>1</v>
      </c>
      <c r="AK159">
        <v>1</v>
      </c>
      <c r="AL159">
        <v>1</v>
      </c>
      <c r="AM159">
        <v>-2</v>
      </c>
      <c r="AN159">
        <v>0</v>
      </c>
      <c r="AO159">
        <v>1</v>
      </c>
      <c r="AP159">
        <v>1</v>
      </c>
      <c r="AQ159">
        <v>0</v>
      </c>
      <c r="AR159">
        <v>0</v>
      </c>
      <c r="AS159" t="s">
        <v>3</v>
      </c>
      <c r="AT159">
        <v>9</v>
      </c>
      <c r="AU159" t="s">
        <v>71</v>
      </c>
      <c r="AV159">
        <v>1</v>
      </c>
      <c r="AW159">
        <v>2</v>
      </c>
      <c r="AX159">
        <v>57014613</v>
      </c>
      <c r="AY159">
        <v>1</v>
      </c>
      <c r="AZ159">
        <v>0</v>
      </c>
      <c r="BA159">
        <v>207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CU159">
        <f>ROUND(AT159*Source!I127*AH159*AL159,2)</f>
        <v>0</v>
      </c>
      <c r="CV159">
        <f>ROUND(Y159*Source!I127,9)</f>
        <v>10.8</v>
      </c>
      <c r="CW159">
        <v>0</v>
      </c>
      <c r="CX159">
        <f>ROUND(Y159*Source!I127,9)</f>
        <v>10.8</v>
      </c>
      <c r="CY159">
        <f>AD159</f>
        <v>0</v>
      </c>
      <c r="CZ159">
        <f>AH159</f>
        <v>0</v>
      </c>
      <c r="DA159">
        <f>AL159</f>
        <v>1</v>
      </c>
      <c r="DB159">
        <f>ROUND((ROUND(AT159*CZ159,2)*1.2),6)</f>
        <v>0</v>
      </c>
      <c r="DC159">
        <f>ROUND((ROUND(AT159*AG159,2)*1.2),6)</f>
        <v>0</v>
      </c>
      <c r="DD159" t="s">
        <v>3</v>
      </c>
      <c r="DE159" t="s">
        <v>3</v>
      </c>
      <c r="DF159">
        <f>ROUND(ROUND(AE159,2)*CX159,2)</f>
        <v>0</v>
      </c>
      <c r="DG159">
        <f>ROUND(ROUND(AF159,2)*CX159,2)</f>
        <v>0</v>
      </c>
      <c r="DH159">
        <f t="shared" si="43"/>
        <v>0</v>
      </c>
      <c r="DI159">
        <f t="shared" si="37"/>
        <v>0</v>
      </c>
      <c r="DJ159">
        <f>DI159</f>
        <v>0</v>
      </c>
      <c r="DK159">
        <v>0</v>
      </c>
      <c r="DL159" t="s">
        <v>3</v>
      </c>
      <c r="DM159">
        <v>0</v>
      </c>
      <c r="DN159" t="s">
        <v>3</v>
      </c>
      <c r="DO159">
        <v>0</v>
      </c>
    </row>
    <row r="160" spans="1:119" x14ac:dyDescent="0.25">
      <c r="A160">
        <f>ROW(Source!A127)</f>
        <v>127</v>
      </c>
      <c r="B160">
        <v>57014138</v>
      </c>
      <c r="C160">
        <v>57014609</v>
      </c>
      <c r="D160">
        <v>55490330</v>
      </c>
      <c r="E160">
        <v>1</v>
      </c>
      <c r="F160">
        <v>1</v>
      </c>
      <c r="G160">
        <v>1081</v>
      </c>
      <c r="H160">
        <v>2</v>
      </c>
      <c r="I160" t="s">
        <v>403</v>
      </c>
      <c r="J160" t="s">
        <v>404</v>
      </c>
      <c r="K160" t="s">
        <v>405</v>
      </c>
      <c r="L160">
        <v>1368</v>
      </c>
      <c r="N160">
        <v>1011</v>
      </c>
      <c r="O160" t="s">
        <v>391</v>
      </c>
      <c r="P160" t="s">
        <v>391</v>
      </c>
      <c r="Q160">
        <v>1</v>
      </c>
      <c r="W160">
        <v>0</v>
      </c>
      <c r="X160">
        <v>-2083101341</v>
      </c>
      <c r="Y160">
        <f>(AT160*1.2)</f>
        <v>0.26400000000000001</v>
      </c>
      <c r="AA160">
        <v>0</v>
      </c>
      <c r="AB160">
        <v>0.84</v>
      </c>
      <c r="AC160">
        <v>0</v>
      </c>
      <c r="AD160">
        <v>0</v>
      </c>
      <c r="AE160">
        <v>0</v>
      </c>
      <c r="AF160">
        <v>0.8</v>
      </c>
      <c r="AG160">
        <v>0</v>
      </c>
      <c r="AH160">
        <v>0</v>
      </c>
      <c r="AI160">
        <v>1</v>
      </c>
      <c r="AJ160">
        <v>1</v>
      </c>
      <c r="AK160">
        <v>1</v>
      </c>
      <c r="AL160">
        <v>1</v>
      </c>
      <c r="AM160">
        <v>-2</v>
      </c>
      <c r="AN160">
        <v>0</v>
      </c>
      <c r="AO160">
        <v>1</v>
      </c>
      <c r="AP160">
        <v>1</v>
      </c>
      <c r="AQ160">
        <v>0</v>
      </c>
      <c r="AR160">
        <v>0</v>
      </c>
      <c r="AS160" t="s">
        <v>3</v>
      </c>
      <c r="AT160">
        <v>0.22</v>
      </c>
      <c r="AU160" t="s">
        <v>71</v>
      </c>
      <c r="AV160">
        <v>0</v>
      </c>
      <c r="AW160">
        <v>2</v>
      </c>
      <c r="AX160">
        <v>57014614</v>
      </c>
      <c r="AY160">
        <v>1</v>
      </c>
      <c r="AZ160">
        <v>0</v>
      </c>
      <c r="BA160">
        <v>208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CV160">
        <v>0</v>
      </c>
      <c r="CW160">
        <f>ROUND(Y160*Source!I127*DO160,9)</f>
        <v>0</v>
      </c>
      <c r="CX160">
        <f>ROUND(Y160*Source!I127,9)</f>
        <v>0.26400000000000001</v>
      </c>
      <c r="CY160">
        <f>AB160</f>
        <v>0.84</v>
      </c>
      <c r="CZ160">
        <f>AF160</f>
        <v>0.8</v>
      </c>
      <c r="DA160">
        <f>AJ160</f>
        <v>1</v>
      </c>
      <c r="DB160">
        <f>ROUND((ROUND(AT160*CZ160,2)*1.2),6)</f>
        <v>0.216</v>
      </c>
      <c r="DC160">
        <f>ROUND((ROUND(AT160*AG160,2)*1.2),6)</f>
        <v>0</v>
      </c>
      <c r="DD160" t="s">
        <v>3</v>
      </c>
      <c r="DE160" t="s">
        <v>3</v>
      </c>
      <c r="DF160">
        <f>ROUND(ROUND(AE160,2)*CX160,2)</f>
        <v>0</v>
      </c>
      <c r="DG160">
        <f>ROUND(ROUND(AF160,2)*CX160,2)</f>
        <v>0.21</v>
      </c>
      <c r="DH160">
        <f t="shared" si="43"/>
        <v>0</v>
      </c>
      <c r="DI160">
        <f t="shared" si="37"/>
        <v>0</v>
      </c>
      <c r="DJ160">
        <f>DG160</f>
        <v>0.21</v>
      </c>
      <c r="DK160">
        <v>0</v>
      </c>
      <c r="DL160" t="s">
        <v>3</v>
      </c>
      <c r="DM160">
        <v>0</v>
      </c>
      <c r="DN160" t="s">
        <v>3</v>
      </c>
      <c r="DO160">
        <v>0</v>
      </c>
    </row>
    <row r="161" spans="1:119" x14ac:dyDescent="0.25">
      <c r="A161">
        <f>ROW(Source!A127)</f>
        <v>127</v>
      </c>
      <c r="B161">
        <v>57014138</v>
      </c>
      <c r="C161">
        <v>57014609</v>
      </c>
      <c r="D161">
        <v>55459340</v>
      </c>
      <c r="E161">
        <v>1</v>
      </c>
      <c r="F161">
        <v>1</v>
      </c>
      <c r="G161">
        <v>1081</v>
      </c>
      <c r="H161">
        <v>3</v>
      </c>
      <c r="I161" t="s">
        <v>406</v>
      </c>
      <c r="J161" t="s">
        <v>407</v>
      </c>
      <c r="K161" t="s">
        <v>408</v>
      </c>
      <c r="L161">
        <v>1354</v>
      </c>
      <c r="N161">
        <v>1010</v>
      </c>
      <c r="O161" t="s">
        <v>251</v>
      </c>
      <c r="P161" t="s">
        <v>251</v>
      </c>
      <c r="Q161">
        <v>1</v>
      </c>
      <c r="W161">
        <v>0</v>
      </c>
      <c r="X161">
        <v>-1352077490</v>
      </c>
      <c r="Y161">
        <f>(AT161*1)</f>
        <v>5</v>
      </c>
      <c r="AA161">
        <v>0.89</v>
      </c>
      <c r="AB161">
        <v>0</v>
      </c>
      <c r="AC161">
        <v>0</v>
      </c>
      <c r="AD161">
        <v>0</v>
      </c>
      <c r="AE161">
        <v>0.89</v>
      </c>
      <c r="AF161">
        <v>0</v>
      </c>
      <c r="AG161">
        <v>0</v>
      </c>
      <c r="AH161">
        <v>0</v>
      </c>
      <c r="AI161">
        <v>1</v>
      </c>
      <c r="AJ161">
        <v>1</v>
      </c>
      <c r="AK161">
        <v>1</v>
      </c>
      <c r="AL161">
        <v>1</v>
      </c>
      <c r="AM161">
        <v>-2</v>
      </c>
      <c r="AN161">
        <v>0</v>
      </c>
      <c r="AO161">
        <v>1</v>
      </c>
      <c r="AP161">
        <v>1</v>
      </c>
      <c r="AQ161">
        <v>0</v>
      </c>
      <c r="AR161">
        <v>0</v>
      </c>
      <c r="AS161" t="s">
        <v>3</v>
      </c>
      <c r="AT161">
        <v>5</v>
      </c>
      <c r="AU161" t="s">
        <v>70</v>
      </c>
      <c r="AV161">
        <v>0</v>
      </c>
      <c r="AW161">
        <v>2</v>
      </c>
      <c r="AX161">
        <v>57014615</v>
      </c>
      <c r="AY161">
        <v>1</v>
      </c>
      <c r="AZ161">
        <v>0</v>
      </c>
      <c r="BA161">
        <v>209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CV161">
        <v>0</v>
      </c>
      <c r="CW161">
        <v>0</v>
      </c>
      <c r="CX161">
        <f>ROUND(Y161*Source!I127,9)</f>
        <v>5</v>
      </c>
      <c r="CY161">
        <f>AA161</f>
        <v>0.89</v>
      </c>
      <c r="CZ161">
        <f>AE161</f>
        <v>0.89</v>
      </c>
      <c r="DA161">
        <f>AI161</f>
        <v>1</v>
      </c>
      <c r="DB161">
        <f>ROUND((ROUND(AT161*CZ161,2)*1),6)</f>
        <v>4.45</v>
      </c>
      <c r="DC161">
        <f>ROUND((ROUND(AT161*AG161,2)*1),6)</f>
        <v>0</v>
      </c>
      <c r="DD161" t="s">
        <v>3</v>
      </c>
      <c r="DE161" t="s">
        <v>3</v>
      </c>
      <c r="DF161">
        <f>ROUND(ROUND(AE161,2)*CX161,2)</f>
        <v>4.45</v>
      </c>
      <c r="DG161">
        <f>ROUND(ROUND(AF161,2)*CX161,2)</f>
        <v>0</v>
      </c>
      <c r="DH161">
        <f t="shared" si="43"/>
        <v>0</v>
      </c>
      <c r="DI161">
        <f t="shared" si="37"/>
        <v>0</v>
      </c>
      <c r="DJ161">
        <f>DF161</f>
        <v>4.45</v>
      </c>
      <c r="DK161">
        <v>0</v>
      </c>
      <c r="DL161" t="s">
        <v>3</v>
      </c>
      <c r="DM161">
        <v>0</v>
      </c>
      <c r="DN161" t="s">
        <v>3</v>
      </c>
      <c r="DO161">
        <v>0</v>
      </c>
    </row>
    <row r="162" spans="1:119" x14ac:dyDescent="0.25">
      <c r="A162">
        <f>ROW(Source!A128)</f>
        <v>128</v>
      </c>
      <c r="B162">
        <v>57014140</v>
      </c>
      <c r="C162">
        <v>57014609</v>
      </c>
      <c r="D162">
        <v>55424304</v>
      </c>
      <c r="E162">
        <v>1081</v>
      </c>
      <c r="F162">
        <v>1</v>
      </c>
      <c r="G162">
        <v>1081</v>
      </c>
      <c r="H162">
        <v>1</v>
      </c>
      <c r="I162" t="s">
        <v>385</v>
      </c>
      <c r="J162" t="s">
        <v>3</v>
      </c>
      <c r="K162" t="s">
        <v>386</v>
      </c>
      <c r="L162">
        <v>1191</v>
      </c>
      <c r="N162">
        <v>1013</v>
      </c>
      <c r="O162" t="s">
        <v>387</v>
      </c>
      <c r="P162" t="s">
        <v>387</v>
      </c>
      <c r="Q162">
        <v>1</v>
      </c>
      <c r="W162">
        <v>0</v>
      </c>
      <c r="X162">
        <v>476480486</v>
      </c>
      <c r="Y162">
        <f>(AT162*1.2)</f>
        <v>10.799999999999999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1</v>
      </c>
      <c r="AJ162">
        <v>1</v>
      </c>
      <c r="AK162">
        <v>1</v>
      </c>
      <c r="AL162">
        <v>1</v>
      </c>
      <c r="AM162">
        <v>5</v>
      </c>
      <c r="AN162">
        <v>0</v>
      </c>
      <c r="AO162">
        <v>1</v>
      </c>
      <c r="AP162">
        <v>1</v>
      </c>
      <c r="AQ162">
        <v>0</v>
      </c>
      <c r="AR162">
        <v>0</v>
      </c>
      <c r="AS162" t="s">
        <v>3</v>
      </c>
      <c r="AT162">
        <v>9</v>
      </c>
      <c r="AU162" t="s">
        <v>71</v>
      </c>
      <c r="AV162">
        <v>1</v>
      </c>
      <c r="AW162">
        <v>2</v>
      </c>
      <c r="AX162">
        <v>57014613</v>
      </c>
      <c r="AY162">
        <v>1</v>
      </c>
      <c r="AZ162">
        <v>0</v>
      </c>
      <c r="BA162">
        <v>211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CU162">
        <f>ROUND(AT162*Source!I128*AH162*AL162,2)</f>
        <v>0</v>
      </c>
      <c r="CV162">
        <f>ROUND(Y162*Source!I128,9)</f>
        <v>10.8</v>
      </c>
      <c r="CW162">
        <v>0</v>
      </c>
      <c r="CX162">
        <f>ROUND(Y162*Source!I128,9)</f>
        <v>10.8</v>
      </c>
      <c r="CY162">
        <f>AD162</f>
        <v>0</v>
      </c>
      <c r="CZ162">
        <f>AH162</f>
        <v>0</v>
      </c>
      <c r="DA162">
        <f>AL162</f>
        <v>1</v>
      </c>
      <c r="DB162">
        <f>ROUND((ROUND(AT162*CZ162,2)*1.2),6)</f>
        <v>0</v>
      </c>
      <c r="DC162">
        <f>ROUND((ROUND(AT162*AG162,2)*1.2),6)</f>
        <v>0</v>
      </c>
      <c r="DD162" t="s">
        <v>3</v>
      </c>
      <c r="DE162" t="s">
        <v>3</v>
      </c>
      <c r="DF162">
        <f>ROUND(ROUND(AE162,2)*CX162,2)</f>
        <v>0</v>
      </c>
      <c r="DG162">
        <f>ROUND(ROUND(AF162,2)*CX162,2)</f>
        <v>0</v>
      </c>
      <c r="DH162">
        <f t="shared" si="43"/>
        <v>0</v>
      </c>
      <c r="DI162">
        <f t="shared" si="37"/>
        <v>0</v>
      </c>
      <c r="DJ162">
        <f>DI162</f>
        <v>0</v>
      </c>
      <c r="DK162">
        <v>0</v>
      </c>
      <c r="DL162" t="s">
        <v>3</v>
      </c>
      <c r="DM162">
        <v>0</v>
      </c>
      <c r="DN162" t="s">
        <v>3</v>
      </c>
      <c r="DO162">
        <v>0</v>
      </c>
    </row>
    <row r="163" spans="1:119" x14ac:dyDescent="0.25">
      <c r="A163">
        <f>ROW(Source!A128)</f>
        <v>128</v>
      </c>
      <c r="B163">
        <v>57014140</v>
      </c>
      <c r="C163">
        <v>57014609</v>
      </c>
      <c r="D163">
        <v>55490330</v>
      </c>
      <c r="E163">
        <v>1</v>
      </c>
      <c r="F163">
        <v>1</v>
      </c>
      <c r="G163">
        <v>1081</v>
      </c>
      <c r="H163">
        <v>2</v>
      </c>
      <c r="I163" t="s">
        <v>403</v>
      </c>
      <c r="J163" t="s">
        <v>404</v>
      </c>
      <c r="K163" t="s">
        <v>405</v>
      </c>
      <c r="L163">
        <v>1368</v>
      </c>
      <c r="N163">
        <v>1011</v>
      </c>
      <c r="O163" t="s">
        <v>391</v>
      </c>
      <c r="P163" t="s">
        <v>391</v>
      </c>
      <c r="Q163">
        <v>1</v>
      </c>
      <c r="W163">
        <v>0</v>
      </c>
      <c r="X163">
        <v>-2083101341</v>
      </c>
      <c r="Y163">
        <f>(AT163*1.2)</f>
        <v>0.26400000000000001</v>
      </c>
      <c r="AA163">
        <v>0</v>
      </c>
      <c r="AB163">
        <v>7.92</v>
      </c>
      <c r="AC163">
        <v>0</v>
      </c>
      <c r="AD163">
        <v>0</v>
      </c>
      <c r="AE163">
        <v>0</v>
      </c>
      <c r="AF163">
        <v>0.8</v>
      </c>
      <c r="AG163">
        <v>0</v>
      </c>
      <c r="AH163">
        <v>0</v>
      </c>
      <c r="AI163">
        <v>1</v>
      </c>
      <c r="AJ163">
        <v>9.4600000000000009</v>
      </c>
      <c r="AK163">
        <v>1</v>
      </c>
      <c r="AL163">
        <v>1</v>
      </c>
      <c r="AM163">
        <v>2</v>
      </c>
      <c r="AN163">
        <v>0</v>
      </c>
      <c r="AO163">
        <v>1</v>
      </c>
      <c r="AP163">
        <v>1</v>
      </c>
      <c r="AQ163">
        <v>0</v>
      </c>
      <c r="AR163">
        <v>0</v>
      </c>
      <c r="AS163" t="s">
        <v>3</v>
      </c>
      <c r="AT163">
        <v>0.22</v>
      </c>
      <c r="AU163" t="s">
        <v>71</v>
      </c>
      <c r="AV163">
        <v>0</v>
      </c>
      <c r="AW163">
        <v>2</v>
      </c>
      <c r="AX163">
        <v>57014614</v>
      </c>
      <c r="AY163">
        <v>1</v>
      </c>
      <c r="AZ163">
        <v>0</v>
      </c>
      <c r="BA163">
        <v>212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CV163">
        <v>0</v>
      </c>
      <c r="CW163">
        <f>ROUND(Y163*Source!I128*DO163,9)</f>
        <v>0</v>
      </c>
      <c r="CX163">
        <f>ROUND(Y163*Source!I128,9)</f>
        <v>0.26400000000000001</v>
      </c>
      <c r="CY163">
        <f>AB163</f>
        <v>7.92</v>
      </c>
      <c r="CZ163">
        <f>AF163</f>
        <v>0.8</v>
      </c>
      <c r="DA163">
        <f>AJ163</f>
        <v>9.4600000000000009</v>
      </c>
      <c r="DB163">
        <f>ROUND((ROUND(AT163*CZ163,2)*1.2),6)</f>
        <v>0.216</v>
      </c>
      <c r="DC163">
        <f>ROUND((ROUND(AT163*AG163,2)*1.2),6)</f>
        <v>0</v>
      </c>
      <c r="DD163" t="s">
        <v>3</v>
      </c>
      <c r="DE163" t="s">
        <v>3</v>
      </c>
      <c r="DF163">
        <f>ROUND(ROUND(AE163,2)*CX163,2)</f>
        <v>0</v>
      </c>
      <c r="DG163">
        <f>ROUND(ROUND(AF163*AJ163,2)*CX163,2)</f>
        <v>2</v>
      </c>
      <c r="DH163">
        <f t="shared" si="43"/>
        <v>0</v>
      </c>
      <c r="DI163">
        <f t="shared" si="37"/>
        <v>0</v>
      </c>
      <c r="DJ163">
        <f>DG163</f>
        <v>2</v>
      </c>
      <c r="DK163">
        <v>0</v>
      </c>
      <c r="DL163" t="s">
        <v>3</v>
      </c>
      <c r="DM163">
        <v>0</v>
      </c>
      <c r="DN163" t="s">
        <v>3</v>
      </c>
      <c r="DO163">
        <v>0</v>
      </c>
    </row>
    <row r="164" spans="1:119" x14ac:dyDescent="0.25">
      <c r="A164">
        <f>ROW(Source!A128)</f>
        <v>128</v>
      </c>
      <c r="B164">
        <v>57014140</v>
      </c>
      <c r="C164">
        <v>57014609</v>
      </c>
      <c r="D164">
        <v>55459340</v>
      </c>
      <c r="E164">
        <v>1</v>
      </c>
      <c r="F164">
        <v>1</v>
      </c>
      <c r="G164">
        <v>1081</v>
      </c>
      <c r="H164">
        <v>3</v>
      </c>
      <c r="I164" t="s">
        <v>406</v>
      </c>
      <c r="J164" t="s">
        <v>407</v>
      </c>
      <c r="K164" t="s">
        <v>408</v>
      </c>
      <c r="L164">
        <v>1354</v>
      </c>
      <c r="N164">
        <v>1010</v>
      </c>
      <c r="O164" t="s">
        <v>251</v>
      </c>
      <c r="P164" t="s">
        <v>251</v>
      </c>
      <c r="Q164">
        <v>1</v>
      </c>
      <c r="W164">
        <v>0</v>
      </c>
      <c r="X164">
        <v>-1352077490</v>
      </c>
      <c r="Y164">
        <f>(AT164*1)</f>
        <v>5</v>
      </c>
      <c r="AA164">
        <v>0.83</v>
      </c>
      <c r="AB164">
        <v>0</v>
      </c>
      <c r="AC164">
        <v>0</v>
      </c>
      <c r="AD164">
        <v>0</v>
      </c>
      <c r="AE164">
        <v>0.89</v>
      </c>
      <c r="AF164">
        <v>0</v>
      </c>
      <c r="AG164">
        <v>0</v>
      </c>
      <c r="AH164">
        <v>0</v>
      </c>
      <c r="AI164">
        <v>0.93</v>
      </c>
      <c r="AJ164">
        <v>1</v>
      </c>
      <c r="AK164">
        <v>1</v>
      </c>
      <c r="AL164">
        <v>1</v>
      </c>
      <c r="AM164">
        <v>2</v>
      </c>
      <c r="AN164">
        <v>0</v>
      </c>
      <c r="AO164">
        <v>1</v>
      </c>
      <c r="AP164">
        <v>1</v>
      </c>
      <c r="AQ164">
        <v>0</v>
      </c>
      <c r="AR164">
        <v>0</v>
      </c>
      <c r="AS164" t="s">
        <v>3</v>
      </c>
      <c r="AT164">
        <v>5</v>
      </c>
      <c r="AU164" t="s">
        <v>70</v>
      </c>
      <c r="AV164">
        <v>0</v>
      </c>
      <c r="AW164">
        <v>2</v>
      </c>
      <c r="AX164">
        <v>57014615</v>
      </c>
      <c r="AY164">
        <v>1</v>
      </c>
      <c r="AZ164">
        <v>0</v>
      </c>
      <c r="BA164">
        <v>213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CV164">
        <v>0</v>
      </c>
      <c r="CW164">
        <v>0</v>
      </c>
      <c r="CX164">
        <f>ROUND(Y164*Source!I128,9)</f>
        <v>5</v>
      </c>
      <c r="CY164">
        <f>AA164</f>
        <v>0.83</v>
      </c>
      <c r="CZ164">
        <f>AE164</f>
        <v>0.89</v>
      </c>
      <c r="DA164">
        <f>AI164</f>
        <v>0.93</v>
      </c>
      <c r="DB164">
        <f>ROUND((ROUND(AT164*CZ164,2)*1),6)</f>
        <v>4.45</v>
      </c>
      <c r="DC164">
        <f>ROUND((ROUND(AT164*AG164,2)*1),6)</f>
        <v>0</v>
      </c>
      <c r="DD164" t="s">
        <v>3</v>
      </c>
      <c r="DE164" t="s">
        <v>3</v>
      </c>
      <c r="DF164">
        <f>ROUND(ROUND(AE164*AI164,2)*CX164,2)</f>
        <v>4.1500000000000004</v>
      </c>
      <c r="DG164">
        <f t="shared" ref="DG164:DG173" si="45">ROUND(ROUND(AF164,2)*CX164,2)</f>
        <v>0</v>
      </c>
      <c r="DH164">
        <f t="shared" si="43"/>
        <v>0</v>
      </c>
      <c r="DI164">
        <f t="shared" si="37"/>
        <v>0</v>
      </c>
      <c r="DJ164">
        <f>DF164</f>
        <v>4.1500000000000004</v>
      </c>
      <c r="DK164">
        <v>0</v>
      </c>
      <c r="DL164" t="s">
        <v>3</v>
      </c>
      <c r="DM164">
        <v>0</v>
      </c>
      <c r="DN164" t="s">
        <v>3</v>
      </c>
      <c r="DO164">
        <v>0</v>
      </c>
    </row>
    <row r="165" spans="1:119" x14ac:dyDescent="0.25">
      <c r="A165">
        <f>ROW(Source!A131)</f>
        <v>131</v>
      </c>
      <c r="B165">
        <v>57014138</v>
      </c>
      <c r="C165">
        <v>57015340</v>
      </c>
      <c r="D165">
        <v>55424304</v>
      </c>
      <c r="E165">
        <v>1081</v>
      </c>
      <c r="F165">
        <v>1</v>
      </c>
      <c r="G165">
        <v>1081</v>
      </c>
      <c r="H165">
        <v>1</v>
      </c>
      <c r="I165" t="s">
        <v>385</v>
      </c>
      <c r="J165" t="s">
        <v>3</v>
      </c>
      <c r="K165" t="s">
        <v>386</v>
      </c>
      <c r="L165">
        <v>1191</v>
      </c>
      <c r="N165">
        <v>1013</v>
      </c>
      <c r="O165" t="s">
        <v>387</v>
      </c>
      <c r="P165" t="s">
        <v>387</v>
      </c>
      <c r="Q165">
        <v>1</v>
      </c>
      <c r="W165">
        <v>0</v>
      </c>
      <c r="X165">
        <v>476480486</v>
      </c>
      <c r="Y165">
        <f t="shared" ref="Y165:Y170" si="46">(AT165*1.2)</f>
        <v>8.64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1</v>
      </c>
      <c r="AJ165">
        <v>1</v>
      </c>
      <c r="AK165">
        <v>1</v>
      </c>
      <c r="AL165">
        <v>1</v>
      </c>
      <c r="AM165">
        <v>-2</v>
      </c>
      <c r="AN165">
        <v>0</v>
      </c>
      <c r="AO165">
        <v>1</v>
      </c>
      <c r="AP165">
        <v>1</v>
      </c>
      <c r="AQ165">
        <v>0</v>
      </c>
      <c r="AR165">
        <v>0</v>
      </c>
      <c r="AS165" t="s">
        <v>3</v>
      </c>
      <c r="AT165">
        <v>7.2</v>
      </c>
      <c r="AU165" t="s">
        <v>71</v>
      </c>
      <c r="AV165">
        <v>1</v>
      </c>
      <c r="AW165">
        <v>2</v>
      </c>
      <c r="AX165">
        <v>57015341</v>
      </c>
      <c r="AY165">
        <v>1</v>
      </c>
      <c r="AZ165">
        <v>0</v>
      </c>
      <c r="BA165">
        <v>215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CU165">
        <f>ROUND(AT165*Source!I131*AH165*AL165,2)</f>
        <v>0</v>
      </c>
      <c r="CV165">
        <f>ROUND(Y165*Source!I131,9)</f>
        <v>17.28</v>
      </c>
      <c r="CW165">
        <v>0</v>
      </c>
      <c r="CX165">
        <f>ROUND(Y165*Source!I131,9)</f>
        <v>17.28</v>
      </c>
      <c r="CY165">
        <f>AD165</f>
        <v>0</v>
      </c>
      <c r="CZ165">
        <f>AH165</f>
        <v>0</v>
      </c>
      <c r="DA165">
        <f>AL165</f>
        <v>1</v>
      </c>
      <c r="DB165">
        <f t="shared" ref="DB165:DB170" si="47">ROUND((ROUND(AT165*CZ165,2)*1.2),6)</f>
        <v>0</v>
      </c>
      <c r="DC165">
        <f t="shared" ref="DC165:DC170" si="48">ROUND((ROUND(AT165*AG165,2)*1.2),6)</f>
        <v>0</v>
      </c>
      <c r="DD165" t="s">
        <v>3</v>
      </c>
      <c r="DE165" t="s">
        <v>3</v>
      </c>
      <c r="DF165">
        <f t="shared" ref="DF165:DF174" si="49">ROUND(ROUND(AE165,2)*CX165,2)</f>
        <v>0</v>
      </c>
      <c r="DG165">
        <f t="shared" si="45"/>
        <v>0</v>
      </c>
      <c r="DH165">
        <f t="shared" si="43"/>
        <v>0</v>
      </c>
      <c r="DI165">
        <f t="shared" si="37"/>
        <v>0</v>
      </c>
      <c r="DJ165">
        <f>DI165</f>
        <v>0</v>
      </c>
      <c r="DK165">
        <v>0</v>
      </c>
      <c r="DL165" t="s">
        <v>3</v>
      </c>
      <c r="DM165">
        <v>0</v>
      </c>
      <c r="DN165" t="s">
        <v>3</v>
      </c>
      <c r="DO165">
        <v>0</v>
      </c>
    </row>
    <row r="166" spans="1:119" x14ac:dyDescent="0.25">
      <c r="A166">
        <f>ROW(Source!A132)</f>
        <v>132</v>
      </c>
      <c r="B166">
        <v>57014140</v>
      </c>
      <c r="C166">
        <v>57015340</v>
      </c>
      <c r="D166">
        <v>55424304</v>
      </c>
      <c r="E166">
        <v>1081</v>
      </c>
      <c r="F166">
        <v>1</v>
      </c>
      <c r="G166">
        <v>1081</v>
      </c>
      <c r="H166">
        <v>1</v>
      </c>
      <c r="I166" t="s">
        <v>385</v>
      </c>
      <c r="J166" t="s">
        <v>3</v>
      </c>
      <c r="K166" t="s">
        <v>386</v>
      </c>
      <c r="L166">
        <v>1191</v>
      </c>
      <c r="N166">
        <v>1013</v>
      </c>
      <c r="O166" t="s">
        <v>387</v>
      </c>
      <c r="P166" t="s">
        <v>387</v>
      </c>
      <c r="Q166">
        <v>1</v>
      </c>
      <c r="W166">
        <v>0</v>
      </c>
      <c r="X166">
        <v>476480486</v>
      </c>
      <c r="Y166">
        <f t="shared" si="46"/>
        <v>8.64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1</v>
      </c>
      <c r="AJ166">
        <v>1</v>
      </c>
      <c r="AK166">
        <v>1</v>
      </c>
      <c r="AL166">
        <v>1</v>
      </c>
      <c r="AM166">
        <v>5</v>
      </c>
      <c r="AN166">
        <v>0</v>
      </c>
      <c r="AO166">
        <v>1</v>
      </c>
      <c r="AP166">
        <v>1</v>
      </c>
      <c r="AQ166">
        <v>0</v>
      </c>
      <c r="AR166">
        <v>0</v>
      </c>
      <c r="AS166" t="s">
        <v>3</v>
      </c>
      <c r="AT166">
        <v>7.2</v>
      </c>
      <c r="AU166" t="s">
        <v>71</v>
      </c>
      <c r="AV166">
        <v>1</v>
      </c>
      <c r="AW166">
        <v>2</v>
      </c>
      <c r="AX166">
        <v>57015341</v>
      </c>
      <c r="AY166">
        <v>1</v>
      </c>
      <c r="AZ166">
        <v>0</v>
      </c>
      <c r="BA166">
        <v>216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CU166">
        <f>ROUND(AT166*Source!I132*AH166*AL166,2)</f>
        <v>0</v>
      </c>
      <c r="CV166">
        <f>ROUND(Y166*Source!I132,9)</f>
        <v>17.28</v>
      </c>
      <c r="CW166">
        <v>0</v>
      </c>
      <c r="CX166">
        <f>ROUND(Y166*Source!I132,9)</f>
        <v>17.28</v>
      </c>
      <c r="CY166">
        <f>AD166</f>
        <v>0</v>
      </c>
      <c r="CZ166">
        <f>AH166</f>
        <v>0</v>
      </c>
      <c r="DA166">
        <f>AL166</f>
        <v>1</v>
      </c>
      <c r="DB166">
        <f t="shared" si="47"/>
        <v>0</v>
      </c>
      <c r="DC166">
        <f t="shared" si="48"/>
        <v>0</v>
      </c>
      <c r="DD166" t="s">
        <v>3</v>
      </c>
      <c r="DE166" t="s">
        <v>3</v>
      </c>
      <c r="DF166">
        <f t="shared" si="49"/>
        <v>0</v>
      </c>
      <c r="DG166">
        <f t="shared" si="45"/>
        <v>0</v>
      </c>
      <c r="DH166">
        <f t="shared" si="43"/>
        <v>0</v>
      </c>
      <c r="DI166">
        <f t="shared" si="37"/>
        <v>0</v>
      </c>
      <c r="DJ166">
        <f>DI166</f>
        <v>0</v>
      </c>
      <c r="DK166">
        <v>0</v>
      </c>
      <c r="DL166" t="s">
        <v>3</v>
      </c>
      <c r="DM166">
        <v>0</v>
      </c>
      <c r="DN166" t="s">
        <v>3</v>
      </c>
      <c r="DO166">
        <v>0</v>
      </c>
    </row>
    <row r="167" spans="1:119" x14ac:dyDescent="0.25">
      <c r="A167">
        <f>ROW(Source!A133)</f>
        <v>133</v>
      </c>
      <c r="B167">
        <v>57014138</v>
      </c>
      <c r="C167">
        <v>57014622</v>
      </c>
      <c r="D167">
        <v>55424304</v>
      </c>
      <c r="E167">
        <v>1081</v>
      </c>
      <c r="F167">
        <v>1</v>
      </c>
      <c r="G167">
        <v>1081</v>
      </c>
      <c r="H167">
        <v>1</v>
      </c>
      <c r="I167" t="s">
        <v>385</v>
      </c>
      <c r="J167" t="s">
        <v>3</v>
      </c>
      <c r="K167" t="s">
        <v>386</v>
      </c>
      <c r="L167">
        <v>1191</v>
      </c>
      <c r="N167">
        <v>1013</v>
      </c>
      <c r="O167" t="s">
        <v>387</v>
      </c>
      <c r="P167" t="s">
        <v>387</v>
      </c>
      <c r="Q167">
        <v>1</v>
      </c>
      <c r="W167">
        <v>0</v>
      </c>
      <c r="X167">
        <v>476480486</v>
      </c>
      <c r="Y167">
        <f t="shared" si="46"/>
        <v>14.04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1</v>
      </c>
      <c r="AJ167">
        <v>1</v>
      </c>
      <c r="AK167">
        <v>1</v>
      </c>
      <c r="AL167">
        <v>1</v>
      </c>
      <c r="AM167">
        <v>-2</v>
      </c>
      <c r="AN167">
        <v>0</v>
      </c>
      <c r="AO167">
        <v>1</v>
      </c>
      <c r="AP167">
        <v>1</v>
      </c>
      <c r="AQ167">
        <v>0</v>
      </c>
      <c r="AR167">
        <v>0</v>
      </c>
      <c r="AS167" t="s">
        <v>3</v>
      </c>
      <c r="AT167">
        <v>11.7</v>
      </c>
      <c r="AU167" t="s">
        <v>71</v>
      </c>
      <c r="AV167">
        <v>1</v>
      </c>
      <c r="AW167">
        <v>2</v>
      </c>
      <c r="AX167">
        <v>57014624</v>
      </c>
      <c r="AY167">
        <v>1</v>
      </c>
      <c r="AZ167">
        <v>0</v>
      </c>
      <c r="BA167">
        <v>217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CU167">
        <f>ROUND(AT167*Source!I133*AH167*AL167,2)</f>
        <v>0</v>
      </c>
      <c r="CV167">
        <f>ROUND(Y167*Source!I133,9)</f>
        <v>28.08</v>
      </c>
      <c r="CW167">
        <v>0</v>
      </c>
      <c r="CX167">
        <f>ROUND(Y167*Source!I133,9)</f>
        <v>28.08</v>
      </c>
      <c r="CY167">
        <f>AD167</f>
        <v>0</v>
      </c>
      <c r="CZ167">
        <f>AH167</f>
        <v>0</v>
      </c>
      <c r="DA167">
        <f>AL167</f>
        <v>1</v>
      </c>
      <c r="DB167">
        <f t="shared" si="47"/>
        <v>0</v>
      </c>
      <c r="DC167">
        <f t="shared" si="48"/>
        <v>0</v>
      </c>
      <c r="DD167" t="s">
        <v>3</v>
      </c>
      <c r="DE167" t="s">
        <v>3</v>
      </c>
      <c r="DF167">
        <f t="shared" si="49"/>
        <v>0</v>
      </c>
      <c r="DG167">
        <f t="shared" si="45"/>
        <v>0</v>
      </c>
      <c r="DH167">
        <f t="shared" si="43"/>
        <v>0</v>
      </c>
      <c r="DI167">
        <f t="shared" si="37"/>
        <v>0</v>
      </c>
      <c r="DJ167">
        <f>DI167</f>
        <v>0</v>
      </c>
      <c r="DK167">
        <v>0</v>
      </c>
      <c r="DL167" t="s">
        <v>3</v>
      </c>
      <c r="DM167">
        <v>0</v>
      </c>
      <c r="DN167" t="s">
        <v>3</v>
      </c>
      <c r="DO167">
        <v>0</v>
      </c>
    </row>
    <row r="168" spans="1:119" x14ac:dyDescent="0.25">
      <c r="A168">
        <f>ROW(Source!A134)</f>
        <v>134</v>
      </c>
      <c r="B168">
        <v>57014140</v>
      </c>
      <c r="C168">
        <v>57014622</v>
      </c>
      <c r="D168">
        <v>55424304</v>
      </c>
      <c r="E168">
        <v>1081</v>
      </c>
      <c r="F168">
        <v>1</v>
      </c>
      <c r="G168">
        <v>1081</v>
      </c>
      <c r="H168">
        <v>1</v>
      </c>
      <c r="I168" t="s">
        <v>385</v>
      </c>
      <c r="J168" t="s">
        <v>3</v>
      </c>
      <c r="K168" t="s">
        <v>386</v>
      </c>
      <c r="L168">
        <v>1191</v>
      </c>
      <c r="N168">
        <v>1013</v>
      </c>
      <c r="O168" t="s">
        <v>387</v>
      </c>
      <c r="P168" t="s">
        <v>387</v>
      </c>
      <c r="Q168">
        <v>1</v>
      </c>
      <c r="W168">
        <v>0</v>
      </c>
      <c r="X168">
        <v>476480486</v>
      </c>
      <c r="Y168">
        <f t="shared" si="46"/>
        <v>14.04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1</v>
      </c>
      <c r="AJ168">
        <v>1</v>
      </c>
      <c r="AK168">
        <v>1</v>
      </c>
      <c r="AL168">
        <v>1</v>
      </c>
      <c r="AM168">
        <v>5</v>
      </c>
      <c r="AN168">
        <v>0</v>
      </c>
      <c r="AO168">
        <v>1</v>
      </c>
      <c r="AP168">
        <v>1</v>
      </c>
      <c r="AQ168">
        <v>0</v>
      </c>
      <c r="AR168">
        <v>0</v>
      </c>
      <c r="AS168" t="s">
        <v>3</v>
      </c>
      <c r="AT168">
        <v>11.7</v>
      </c>
      <c r="AU168" t="s">
        <v>71</v>
      </c>
      <c r="AV168">
        <v>1</v>
      </c>
      <c r="AW168">
        <v>2</v>
      </c>
      <c r="AX168">
        <v>57014624</v>
      </c>
      <c r="AY168">
        <v>1</v>
      </c>
      <c r="AZ168">
        <v>0</v>
      </c>
      <c r="BA168">
        <v>218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  <c r="CU168">
        <f>ROUND(AT168*Source!I134*AH168*AL168,2)</f>
        <v>0</v>
      </c>
      <c r="CV168">
        <f>ROUND(Y168*Source!I134,9)</f>
        <v>28.08</v>
      </c>
      <c r="CW168">
        <v>0</v>
      </c>
      <c r="CX168">
        <f>ROUND(Y168*Source!I134,9)</f>
        <v>28.08</v>
      </c>
      <c r="CY168">
        <f>AD168</f>
        <v>0</v>
      </c>
      <c r="CZ168">
        <f>AH168</f>
        <v>0</v>
      </c>
      <c r="DA168">
        <f>AL168</f>
        <v>1</v>
      </c>
      <c r="DB168">
        <f t="shared" si="47"/>
        <v>0</v>
      </c>
      <c r="DC168">
        <f t="shared" si="48"/>
        <v>0</v>
      </c>
      <c r="DD168" t="s">
        <v>3</v>
      </c>
      <c r="DE168" t="s">
        <v>3</v>
      </c>
      <c r="DF168">
        <f t="shared" si="49"/>
        <v>0</v>
      </c>
      <c r="DG168">
        <f t="shared" si="45"/>
        <v>0</v>
      </c>
      <c r="DH168">
        <f t="shared" si="43"/>
        <v>0</v>
      </c>
      <c r="DI168">
        <f t="shared" si="37"/>
        <v>0</v>
      </c>
      <c r="DJ168">
        <f>DI168</f>
        <v>0</v>
      </c>
      <c r="DK168">
        <v>0</v>
      </c>
      <c r="DL168" t="s">
        <v>3</v>
      </c>
      <c r="DM168">
        <v>0</v>
      </c>
      <c r="DN168" t="s">
        <v>3</v>
      </c>
      <c r="DO168">
        <v>0</v>
      </c>
    </row>
    <row r="169" spans="1:119" x14ac:dyDescent="0.25">
      <c r="A169">
        <f>ROW(Source!A137)</f>
        <v>137</v>
      </c>
      <c r="B169">
        <v>57014138</v>
      </c>
      <c r="C169">
        <v>57014630</v>
      </c>
      <c r="D169">
        <v>55424304</v>
      </c>
      <c r="E169">
        <v>1081</v>
      </c>
      <c r="F169">
        <v>1</v>
      </c>
      <c r="G169">
        <v>1081</v>
      </c>
      <c r="H169">
        <v>1</v>
      </c>
      <c r="I169" t="s">
        <v>385</v>
      </c>
      <c r="J169" t="s">
        <v>3</v>
      </c>
      <c r="K169" t="s">
        <v>386</v>
      </c>
      <c r="L169">
        <v>1191</v>
      </c>
      <c r="N169">
        <v>1013</v>
      </c>
      <c r="O169" t="s">
        <v>387</v>
      </c>
      <c r="P169" t="s">
        <v>387</v>
      </c>
      <c r="Q169">
        <v>1</v>
      </c>
      <c r="W169">
        <v>0</v>
      </c>
      <c r="X169">
        <v>476480486</v>
      </c>
      <c r="Y169">
        <f t="shared" si="46"/>
        <v>7.4399999999999995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1</v>
      </c>
      <c r="AJ169">
        <v>1</v>
      </c>
      <c r="AK169">
        <v>1</v>
      </c>
      <c r="AL169">
        <v>1</v>
      </c>
      <c r="AM169">
        <v>-2</v>
      </c>
      <c r="AN169">
        <v>0</v>
      </c>
      <c r="AO169">
        <v>1</v>
      </c>
      <c r="AP169">
        <v>1</v>
      </c>
      <c r="AQ169">
        <v>0</v>
      </c>
      <c r="AR169">
        <v>0</v>
      </c>
      <c r="AS169" t="s">
        <v>3</v>
      </c>
      <c r="AT169">
        <v>6.2</v>
      </c>
      <c r="AU169" t="s">
        <v>71</v>
      </c>
      <c r="AV169">
        <v>1</v>
      </c>
      <c r="AW169">
        <v>2</v>
      </c>
      <c r="AX169">
        <v>57014635</v>
      </c>
      <c r="AY169">
        <v>1</v>
      </c>
      <c r="AZ169">
        <v>0</v>
      </c>
      <c r="BA169">
        <v>219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CU169">
        <f>ROUND(AT169*Source!I137*AH169*AL169,2)</f>
        <v>0</v>
      </c>
      <c r="CV169">
        <f>ROUND(Y169*Source!I137,9)</f>
        <v>7.44</v>
      </c>
      <c r="CW169">
        <v>0</v>
      </c>
      <c r="CX169">
        <f>ROUND(Y169*Source!I137,9)</f>
        <v>7.44</v>
      </c>
      <c r="CY169">
        <f>AD169</f>
        <v>0</v>
      </c>
      <c r="CZ169">
        <f>AH169</f>
        <v>0</v>
      </c>
      <c r="DA169">
        <f>AL169</f>
        <v>1</v>
      </c>
      <c r="DB169">
        <f t="shared" si="47"/>
        <v>0</v>
      </c>
      <c r="DC169">
        <f t="shared" si="48"/>
        <v>0</v>
      </c>
      <c r="DD169" t="s">
        <v>3</v>
      </c>
      <c r="DE169" t="s">
        <v>3</v>
      </c>
      <c r="DF169">
        <f t="shared" si="49"/>
        <v>0</v>
      </c>
      <c r="DG169">
        <f t="shared" si="45"/>
        <v>0</v>
      </c>
      <c r="DH169">
        <f t="shared" si="43"/>
        <v>0</v>
      </c>
      <c r="DI169">
        <f t="shared" si="37"/>
        <v>0</v>
      </c>
      <c r="DJ169">
        <f>DI169</f>
        <v>0</v>
      </c>
      <c r="DK169">
        <v>0</v>
      </c>
      <c r="DL169" t="s">
        <v>3</v>
      </c>
      <c r="DM169">
        <v>0</v>
      </c>
      <c r="DN169" t="s">
        <v>3</v>
      </c>
      <c r="DO169">
        <v>0</v>
      </c>
    </row>
    <row r="170" spans="1:119" x14ac:dyDescent="0.25">
      <c r="A170">
        <f>ROW(Source!A137)</f>
        <v>137</v>
      </c>
      <c r="B170">
        <v>57014138</v>
      </c>
      <c r="C170">
        <v>57014630</v>
      </c>
      <c r="D170">
        <v>55489513</v>
      </c>
      <c r="E170">
        <v>1</v>
      </c>
      <c r="F170">
        <v>1</v>
      </c>
      <c r="G170">
        <v>1081</v>
      </c>
      <c r="H170">
        <v>2</v>
      </c>
      <c r="I170" t="s">
        <v>388</v>
      </c>
      <c r="J170" t="s">
        <v>389</v>
      </c>
      <c r="K170" t="s">
        <v>390</v>
      </c>
      <c r="L170">
        <v>1368</v>
      </c>
      <c r="N170">
        <v>1011</v>
      </c>
      <c r="O170" t="s">
        <v>391</v>
      </c>
      <c r="P170" t="s">
        <v>391</v>
      </c>
      <c r="Q170">
        <v>1</v>
      </c>
      <c r="W170">
        <v>0</v>
      </c>
      <c r="X170">
        <v>-1520980008</v>
      </c>
      <c r="Y170">
        <f t="shared" si="46"/>
        <v>0.3</v>
      </c>
      <c r="AA170">
        <v>0</v>
      </c>
      <c r="AB170">
        <v>120.23</v>
      </c>
      <c r="AC170">
        <v>13.21</v>
      </c>
      <c r="AD170">
        <v>0</v>
      </c>
      <c r="AE170">
        <v>0</v>
      </c>
      <c r="AF170">
        <v>114.83</v>
      </c>
      <c r="AG170">
        <v>12.62</v>
      </c>
      <c r="AH170">
        <v>0</v>
      </c>
      <c r="AI170">
        <v>1</v>
      </c>
      <c r="AJ170">
        <v>1</v>
      </c>
      <c r="AK170">
        <v>1</v>
      </c>
      <c r="AL170">
        <v>1</v>
      </c>
      <c r="AM170">
        <v>-2</v>
      </c>
      <c r="AN170">
        <v>0</v>
      </c>
      <c r="AO170">
        <v>1</v>
      </c>
      <c r="AP170">
        <v>1</v>
      </c>
      <c r="AQ170">
        <v>0</v>
      </c>
      <c r="AR170">
        <v>0</v>
      </c>
      <c r="AS170" t="s">
        <v>3</v>
      </c>
      <c r="AT170">
        <v>0.25</v>
      </c>
      <c r="AU170" t="s">
        <v>71</v>
      </c>
      <c r="AV170">
        <v>0</v>
      </c>
      <c r="AW170">
        <v>2</v>
      </c>
      <c r="AX170">
        <v>57014636</v>
      </c>
      <c r="AY170">
        <v>1</v>
      </c>
      <c r="AZ170">
        <v>0</v>
      </c>
      <c r="BA170">
        <v>220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CV170">
        <v>0</v>
      </c>
      <c r="CW170">
        <f>ROUND(Y170*Source!I137*DO170,9)</f>
        <v>3.786</v>
      </c>
      <c r="CX170">
        <f>ROUND(Y170*Source!I137,9)</f>
        <v>0.3</v>
      </c>
      <c r="CY170">
        <f>AB170</f>
        <v>120.23</v>
      </c>
      <c r="CZ170">
        <f>AF170</f>
        <v>114.83</v>
      </c>
      <c r="DA170">
        <f>AJ170</f>
        <v>1</v>
      </c>
      <c r="DB170">
        <f t="shared" si="47"/>
        <v>34.451999999999998</v>
      </c>
      <c r="DC170">
        <f t="shared" si="48"/>
        <v>3.7919999999999998</v>
      </c>
      <c r="DD170" t="s">
        <v>3</v>
      </c>
      <c r="DE170" t="s">
        <v>3</v>
      </c>
      <c r="DF170">
        <f t="shared" si="49"/>
        <v>0</v>
      </c>
      <c r="DG170">
        <f t="shared" si="45"/>
        <v>34.450000000000003</v>
      </c>
      <c r="DH170">
        <f t="shared" si="43"/>
        <v>3.79</v>
      </c>
      <c r="DI170">
        <f t="shared" si="37"/>
        <v>0</v>
      </c>
      <c r="DJ170">
        <f>DG170</f>
        <v>34.450000000000003</v>
      </c>
      <c r="DK170">
        <v>0</v>
      </c>
      <c r="DL170" t="s">
        <v>392</v>
      </c>
      <c r="DM170">
        <v>0</v>
      </c>
      <c r="DN170" t="s">
        <v>387</v>
      </c>
      <c r="DO170">
        <v>12.62</v>
      </c>
    </row>
    <row r="171" spans="1:119" x14ac:dyDescent="0.25">
      <c r="A171">
        <f>ROW(Source!A137)</f>
        <v>137</v>
      </c>
      <c r="B171">
        <v>57014138</v>
      </c>
      <c r="C171">
        <v>57014630</v>
      </c>
      <c r="D171">
        <v>55461719</v>
      </c>
      <c r="E171">
        <v>1</v>
      </c>
      <c r="F171">
        <v>1</v>
      </c>
      <c r="G171">
        <v>1081</v>
      </c>
      <c r="H171">
        <v>3</v>
      </c>
      <c r="I171" t="s">
        <v>409</v>
      </c>
      <c r="J171" t="s">
        <v>410</v>
      </c>
      <c r="K171" t="s">
        <v>411</v>
      </c>
      <c r="L171">
        <v>1348</v>
      </c>
      <c r="N171">
        <v>1009</v>
      </c>
      <c r="O171" t="s">
        <v>361</v>
      </c>
      <c r="P171" t="s">
        <v>361</v>
      </c>
      <c r="Q171">
        <v>1000</v>
      </c>
      <c r="W171">
        <v>0</v>
      </c>
      <c r="X171">
        <v>-1265888387</v>
      </c>
      <c r="Y171">
        <f>(AT171*1)</f>
        <v>1.1000000000000001E-3</v>
      </c>
      <c r="AA171">
        <v>10643.18</v>
      </c>
      <c r="AB171">
        <v>0</v>
      </c>
      <c r="AC171">
        <v>0</v>
      </c>
      <c r="AD171">
        <v>0</v>
      </c>
      <c r="AE171">
        <v>10643.18</v>
      </c>
      <c r="AF171">
        <v>0</v>
      </c>
      <c r="AG171">
        <v>0</v>
      </c>
      <c r="AH171">
        <v>0</v>
      </c>
      <c r="AI171">
        <v>1</v>
      </c>
      <c r="AJ171">
        <v>1</v>
      </c>
      <c r="AK171">
        <v>1</v>
      </c>
      <c r="AL171">
        <v>1</v>
      </c>
      <c r="AM171">
        <v>-2</v>
      </c>
      <c r="AN171">
        <v>0</v>
      </c>
      <c r="AO171">
        <v>1</v>
      </c>
      <c r="AP171">
        <v>1</v>
      </c>
      <c r="AQ171">
        <v>0</v>
      </c>
      <c r="AR171">
        <v>0</v>
      </c>
      <c r="AS171" t="s">
        <v>3</v>
      </c>
      <c r="AT171">
        <v>1.1000000000000001E-3</v>
      </c>
      <c r="AU171" t="s">
        <v>70</v>
      </c>
      <c r="AV171">
        <v>0</v>
      </c>
      <c r="AW171">
        <v>2</v>
      </c>
      <c r="AX171">
        <v>57014637</v>
      </c>
      <c r="AY171">
        <v>1</v>
      </c>
      <c r="AZ171">
        <v>0</v>
      </c>
      <c r="BA171">
        <v>221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</v>
      </c>
      <c r="CV171">
        <v>0</v>
      </c>
      <c r="CW171">
        <v>0</v>
      </c>
      <c r="CX171">
        <f>ROUND(Y171*Source!I137,9)</f>
        <v>1.1000000000000001E-3</v>
      </c>
      <c r="CY171">
        <f>AA171</f>
        <v>10643.18</v>
      </c>
      <c r="CZ171">
        <f>AE171</f>
        <v>10643.18</v>
      </c>
      <c r="DA171">
        <f>AI171</f>
        <v>1</v>
      </c>
      <c r="DB171">
        <f>ROUND((ROUND(AT171*CZ171,2)*1),6)</f>
        <v>11.71</v>
      </c>
      <c r="DC171">
        <f>ROUND((ROUND(AT171*AG171,2)*1),6)</f>
        <v>0</v>
      </c>
      <c r="DD171" t="s">
        <v>3</v>
      </c>
      <c r="DE171" t="s">
        <v>3</v>
      </c>
      <c r="DF171">
        <f t="shared" si="49"/>
        <v>11.71</v>
      </c>
      <c r="DG171">
        <f t="shared" si="45"/>
        <v>0</v>
      </c>
      <c r="DH171">
        <f t="shared" si="43"/>
        <v>0</v>
      </c>
      <c r="DI171">
        <f t="shared" si="37"/>
        <v>0</v>
      </c>
      <c r="DJ171">
        <f>DF171</f>
        <v>11.71</v>
      </c>
      <c r="DK171">
        <v>0</v>
      </c>
      <c r="DL171" t="s">
        <v>3</v>
      </c>
      <c r="DM171">
        <v>0</v>
      </c>
      <c r="DN171" t="s">
        <v>3</v>
      </c>
      <c r="DO171">
        <v>0</v>
      </c>
    </row>
    <row r="172" spans="1:119" x14ac:dyDescent="0.25">
      <c r="A172">
        <f>ROW(Source!A137)</f>
        <v>137</v>
      </c>
      <c r="B172">
        <v>57014138</v>
      </c>
      <c r="C172">
        <v>57014630</v>
      </c>
      <c r="D172">
        <v>55459793</v>
      </c>
      <c r="E172">
        <v>1</v>
      </c>
      <c r="F172">
        <v>1</v>
      </c>
      <c r="G172">
        <v>1081</v>
      </c>
      <c r="H172">
        <v>3</v>
      </c>
      <c r="I172" t="s">
        <v>412</v>
      </c>
      <c r="J172" t="s">
        <v>413</v>
      </c>
      <c r="K172" t="s">
        <v>414</v>
      </c>
      <c r="L172">
        <v>1348</v>
      </c>
      <c r="N172">
        <v>1009</v>
      </c>
      <c r="O172" t="s">
        <v>361</v>
      </c>
      <c r="P172" t="s">
        <v>361</v>
      </c>
      <c r="Q172">
        <v>1000</v>
      </c>
      <c r="W172">
        <v>0</v>
      </c>
      <c r="X172">
        <v>-761454284</v>
      </c>
      <c r="Y172">
        <f>(AT172*1)</f>
        <v>1.0000000000000001E-5</v>
      </c>
      <c r="AA172">
        <v>64123.05</v>
      </c>
      <c r="AB172">
        <v>0</v>
      </c>
      <c r="AC172">
        <v>0</v>
      </c>
      <c r="AD172">
        <v>0</v>
      </c>
      <c r="AE172">
        <v>64123.05</v>
      </c>
      <c r="AF172">
        <v>0</v>
      </c>
      <c r="AG172">
        <v>0</v>
      </c>
      <c r="AH172">
        <v>0</v>
      </c>
      <c r="AI172">
        <v>1</v>
      </c>
      <c r="AJ172">
        <v>1</v>
      </c>
      <c r="AK172">
        <v>1</v>
      </c>
      <c r="AL172">
        <v>1</v>
      </c>
      <c r="AM172">
        <v>-2</v>
      </c>
      <c r="AN172">
        <v>0</v>
      </c>
      <c r="AO172">
        <v>1</v>
      </c>
      <c r="AP172">
        <v>1</v>
      </c>
      <c r="AQ172">
        <v>0</v>
      </c>
      <c r="AR172">
        <v>0</v>
      </c>
      <c r="AS172" t="s">
        <v>3</v>
      </c>
      <c r="AT172">
        <v>1.0000000000000001E-5</v>
      </c>
      <c r="AU172" t="s">
        <v>70</v>
      </c>
      <c r="AV172">
        <v>0</v>
      </c>
      <c r="AW172">
        <v>2</v>
      </c>
      <c r="AX172">
        <v>57014638</v>
      </c>
      <c r="AY172">
        <v>1</v>
      </c>
      <c r="AZ172">
        <v>0</v>
      </c>
      <c r="BA172">
        <v>222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CV172">
        <v>0</v>
      </c>
      <c r="CW172">
        <v>0</v>
      </c>
      <c r="CX172">
        <f>ROUND(Y172*Source!I137,9)</f>
        <v>1.0000000000000001E-5</v>
      </c>
      <c r="CY172">
        <f>AA172</f>
        <v>64123.05</v>
      </c>
      <c r="CZ172">
        <f>AE172</f>
        <v>64123.05</v>
      </c>
      <c r="DA172">
        <f>AI172</f>
        <v>1</v>
      </c>
      <c r="DB172">
        <f>ROUND((ROUND(AT172*CZ172,2)*1),6)</f>
        <v>0.64</v>
      </c>
      <c r="DC172">
        <f>ROUND((ROUND(AT172*AG172,2)*1),6)</f>
        <v>0</v>
      </c>
      <c r="DD172" t="s">
        <v>3</v>
      </c>
      <c r="DE172" t="s">
        <v>3</v>
      </c>
      <c r="DF172">
        <f t="shared" si="49"/>
        <v>0.64</v>
      </c>
      <c r="DG172">
        <f t="shared" si="45"/>
        <v>0</v>
      </c>
      <c r="DH172">
        <f t="shared" si="43"/>
        <v>0</v>
      </c>
      <c r="DI172">
        <f t="shared" si="37"/>
        <v>0</v>
      </c>
      <c r="DJ172">
        <f>DF172</f>
        <v>0.64</v>
      </c>
      <c r="DK172">
        <v>0</v>
      </c>
      <c r="DL172" t="s">
        <v>3</v>
      </c>
      <c r="DM172">
        <v>0</v>
      </c>
      <c r="DN172" t="s">
        <v>3</v>
      </c>
      <c r="DO172">
        <v>0</v>
      </c>
    </row>
    <row r="173" spans="1:119" x14ac:dyDescent="0.25">
      <c r="A173">
        <f>ROW(Source!A138)</f>
        <v>138</v>
      </c>
      <c r="B173">
        <v>57014140</v>
      </c>
      <c r="C173">
        <v>57014630</v>
      </c>
      <c r="D173">
        <v>55424304</v>
      </c>
      <c r="E173">
        <v>1081</v>
      </c>
      <c r="F173">
        <v>1</v>
      </c>
      <c r="G173">
        <v>1081</v>
      </c>
      <c r="H173">
        <v>1</v>
      </c>
      <c r="I173" t="s">
        <v>385</v>
      </c>
      <c r="J173" t="s">
        <v>3</v>
      </c>
      <c r="K173" t="s">
        <v>386</v>
      </c>
      <c r="L173">
        <v>1191</v>
      </c>
      <c r="N173">
        <v>1013</v>
      </c>
      <c r="O173" t="s">
        <v>387</v>
      </c>
      <c r="P173" t="s">
        <v>387</v>
      </c>
      <c r="Q173">
        <v>1</v>
      </c>
      <c r="W173">
        <v>0</v>
      </c>
      <c r="X173">
        <v>476480486</v>
      </c>
      <c r="Y173">
        <f>(AT173*1.2)</f>
        <v>7.4399999999999995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1</v>
      </c>
      <c r="AJ173">
        <v>1</v>
      </c>
      <c r="AK173">
        <v>1</v>
      </c>
      <c r="AL173">
        <v>1</v>
      </c>
      <c r="AM173">
        <v>5</v>
      </c>
      <c r="AN173">
        <v>0</v>
      </c>
      <c r="AO173">
        <v>1</v>
      </c>
      <c r="AP173">
        <v>1</v>
      </c>
      <c r="AQ173">
        <v>0</v>
      </c>
      <c r="AR173">
        <v>0</v>
      </c>
      <c r="AS173" t="s">
        <v>3</v>
      </c>
      <c r="AT173">
        <v>6.2</v>
      </c>
      <c r="AU173" t="s">
        <v>71</v>
      </c>
      <c r="AV173">
        <v>1</v>
      </c>
      <c r="AW173">
        <v>2</v>
      </c>
      <c r="AX173">
        <v>57014635</v>
      </c>
      <c r="AY173">
        <v>1</v>
      </c>
      <c r="AZ173">
        <v>0</v>
      </c>
      <c r="BA173">
        <v>224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</v>
      </c>
      <c r="CU173">
        <f>ROUND(AT173*Source!I138*AH173*AL173,2)</f>
        <v>0</v>
      </c>
      <c r="CV173">
        <f>ROUND(Y173*Source!I138,9)</f>
        <v>7.44</v>
      </c>
      <c r="CW173">
        <v>0</v>
      </c>
      <c r="CX173">
        <f>ROUND(Y173*Source!I138,9)</f>
        <v>7.44</v>
      </c>
      <c r="CY173">
        <f>AD173</f>
        <v>0</v>
      </c>
      <c r="CZ173">
        <f>AH173</f>
        <v>0</v>
      </c>
      <c r="DA173">
        <f>AL173</f>
        <v>1</v>
      </c>
      <c r="DB173">
        <f>ROUND((ROUND(AT173*CZ173,2)*1.2),6)</f>
        <v>0</v>
      </c>
      <c r="DC173">
        <f>ROUND((ROUND(AT173*AG173,2)*1.2),6)</f>
        <v>0</v>
      </c>
      <c r="DD173" t="s">
        <v>3</v>
      </c>
      <c r="DE173" t="s">
        <v>3</v>
      </c>
      <c r="DF173">
        <f t="shared" si="49"/>
        <v>0</v>
      </c>
      <c r="DG173">
        <f t="shared" si="45"/>
        <v>0</v>
      </c>
      <c r="DH173">
        <f t="shared" si="43"/>
        <v>0</v>
      </c>
      <c r="DI173">
        <f t="shared" si="37"/>
        <v>0</v>
      </c>
      <c r="DJ173">
        <f>DI173</f>
        <v>0</v>
      </c>
      <c r="DK173">
        <v>0</v>
      </c>
      <c r="DL173" t="s">
        <v>3</v>
      </c>
      <c r="DM173">
        <v>0</v>
      </c>
      <c r="DN173" t="s">
        <v>3</v>
      </c>
      <c r="DO173">
        <v>0</v>
      </c>
    </row>
    <row r="174" spans="1:119" x14ac:dyDescent="0.25">
      <c r="A174">
        <f>ROW(Source!A138)</f>
        <v>138</v>
      </c>
      <c r="B174">
        <v>57014140</v>
      </c>
      <c r="C174">
        <v>57014630</v>
      </c>
      <c r="D174">
        <v>55489513</v>
      </c>
      <c r="E174">
        <v>1</v>
      </c>
      <c r="F174">
        <v>1</v>
      </c>
      <c r="G174">
        <v>1081</v>
      </c>
      <c r="H174">
        <v>2</v>
      </c>
      <c r="I174" t="s">
        <v>388</v>
      </c>
      <c r="J174" t="s">
        <v>389</v>
      </c>
      <c r="K174" t="s">
        <v>390</v>
      </c>
      <c r="L174">
        <v>1368</v>
      </c>
      <c r="N174">
        <v>1011</v>
      </c>
      <c r="O174" t="s">
        <v>391</v>
      </c>
      <c r="P174" t="s">
        <v>391</v>
      </c>
      <c r="Q174">
        <v>1</v>
      </c>
      <c r="W174">
        <v>0</v>
      </c>
      <c r="X174">
        <v>-1520980008</v>
      </c>
      <c r="Y174">
        <f>(AT174*1.2)</f>
        <v>0.3</v>
      </c>
      <c r="AA174">
        <v>0</v>
      </c>
      <c r="AB174">
        <v>1942.87</v>
      </c>
      <c r="AC174">
        <v>744.56</v>
      </c>
      <c r="AD174">
        <v>0</v>
      </c>
      <c r="AE174">
        <v>0</v>
      </c>
      <c r="AF174">
        <v>114.83</v>
      </c>
      <c r="AG174">
        <v>12.62</v>
      </c>
      <c r="AH174">
        <v>0</v>
      </c>
      <c r="AI174">
        <v>1</v>
      </c>
      <c r="AJ174">
        <v>16.16</v>
      </c>
      <c r="AK174">
        <v>56.35</v>
      </c>
      <c r="AL174">
        <v>1</v>
      </c>
      <c r="AM174">
        <v>2</v>
      </c>
      <c r="AN174">
        <v>0</v>
      </c>
      <c r="AO174">
        <v>1</v>
      </c>
      <c r="AP174">
        <v>1</v>
      </c>
      <c r="AQ174">
        <v>0</v>
      </c>
      <c r="AR174">
        <v>0</v>
      </c>
      <c r="AS174" t="s">
        <v>3</v>
      </c>
      <c r="AT174">
        <v>0.25</v>
      </c>
      <c r="AU174" t="s">
        <v>71</v>
      </c>
      <c r="AV174">
        <v>0</v>
      </c>
      <c r="AW174">
        <v>2</v>
      </c>
      <c r="AX174">
        <v>57014636</v>
      </c>
      <c r="AY174">
        <v>1</v>
      </c>
      <c r="AZ174">
        <v>0</v>
      </c>
      <c r="BA174">
        <v>225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</v>
      </c>
      <c r="CV174">
        <v>0</v>
      </c>
      <c r="CW174">
        <f>ROUND(Y174*Source!I138*DO174,9)</f>
        <v>3.786</v>
      </c>
      <c r="CX174">
        <f>ROUND(Y174*Source!I138,9)</f>
        <v>0.3</v>
      </c>
      <c r="CY174">
        <f>AB174</f>
        <v>1942.87</v>
      </c>
      <c r="CZ174">
        <f>AF174</f>
        <v>114.83</v>
      </c>
      <c r="DA174">
        <f>AJ174</f>
        <v>16.16</v>
      </c>
      <c r="DB174">
        <f>ROUND((ROUND(AT174*CZ174,2)*1.2),6)</f>
        <v>34.451999999999998</v>
      </c>
      <c r="DC174">
        <f>ROUND((ROUND(AT174*AG174,2)*1.2),6)</f>
        <v>3.7919999999999998</v>
      </c>
      <c r="DD174" t="s">
        <v>3</v>
      </c>
      <c r="DE174" t="s">
        <v>3</v>
      </c>
      <c r="DF174">
        <f t="shared" si="49"/>
        <v>0</v>
      </c>
      <c r="DG174">
        <f>ROUND(ROUND(AF174*AJ174,2)*CX174,2)</f>
        <v>556.70000000000005</v>
      </c>
      <c r="DH174">
        <f>ROUND(ROUND(AG174*AK174,2)*CX174,2)</f>
        <v>213.34</v>
      </c>
      <c r="DI174">
        <f t="shared" si="37"/>
        <v>0</v>
      </c>
      <c r="DJ174">
        <f>DG174</f>
        <v>556.70000000000005</v>
      </c>
      <c r="DK174">
        <v>0</v>
      </c>
      <c r="DL174" t="s">
        <v>392</v>
      </c>
      <c r="DM174">
        <v>0</v>
      </c>
      <c r="DN174" t="s">
        <v>387</v>
      </c>
      <c r="DO174">
        <v>12.62</v>
      </c>
    </row>
    <row r="175" spans="1:119" x14ac:dyDescent="0.25">
      <c r="A175">
        <f>ROW(Source!A138)</f>
        <v>138</v>
      </c>
      <c r="B175">
        <v>57014140</v>
      </c>
      <c r="C175">
        <v>57014630</v>
      </c>
      <c r="D175">
        <v>55461719</v>
      </c>
      <c r="E175">
        <v>1</v>
      </c>
      <c r="F175">
        <v>1</v>
      </c>
      <c r="G175">
        <v>1081</v>
      </c>
      <c r="H175">
        <v>3</v>
      </c>
      <c r="I175" t="s">
        <v>409</v>
      </c>
      <c r="J175" t="s">
        <v>410</v>
      </c>
      <c r="K175" t="s">
        <v>411</v>
      </c>
      <c r="L175">
        <v>1348</v>
      </c>
      <c r="N175">
        <v>1009</v>
      </c>
      <c r="O175" t="s">
        <v>361</v>
      </c>
      <c r="P175" t="s">
        <v>361</v>
      </c>
      <c r="Q175">
        <v>1000</v>
      </c>
      <c r="W175">
        <v>0</v>
      </c>
      <c r="X175">
        <v>-1265888387</v>
      </c>
      <c r="Y175">
        <f>(AT175*1)</f>
        <v>1.1000000000000001E-3</v>
      </c>
      <c r="AA175">
        <v>147514.47</v>
      </c>
      <c r="AB175">
        <v>0</v>
      </c>
      <c r="AC175">
        <v>0</v>
      </c>
      <c r="AD175">
        <v>0</v>
      </c>
      <c r="AE175">
        <v>10643.18</v>
      </c>
      <c r="AF175">
        <v>0</v>
      </c>
      <c r="AG175">
        <v>0</v>
      </c>
      <c r="AH175">
        <v>0</v>
      </c>
      <c r="AI175">
        <v>13.86</v>
      </c>
      <c r="AJ175">
        <v>1</v>
      </c>
      <c r="AK175">
        <v>1</v>
      </c>
      <c r="AL175">
        <v>1</v>
      </c>
      <c r="AM175">
        <v>2</v>
      </c>
      <c r="AN175">
        <v>0</v>
      </c>
      <c r="AO175">
        <v>1</v>
      </c>
      <c r="AP175">
        <v>1</v>
      </c>
      <c r="AQ175">
        <v>0</v>
      </c>
      <c r="AR175">
        <v>0</v>
      </c>
      <c r="AS175" t="s">
        <v>3</v>
      </c>
      <c r="AT175">
        <v>1.1000000000000001E-3</v>
      </c>
      <c r="AU175" t="s">
        <v>70</v>
      </c>
      <c r="AV175">
        <v>0</v>
      </c>
      <c r="AW175">
        <v>2</v>
      </c>
      <c r="AX175">
        <v>57014637</v>
      </c>
      <c r="AY175">
        <v>1</v>
      </c>
      <c r="AZ175">
        <v>0</v>
      </c>
      <c r="BA175">
        <v>226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CV175">
        <v>0</v>
      </c>
      <c r="CW175">
        <v>0</v>
      </c>
      <c r="CX175">
        <f>ROUND(Y175*Source!I138,9)</f>
        <v>1.1000000000000001E-3</v>
      </c>
      <c r="CY175">
        <f>AA175</f>
        <v>147514.47</v>
      </c>
      <c r="CZ175">
        <f>AE175</f>
        <v>10643.18</v>
      </c>
      <c r="DA175">
        <f>AI175</f>
        <v>13.86</v>
      </c>
      <c r="DB175">
        <f>ROUND((ROUND(AT175*CZ175,2)*1),6)</f>
        <v>11.71</v>
      </c>
      <c r="DC175">
        <f>ROUND((ROUND(AT175*AG175,2)*1),6)</f>
        <v>0</v>
      </c>
      <c r="DD175" t="s">
        <v>3</v>
      </c>
      <c r="DE175" t="s">
        <v>3</v>
      </c>
      <c r="DF175">
        <f>ROUND(ROUND(AE175*AI175,2)*CX175,2)</f>
        <v>162.27000000000001</v>
      </c>
      <c r="DG175">
        <f t="shared" ref="DG175:DG183" si="50">ROUND(ROUND(AF175,2)*CX175,2)</f>
        <v>0</v>
      </c>
      <c r="DH175">
        <f t="shared" ref="DH175:DH195" si="51">ROUND(ROUND(AG175,2)*CX175,2)</f>
        <v>0</v>
      </c>
      <c r="DI175">
        <f t="shared" si="37"/>
        <v>0</v>
      </c>
      <c r="DJ175">
        <f>DF175</f>
        <v>162.27000000000001</v>
      </c>
      <c r="DK175">
        <v>0</v>
      </c>
      <c r="DL175" t="s">
        <v>3</v>
      </c>
      <c r="DM175">
        <v>0</v>
      </c>
      <c r="DN175" t="s">
        <v>3</v>
      </c>
      <c r="DO175">
        <v>0</v>
      </c>
    </row>
    <row r="176" spans="1:119" x14ac:dyDescent="0.25">
      <c r="A176">
        <f>ROW(Source!A138)</f>
        <v>138</v>
      </c>
      <c r="B176">
        <v>57014140</v>
      </c>
      <c r="C176">
        <v>57014630</v>
      </c>
      <c r="D176">
        <v>55459793</v>
      </c>
      <c r="E176">
        <v>1</v>
      </c>
      <c r="F176">
        <v>1</v>
      </c>
      <c r="G176">
        <v>1081</v>
      </c>
      <c r="H176">
        <v>3</v>
      </c>
      <c r="I176" t="s">
        <v>412</v>
      </c>
      <c r="J176" t="s">
        <v>413</v>
      </c>
      <c r="K176" t="s">
        <v>414</v>
      </c>
      <c r="L176">
        <v>1348</v>
      </c>
      <c r="N176">
        <v>1009</v>
      </c>
      <c r="O176" t="s">
        <v>361</v>
      </c>
      <c r="P176" t="s">
        <v>361</v>
      </c>
      <c r="Q176">
        <v>1000</v>
      </c>
      <c r="W176">
        <v>0</v>
      </c>
      <c r="X176">
        <v>-761454284</v>
      </c>
      <c r="Y176">
        <f>(AT176*1)</f>
        <v>1.0000000000000001E-5</v>
      </c>
      <c r="AA176">
        <v>1930745.04</v>
      </c>
      <c r="AB176">
        <v>0</v>
      </c>
      <c r="AC176">
        <v>0</v>
      </c>
      <c r="AD176">
        <v>0</v>
      </c>
      <c r="AE176">
        <v>64123.05</v>
      </c>
      <c r="AF176">
        <v>0</v>
      </c>
      <c r="AG176">
        <v>0</v>
      </c>
      <c r="AH176">
        <v>0</v>
      </c>
      <c r="AI176">
        <v>30.11</v>
      </c>
      <c r="AJ176">
        <v>1</v>
      </c>
      <c r="AK176">
        <v>1</v>
      </c>
      <c r="AL176">
        <v>1</v>
      </c>
      <c r="AM176">
        <v>2</v>
      </c>
      <c r="AN176">
        <v>0</v>
      </c>
      <c r="AO176">
        <v>1</v>
      </c>
      <c r="AP176">
        <v>1</v>
      </c>
      <c r="AQ176">
        <v>0</v>
      </c>
      <c r="AR176">
        <v>0</v>
      </c>
      <c r="AS176" t="s">
        <v>3</v>
      </c>
      <c r="AT176">
        <v>1.0000000000000001E-5</v>
      </c>
      <c r="AU176" t="s">
        <v>70</v>
      </c>
      <c r="AV176">
        <v>0</v>
      </c>
      <c r="AW176">
        <v>2</v>
      </c>
      <c r="AX176">
        <v>57014638</v>
      </c>
      <c r="AY176">
        <v>1</v>
      </c>
      <c r="AZ176">
        <v>0</v>
      </c>
      <c r="BA176">
        <v>227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CV176">
        <v>0</v>
      </c>
      <c r="CW176">
        <v>0</v>
      </c>
      <c r="CX176">
        <f>ROUND(Y176*Source!I138,9)</f>
        <v>1.0000000000000001E-5</v>
      </c>
      <c r="CY176">
        <f>AA176</f>
        <v>1930745.04</v>
      </c>
      <c r="CZ176">
        <f>AE176</f>
        <v>64123.05</v>
      </c>
      <c r="DA176">
        <f>AI176</f>
        <v>30.11</v>
      </c>
      <c r="DB176">
        <f>ROUND((ROUND(AT176*CZ176,2)*1),6)</f>
        <v>0.64</v>
      </c>
      <c r="DC176">
        <f>ROUND((ROUND(AT176*AG176,2)*1),6)</f>
        <v>0</v>
      </c>
      <c r="DD176" t="s">
        <v>3</v>
      </c>
      <c r="DE176" t="s">
        <v>3</v>
      </c>
      <c r="DF176">
        <f>ROUND(ROUND(AE176*AI176,2)*CX176,2)</f>
        <v>19.309999999999999</v>
      </c>
      <c r="DG176">
        <f t="shared" si="50"/>
        <v>0</v>
      </c>
      <c r="DH176">
        <f t="shared" si="51"/>
        <v>0</v>
      </c>
      <c r="DI176">
        <f t="shared" si="37"/>
        <v>0</v>
      </c>
      <c r="DJ176">
        <f>DF176</f>
        <v>19.309999999999999</v>
      </c>
      <c r="DK176">
        <v>0</v>
      </c>
      <c r="DL176" t="s">
        <v>3</v>
      </c>
      <c r="DM176">
        <v>0</v>
      </c>
      <c r="DN176" t="s">
        <v>3</v>
      </c>
      <c r="DO176">
        <v>0</v>
      </c>
    </row>
    <row r="177" spans="1:119" x14ac:dyDescent="0.25">
      <c r="A177">
        <f>ROW(Source!A141)</f>
        <v>141</v>
      </c>
      <c r="B177">
        <v>57014138</v>
      </c>
      <c r="C177">
        <v>57014645</v>
      </c>
      <c r="D177">
        <v>55424304</v>
      </c>
      <c r="E177">
        <v>1081</v>
      </c>
      <c r="F177">
        <v>1</v>
      </c>
      <c r="G177">
        <v>1081</v>
      </c>
      <c r="H177">
        <v>1</v>
      </c>
      <c r="I177" t="s">
        <v>385</v>
      </c>
      <c r="J177" t="s">
        <v>3</v>
      </c>
      <c r="K177" t="s">
        <v>386</v>
      </c>
      <c r="L177">
        <v>1191</v>
      </c>
      <c r="N177">
        <v>1013</v>
      </c>
      <c r="O177" t="s">
        <v>387</v>
      </c>
      <c r="P177" t="s">
        <v>387</v>
      </c>
      <c r="Q177">
        <v>1</v>
      </c>
      <c r="W177">
        <v>0</v>
      </c>
      <c r="X177">
        <v>476480486</v>
      </c>
      <c r="Y177">
        <f>(AT177*1.2)</f>
        <v>1.6320000000000001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1</v>
      </c>
      <c r="AJ177">
        <v>1</v>
      </c>
      <c r="AK177">
        <v>1</v>
      </c>
      <c r="AL177">
        <v>1</v>
      </c>
      <c r="AM177">
        <v>-2</v>
      </c>
      <c r="AN177">
        <v>0</v>
      </c>
      <c r="AO177">
        <v>1</v>
      </c>
      <c r="AP177">
        <v>1</v>
      </c>
      <c r="AQ177">
        <v>0</v>
      </c>
      <c r="AR177">
        <v>0</v>
      </c>
      <c r="AS177" t="s">
        <v>3</v>
      </c>
      <c r="AT177">
        <v>1.36</v>
      </c>
      <c r="AU177" t="s">
        <v>71</v>
      </c>
      <c r="AV177">
        <v>1</v>
      </c>
      <c r="AW177">
        <v>2</v>
      </c>
      <c r="AX177">
        <v>57014652</v>
      </c>
      <c r="AY177">
        <v>1</v>
      </c>
      <c r="AZ177">
        <v>0</v>
      </c>
      <c r="BA177">
        <v>229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CU177">
        <f>ROUND(AT177*Source!I141*AH177*AL177,2)</f>
        <v>0</v>
      </c>
      <c r="CV177">
        <f>ROUND(Y177*Source!I141,9)</f>
        <v>6.5279999999999996</v>
      </c>
      <c r="CW177">
        <v>0</v>
      </c>
      <c r="CX177">
        <f>ROUND(Y177*Source!I141,9)</f>
        <v>6.5279999999999996</v>
      </c>
      <c r="CY177">
        <f>AD177</f>
        <v>0</v>
      </c>
      <c r="CZ177">
        <f>AH177</f>
        <v>0</v>
      </c>
      <c r="DA177">
        <f>AL177</f>
        <v>1</v>
      </c>
      <c r="DB177">
        <f>ROUND((ROUND(AT177*CZ177,2)*1.2),6)</f>
        <v>0</v>
      </c>
      <c r="DC177">
        <f>ROUND((ROUND(AT177*AG177,2)*1.2),6)</f>
        <v>0</v>
      </c>
      <c r="DD177" t="s">
        <v>3</v>
      </c>
      <c r="DE177" t="s">
        <v>3</v>
      </c>
      <c r="DF177">
        <f t="shared" ref="DF177:DF185" si="52">ROUND(ROUND(AE177,2)*CX177,2)</f>
        <v>0</v>
      </c>
      <c r="DG177">
        <f t="shared" si="50"/>
        <v>0</v>
      </c>
      <c r="DH177">
        <f t="shared" si="51"/>
        <v>0</v>
      </c>
      <c r="DI177">
        <f t="shared" si="37"/>
        <v>0</v>
      </c>
      <c r="DJ177">
        <f>DI177</f>
        <v>0</v>
      </c>
      <c r="DK177">
        <v>0</v>
      </c>
      <c r="DL177" t="s">
        <v>3</v>
      </c>
      <c r="DM177">
        <v>0</v>
      </c>
      <c r="DN177" t="s">
        <v>3</v>
      </c>
      <c r="DO177">
        <v>0</v>
      </c>
    </row>
    <row r="178" spans="1:119" x14ac:dyDescent="0.25">
      <c r="A178">
        <f>ROW(Source!A141)</f>
        <v>141</v>
      </c>
      <c r="B178">
        <v>57014138</v>
      </c>
      <c r="C178">
        <v>57014645</v>
      </c>
      <c r="D178">
        <v>55490330</v>
      </c>
      <c r="E178">
        <v>1</v>
      </c>
      <c r="F178">
        <v>1</v>
      </c>
      <c r="G178">
        <v>1081</v>
      </c>
      <c r="H178">
        <v>2</v>
      </c>
      <c r="I178" t="s">
        <v>403</v>
      </c>
      <c r="J178" t="s">
        <v>404</v>
      </c>
      <c r="K178" t="s">
        <v>405</v>
      </c>
      <c r="L178">
        <v>1368</v>
      </c>
      <c r="N178">
        <v>1011</v>
      </c>
      <c r="O178" t="s">
        <v>391</v>
      </c>
      <c r="P178" t="s">
        <v>391</v>
      </c>
      <c r="Q178">
        <v>1</v>
      </c>
      <c r="W178">
        <v>0</v>
      </c>
      <c r="X178">
        <v>-2083101341</v>
      </c>
      <c r="Y178">
        <f>(AT178*1.2)</f>
        <v>2.0400000000000001E-2</v>
      </c>
      <c r="AA178">
        <v>0</v>
      </c>
      <c r="AB178">
        <v>0.84</v>
      </c>
      <c r="AC178">
        <v>0</v>
      </c>
      <c r="AD178">
        <v>0</v>
      </c>
      <c r="AE178">
        <v>0</v>
      </c>
      <c r="AF178">
        <v>0.8</v>
      </c>
      <c r="AG178">
        <v>0</v>
      </c>
      <c r="AH178">
        <v>0</v>
      </c>
      <c r="AI178">
        <v>1</v>
      </c>
      <c r="AJ178">
        <v>1</v>
      </c>
      <c r="AK178">
        <v>1</v>
      </c>
      <c r="AL178">
        <v>1</v>
      </c>
      <c r="AM178">
        <v>-2</v>
      </c>
      <c r="AN178">
        <v>0</v>
      </c>
      <c r="AO178">
        <v>1</v>
      </c>
      <c r="AP178">
        <v>1</v>
      </c>
      <c r="AQ178">
        <v>0</v>
      </c>
      <c r="AR178">
        <v>0</v>
      </c>
      <c r="AS178" t="s">
        <v>3</v>
      </c>
      <c r="AT178">
        <v>1.7000000000000001E-2</v>
      </c>
      <c r="AU178" t="s">
        <v>71</v>
      </c>
      <c r="AV178">
        <v>0</v>
      </c>
      <c r="AW178">
        <v>2</v>
      </c>
      <c r="AX178">
        <v>57014653</v>
      </c>
      <c r="AY178">
        <v>1</v>
      </c>
      <c r="AZ178">
        <v>0</v>
      </c>
      <c r="BA178">
        <v>230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  <c r="CV178">
        <v>0</v>
      </c>
      <c r="CW178">
        <f>ROUND(Y178*Source!I141*DO178,9)</f>
        <v>0</v>
      </c>
      <c r="CX178">
        <f>ROUND(Y178*Source!I141,9)</f>
        <v>8.1600000000000006E-2</v>
      </c>
      <c r="CY178">
        <f>AB178</f>
        <v>0.84</v>
      </c>
      <c r="CZ178">
        <f>AF178</f>
        <v>0.8</v>
      </c>
      <c r="DA178">
        <f>AJ178</f>
        <v>1</v>
      </c>
      <c r="DB178">
        <f>ROUND((ROUND(AT178*CZ178,2)*1.2),6)</f>
        <v>1.2E-2</v>
      </c>
      <c r="DC178">
        <f>ROUND((ROUND(AT178*AG178,2)*1.2),6)</f>
        <v>0</v>
      </c>
      <c r="DD178" t="s">
        <v>3</v>
      </c>
      <c r="DE178" t="s">
        <v>3</v>
      </c>
      <c r="DF178">
        <f t="shared" si="52"/>
        <v>0</v>
      </c>
      <c r="DG178">
        <f t="shared" si="50"/>
        <v>7.0000000000000007E-2</v>
      </c>
      <c r="DH178">
        <f t="shared" si="51"/>
        <v>0</v>
      </c>
      <c r="DI178">
        <f t="shared" si="37"/>
        <v>0</v>
      </c>
      <c r="DJ178">
        <f>DG178</f>
        <v>7.0000000000000007E-2</v>
      </c>
      <c r="DK178">
        <v>0</v>
      </c>
      <c r="DL178" t="s">
        <v>3</v>
      </c>
      <c r="DM178">
        <v>0</v>
      </c>
      <c r="DN178" t="s">
        <v>3</v>
      </c>
      <c r="DO178">
        <v>0</v>
      </c>
    </row>
    <row r="179" spans="1:119" x14ac:dyDescent="0.25">
      <c r="A179">
        <f>ROW(Source!A141)</f>
        <v>141</v>
      </c>
      <c r="B179">
        <v>57014138</v>
      </c>
      <c r="C179">
        <v>57014645</v>
      </c>
      <c r="D179">
        <v>55490296</v>
      </c>
      <c r="E179">
        <v>1</v>
      </c>
      <c r="F179">
        <v>1</v>
      </c>
      <c r="G179">
        <v>1081</v>
      </c>
      <c r="H179">
        <v>2</v>
      </c>
      <c r="I179" t="s">
        <v>415</v>
      </c>
      <c r="J179" t="s">
        <v>416</v>
      </c>
      <c r="K179" t="s">
        <v>417</v>
      </c>
      <c r="L179">
        <v>1368</v>
      </c>
      <c r="N179">
        <v>1011</v>
      </c>
      <c r="O179" t="s">
        <v>391</v>
      </c>
      <c r="P179" t="s">
        <v>391</v>
      </c>
      <c r="Q179">
        <v>1</v>
      </c>
      <c r="W179">
        <v>0</v>
      </c>
      <c r="X179">
        <v>-643591644</v>
      </c>
      <c r="Y179">
        <f>(AT179*1.2)</f>
        <v>2.4E-2</v>
      </c>
      <c r="AA179">
        <v>0</v>
      </c>
      <c r="AB179">
        <v>0.49</v>
      </c>
      <c r="AC179">
        <v>0</v>
      </c>
      <c r="AD179">
        <v>0</v>
      </c>
      <c r="AE179">
        <v>0</v>
      </c>
      <c r="AF179">
        <v>0.47</v>
      </c>
      <c r="AG179">
        <v>0</v>
      </c>
      <c r="AH179">
        <v>0</v>
      </c>
      <c r="AI179">
        <v>1</v>
      </c>
      <c r="AJ179">
        <v>1</v>
      </c>
      <c r="AK179">
        <v>1</v>
      </c>
      <c r="AL179">
        <v>1</v>
      </c>
      <c r="AM179">
        <v>-2</v>
      </c>
      <c r="AN179">
        <v>0</v>
      </c>
      <c r="AO179">
        <v>1</v>
      </c>
      <c r="AP179">
        <v>1</v>
      </c>
      <c r="AQ179">
        <v>0</v>
      </c>
      <c r="AR179">
        <v>0</v>
      </c>
      <c r="AS179" t="s">
        <v>3</v>
      </c>
      <c r="AT179">
        <v>0.02</v>
      </c>
      <c r="AU179" t="s">
        <v>71</v>
      </c>
      <c r="AV179">
        <v>0</v>
      </c>
      <c r="AW179">
        <v>2</v>
      </c>
      <c r="AX179">
        <v>57014654</v>
      </c>
      <c r="AY179">
        <v>1</v>
      </c>
      <c r="AZ179">
        <v>0</v>
      </c>
      <c r="BA179">
        <v>231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CV179">
        <v>0</v>
      </c>
      <c r="CW179">
        <f>ROUND(Y179*Source!I141*DO179,9)</f>
        <v>0</v>
      </c>
      <c r="CX179">
        <f>ROUND(Y179*Source!I141,9)</f>
        <v>9.6000000000000002E-2</v>
      </c>
      <c r="CY179">
        <f>AB179</f>
        <v>0.49</v>
      </c>
      <c r="CZ179">
        <f>AF179</f>
        <v>0.47</v>
      </c>
      <c r="DA179">
        <f>AJ179</f>
        <v>1</v>
      </c>
      <c r="DB179">
        <f>ROUND((ROUND(AT179*CZ179,2)*1.2),6)</f>
        <v>1.2E-2</v>
      </c>
      <c r="DC179">
        <f>ROUND((ROUND(AT179*AG179,2)*1.2),6)</f>
        <v>0</v>
      </c>
      <c r="DD179" t="s">
        <v>3</v>
      </c>
      <c r="DE179" t="s">
        <v>3</v>
      </c>
      <c r="DF179">
        <f t="shared" si="52"/>
        <v>0</v>
      </c>
      <c r="DG179">
        <f t="shared" si="50"/>
        <v>0.05</v>
      </c>
      <c r="DH179">
        <f t="shared" si="51"/>
        <v>0</v>
      </c>
      <c r="DI179">
        <f t="shared" si="37"/>
        <v>0</v>
      </c>
      <c r="DJ179">
        <f>DG179</f>
        <v>0.05</v>
      </c>
      <c r="DK179">
        <v>0</v>
      </c>
      <c r="DL179" t="s">
        <v>3</v>
      </c>
      <c r="DM179">
        <v>0</v>
      </c>
      <c r="DN179" t="s">
        <v>3</v>
      </c>
      <c r="DO179">
        <v>0</v>
      </c>
    </row>
    <row r="180" spans="1:119" x14ac:dyDescent="0.25">
      <c r="A180">
        <f>ROW(Source!A141)</f>
        <v>141</v>
      </c>
      <c r="B180">
        <v>57014138</v>
      </c>
      <c r="C180">
        <v>57014645</v>
      </c>
      <c r="D180">
        <v>55461074</v>
      </c>
      <c r="E180">
        <v>1</v>
      </c>
      <c r="F180">
        <v>1</v>
      </c>
      <c r="G180">
        <v>1081</v>
      </c>
      <c r="H180">
        <v>3</v>
      </c>
      <c r="I180" t="s">
        <v>418</v>
      </c>
      <c r="J180" t="s">
        <v>419</v>
      </c>
      <c r="K180" t="s">
        <v>420</v>
      </c>
      <c r="L180">
        <v>1346</v>
      </c>
      <c r="N180">
        <v>1009</v>
      </c>
      <c r="O180" t="s">
        <v>365</v>
      </c>
      <c r="P180" t="s">
        <v>365</v>
      </c>
      <c r="Q180">
        <v>1</v>
      </c>
      <c r="W180">
        <v>0</v>
      </c>
      <c r="X180">
        <v>-861631226</v>
      </c>
      <c r="Y180">
        <f>(AT180*1)</f>
        <v>6.2700000000000004E-3</v>
      </c>
      <c r="AA180">
        <v>27.62</v>
      </c>
      <c r="AB180">
        <v>0</v>
      </c>
      <c r="AC180">
        <v>0</v>
      </c>
      <c r="AD180">
        <v>0</v>
      </c>
      <c r="AE180">
        <v>27.62</v>
      </c>
      <c r="AF180">
        <v>0</v>
      </c>
      <c r="AG180">
        <v>0</v>
      </c>
      <c r="AH180">
        <v>0</v>
      </c>
      <c r="AI180">
        <v>1</v>
      </c>
      <c r="AJ180">
        <v>1</v>
      </c>
      <c r="AK180">
        <v>1</v>
      </c>
      <c r="AL180">
        <v>1</v>
      </c>
      <c r="AM180">
        <v>-2</v>
      </c>
      <c r="AN180">
        <v>0</v>
      </c>
      <c r="AO180">
        <v>1</v>
      </c>
      <c r="AP180">
        <v>1</v>
      </c>
      <c r="AQ180">
        <v>0</v>
      </c>
      <c r="AR180">
        <v>0</v>
      </c>
      <c r="AS180" t="s">
        <v>3</v>
      </c>
      <c r="AT180">
        <v>6.2700000000000004E-3</v>
      </c>
      <c r="AU180" t="s">
        <v>70</v>
      </c>
      <c r="AV180">
        <v>0</v>
      </c>
      <c r="AW180">
        <v>2</v>
      </c>
      <c r="AX180">
        <v>57014655</v>
      </c>
      <c r="AY180">
        <v>1</v>
      </c>
      <c r="AZ180">
        <v>0</v>
      </c>
      <c r="BA180">
        <v>232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</v>
      </c>
      <c r="CV180">
        <v>0</v>
      </c>
      <c r="CW180">
        <v>0</v>
      </c>
      <c r="CX180">
        <f>ROUND(Y180*Source!I141,9)</f>
        <v>2.5080000000000002E-2</v>
      </c>
      <c r="CY180">
        <f>AA180</f>
        <v>27.62</v>
      </c>
      <c r="CZ180">
        <f>AE180</f>
        <v>27.62</v>
      </c>
      <c r="DA180">
        <f>AI180</f>
        <v>1</v>
      </c>
      <c r="DB180">
        <f>ROUND((ROUND(AT180*CZ180,2)*1),6)</f>
        <v>0.17</v>
      </c>
      <c r="DC180">
        <f>ROUND((ROUND(AT180*AG180,2)*1),6)</f>
        <v>0</v>
      </c>
      <c r="DD180" t="s">
        <v>3</v>
      </c>
      <c r="DE180" t="s">
        <v>3</v>
      </c>
      <c r="DF180">
        <f t="shared" si="52"/>
        <v>0.69</v>
      </c>
      <c r="DG180">
        <f t="shared" si="50"/>
        <v>0</v>
      </c>
      <c r="DH180">
        <f t="shared" si="51"/>
        <v>0</v>
      </c>
      <c r="DI180">
        <f t="shared" si="37"/>
        <v>0</v>
      </c>
      <c r="DJ180">
        <f>DF180</f>
        <v>0.69</v>
      </c>
      <c r="DK180">
        <v>0</v>
      </c>
      <c r="DL180" t="s">
        <v>3</v>
      </c>
      <c r="DM180">
        <v>0</v>
      </c>
      <c r="DN180" t="s">
        <v>3</v>
      </c>
      <c r="DO180">
        <v>0</v>
      </c>
    </row>
    <row r="181" spans="1:119" x14ac:dyDescent="0.25">
      <c r="A181">
        <f>ROW(Source!A141)</f>
        <v>141</v>
      </c>
      <c r="B181">
        <v>57014138</v>
      </c>
      <c r="C181">
        <v>57014645</v>
      </c>
      <c r="D181">
        <v>55459793</v>
      </c>
      <c r="E181">
        <v>1</v>
      </c>
      <c r="F181">
        <v>1</v>
      </c>
      <c r="G181">
        <v>1081</v>
      </c>
      <c r="H181">
        <v>3</v>
      </c>
      <c r="I181" t="s">
        <v>412</v>
      </c>
      <c r="J181" t="s">
        <v>413</v>
      </c>
      <c r="K181" t="s">
        <v>414</v>
      </c>
      <c r="L181">
        <v>1348</v>
      </c>
      <c r="N181">
        <v>1009</v>
      </c>
      <c r="O181" t="s">
        <v>361</v>
      </c>
      <c r="P181" t="s">
        <v>361</v>
      </c>
      <c r="Q181">
        <v>1000</v>
      </c>
      <c r="W181">
        <v>0</v>
      </c>
      <c r="X181">
        <v>-761454284</v>
      </c>
      <c r="Y181">
        <f>(AT181*1)</f>
        <v>1.0000000000000001E-5</v>
      </c>
      <c r="AA181">
        <v>64123.05</v>
      </c>
      <c r="AB181">
        <v>0</v>
      </c>
      <c r="AC181">
        <v>0</v>
      </c>
      <c r="AD181">
        <v>0</v>
      </c>
      <c r="AE181">
        <v>64123.05</v>
      </c>
      <c r="AF181">
        <v>0</v>
      </c>
      <c r="AG181">
        <v>0</v>
      </c>
      <c r="AH181">
        <v>0</v>
      </c>
      <c r="AI181">
        <v>1</v>
      </c>
      <c r="AJ181">
        <v>1</v>
      </c>
      <c r="AK181">
        <v>1</v>
      </c>
      <c r="AL181">
        <v>1</v>
      </c>
      <c r="AM181">
        <v>-2</v>
      </c>
      <c r="AN181">
        <v>0</v>
      </c>
      <c r="AO181">
        <v>1</v>
      </c>
      <c r="AP181">
        <v>1</v>
      </c>
      <c r="AQ181">
        <v>0</v>
      </c>
      <c r="AR181">
        <v>0</v>
      </c>
      <c r="AS181" t="s">
        <v>3</v>
      </c>
      <c r="AT181">
        <v>1.0000000000000001E-5</v>
      </c>
      <c r="AU181" t="s">
        <v>70</v>
      </c>
      <c r="AV181">
        <v>0</v>
      </c>
      <c r="AW181">
        <v>2</v>
      </c>
      <c r="AX181">
        <v>57014656</v>
      </c>
      <c r="AY181">
        <v>1</v>
      </c>
      <c r="AZ181">
        <v>0</v>
      </c>
      <c r="BA181">
        <v>233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CV181">
        <v>0</v>
      </c>
      <c r="CW181">
        <v>0</v>
      </c>
      <c r="CX181">
        <f>ROUND(Y181*Source!I141,9)</f>
        <v>4.0000000000000003E-5</v>
      </c>
      <c r="CY181">
        <f>AA181</f>
        <v>64123.05</v>
      </c>
      <c r="CZ181">
        <f>AE181</f>
        <v>64123.05</v>
      </c>
      <c r="DA181">
        <f>AI181</f>
        <v>1</v>
      </c>
      <c r="DB181">
        <f>ROUND((ROUND(AT181*CZ181,2)*1),6)</f>
        <v>0.64</v>
      </c>
      <c r="DC181">
        <f>ROUND((ROUND(AT181*AG181,2)*1),6)</f>
        <v>0</v>
      </c>
      <c r="DD181" t="s">
        <v>3</v>
      </c>
      <c r="DE181" t="s">
        <v>3</v>
      </c>
      <c r="DF181">
        <f t="shared" si="52"/>
        <v>2.56</v>
      </c>
      <c r="DG181">
        <f t="shared" si="50"/>
        <v>0</v>
      </c>
      <c r="DH181">
        <f t="shared" si="51"/>
        <v>0</v>
      </c>
      <c r="DI181">
        <f t="shared" si="37"/>
        <v>0</v>
      </c>
      <c r="DJ181">
        <f>DF181</f>
        <v>2.56</v>
      </c>
      <c r="DK181">
        <v>0</v>
      </c>
      <c r="DL181" t="s">
        <v>3</v>
      </c>
      <c r="DM181">
        <v>0</v>
      </c>
      <c r="DN181" t="s">
        <v>3</v>
      </c>
      <c r="DO181">
        <v>0</v>
      </c>
    </row>
    <row r="182" spans="1:119" x14ac:dyDescent="0.25">
      <c r="A182">
        <f>ROW(Source!A141)</f>
        <v>141</v>
      </c>
      <c r="B182">
        <v>57014138</v>
      </c>
      <c r="C182">
        <v>57014645</v>
      </c>
      <c r="D182">
        <v>55469253</v>
      </c>
      <c r="E182">
        <v>1</v>
      </c>
      <c r="F182">
        <v>1</v>
      </c>
      <c r="G182">
        <v>1081</v>
      </c>
      <c r="H182">
        <v>3</v>
      </c>
      <c r="I182" t="s">
        <v>421</v>
      </c>
      <c r="J182" t="s">
        <v>422</v>
      </c>
      <c r="K182" t="s">
        <v>423</v>
      </c>
      <c r="L182">
        <v>1354</v>
      </c>
      <c r="N182">
        <v>1010</v>
      </c>
      <c r="O182" t="s">
        <v>251</v>
      </c>
      <c r="P182" t="s">
        <v>251</v>
      </c>
      <c r="Q182">
        <v>1</v>
      </c>
      <c r="W182">
        <v>0</v>
      </c>
      <c r="X182">
        <v>-32785108</v>
      </c>
      <c r="Y182">
        <f>(AT182*1)</f>
        <v>0.1</v>
      </c>
      <c r="AA182">
        <v>15.25</v>
      </c>
      <c r="AB182">
        <v>0</v>
      </c>
      <c r="AC182">
        <v>0</v>
      </c>
      <c r="AD182">
        <v>0</v>
      </c>
      <c r="AE182">
        <v>15.25</v>
      </c>
      <c r="AF182">
        <v>0</v>
      </c>
      <c r="AG182">
        <v>0</v>
      </c>
      <c r="AH182">
        <v>0</v>
      </c>
      <c r="AI182">
        <v>1</v>
      </c>
      <c r="AJ182">
        <v>1</v>
      </c>
      <c r="AK182">
        <v>1</v>
      </c>
      <c r="AL182">
        <v>1</v>
      </c>
      <c r="AM182">
        <v>-2</v>
      </c>
      <c r="AN182">
        <v>0</v>
      </c>
      <c r="AO182">
        <v>1</v>
      </c>
      <c r="AP182">
        <v>1</v>
      </c>
      <c r="AQ182">
        <v>0</v>
      </c>
      <c r="AR182">
        <v>0</v>
      </c>
      <c r="AS182" t="s">
        <v>3</v>
      </c>
      <c r="AT182">
        <v>0.1</v>
      </c>
      <c r="AU182" t="s">
        <v>70</v>
      </c>
      <c r="AV182">
        <v>0</v>
      </c>
      <c r="AW182">
        <v>2</v>
      </c>
      <c r="AX182">
        <v>57014657</v>
      </c>
      <c r="AY182">
        <v>1</v>
      </c>
      <c r="AZ182">
        <v>0</v>
      </c>
      <c r="BA182">
        <v>234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CV182">
        <v>0</v>
      </c>
      <c r="CW182">
        <v>0</v>
      </c>
      <c r="CX182">
        <f>ROUND(Y182*Source!I141,9)</f>
        <v>0.4</v>
      </c>
      <c r="CY182">
        <f>AA182</f>
        <v>15.25</v>
      </c>
      <c r="CZ182">
        <f>AE182</f>
        <v>15.25</v>
      </c>
      <c r="DA182">
        <f>AI182</f>
        <v>1</v>
      </c>
      <c r="DB182">
        <f>ROUND((ROUND(AT182*CZ182,2)*1),6)</f>
        <v>1.53</v>
      </c>
      <c r="DC182">
        <f>ROUND((ROUND(AT182*AG182,2)*1),6)</f>
        <v>0</v>
      </c>
      <c r="DD182" t="s">
        <v>3</v>
      </c>
      <c r="DE182" t="s">
        <v>3</v>
      </c>
      <c r="DF182">
        <f t="shared" si="52"/>
        <v>6.1</v>
      </c>
      <c r="DG182">
        <f t="shared" si="50"/>
        <v>0</v>
      </c>
      <c r="DH182">
        <f t="shared" si="51"/>
        <v>0</v>
      </c>
      <c r="DI182">
        <f t="shared" si="37"/>
        <v>0</v>
      </c>
      <c r="DJ182">
        <f>DF182</f>
        <v>6.1</v>
      </c>
      <c r="DK182">
        <v>0</v>
      </c>
      <c r="DL182" t="s">
        <v>3</v>
      </c>
      <c r="DM182">
        <v>0</v>
      </c>
      <c r="DN182" t="s">
        <v>3</v>
      </c>
      <c r="DO182">
        <v>0</v>
      </c>
    </row>
    <row r="183" spans="1:119" x14ac:dyDescent="0.25">
      <c r="A183">
        <f>ROW(Source!A142)</f>
        <v>142</v>
      </c>
      <c r="B183">
        <v>57014140</v>
      </c>
      <c r="C183">
        <v>57014645</v>
      </c>
      <c r="D183">
        <v>55424304</v>
      </c>
      <c r="E183">
        <v>1081</v>
      </c>
      <c r="F183">
        <v>1</v>
      </c>
      <c r="G183">
        <v>1081</v>
      </c>
      <c r="H183">
        <v>1</v>
      </c>
      <c r="I183" t="s">
        <v>385</v>
      </c>
      <c r="J183" t="s">
        <v>3</v>
      </c>
      <c r="K183" t="s">
        <v>386</v>
      </c>
      <c r="L183">
        <v>1191</v>
      </c>
      <c r="N183">
        <v>1013</v>
      </c>
      <c r="O183" t="s">
        <v>387</v>
      </c>
      <c r="P183" t="s">
        <v>387</v>
      </c>
      <c r="Q183">
        <v>1</v>
      </c>
      <c r="W183">
        <v>0</v>
      </c>
      <c r="X183">
        <v>476480486</v>
      </c>
      <c r="Y183">
        <f>(AT183*1.2)</f>
        <v>1.6320000000000001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1</v>
      </c>
      <c r="AJ183">
        <v>1</v>
      </c>
      <c r="AK183">
        <v>1</v>
      </c>
      <c r="AL183">
        <v>1</v>
      </c>
      <c r="AM183">
        <v>5</v>
      </c>
      <c r="AN183">
        <v>0</v>
      </c>
      <c r="AO183">
        <v>1</v>
      </c>
      <c r="AP183">
        <v>1</v>
      </c>
      <c r="AQ183">
        <v>0</v>
      </c>
      <c r="AR183">
        <v>0</v>
      </c>
      <c r="AS183" t="s">
        <v>3</v>
      </c>
      <c r="AT183">
        <v>1.36</v>
      </c>
      <c r="AU183" t="s">
        <v>71</v>
      </c>
      <c r="AV183">
        <v>1</v>
      </c>
      <c r="AW183">
        <v>2</v>
      </c>
      <c r="AX183">
        <v>57014652</v>
      </c>
      <c r="AY183">
        <v>1</v>
      </c>
      <c r="AZ183">
        <v>0</v>
      </c>
      <c r="BA183">
        <v>236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</v>
      </c>
      <c r="CU183">
        <f>ROUND(AT183*Source!I142*AH183*AL183,2)</f>
        <v>0</v>
      </c>
      <c r="CV183">
        <f>ROUND(Y183*Source!I142,9)</f>
        <v>6.5279999999999996</v>
      </c>
      <c r="CW183">
        <v>0</v>
      </c>
      <c r="CX183">
        <f>ROUND(Y183*Source!I142,9)</f>
        <v>6.5279999999999996</v>
      </c>
      <c r="CY183">
        <f>AD183</f>
        <v>0</v>
      </c>
      <c r="CZ183">
        <f>AH183</f>
        <v>0</v>
      </c>
      <c r="DA183">
        <f>AL183</f>
        <v>1</v>
      </c>
      <c r="DB183">
        <f>ROUND((ROUND(AT183*CZ183,2)*1.2),6)</f>
        <v>0</v>
      </c>
      <c r="DC183">
        <f>ROUND((ROUND(AT183*AG183,2)*1.2),6)</f>
        <v>0</v>
      </c>
      <c r="DD183" t="s">
        <v>3</v>
      </c>
      <c r="DE183" t="s">
        <v>3</v>
      </c>
      <c r="DF183">
        <f t="shared" si="52"/>
        <v>0</v>
      </c>
      <c r="DG183">
        <f t="shared" si="50"/>
        <v>0</v>
      </c>
      <c r="DH183">
        <f t="shared" si="51"/>
        <v>0</v>
      </c>
      <c r="DI183">
        <f t="shared" si="37"/>
        <v>0</v>
      </c>
      <c r="DJ183">
        <f>DI183</f>
        <v>0</v>
      </c>
      <c r="DK183">
        <v>0</v>
      </c>
      <c r="DL183" t="s">
        <v>3</v>
      </c>
      <c r="DM183">
        <v>0</v>
      </c>
      <c r="DN183" t="s">
        <v>3</v>
      </c>
      <c r="DO183">
        <v>0</v>
      </c>
    </row>
    <row r="184" spans="1:119" x14ac:dyDescent="0.25">
      <c r="A184">
        <f>ROW(Source!A142)</f>
        <v>142</v>
      </c>
      <c r="B184">
        <v>57014140</v>
      </c>
      <c r="C184">
        <v>57014645</v>
      </c>
      <c r="D184">
        <v>55490330</v>
      </c>
      <c r="E184">
        <v>1</v>
      </c>
      <c r="F184">
        <v>1</v>
      </c>
      <c r="G184">
        <v>1081</v>
      </c>
      <c r="H184">
        <v>2</v>
      </c>
      <c r="I184" t="s">
        <v>403</v>
      </c>
      <c r="J184" t="s">
        <v>404</v>
      </c>
      <c r="K184" t="s">
        <v>405</v>
      </c>
      <c r="L184">
        <v>1368</v>
      </c>
      <c r="N184">
        <v>1011</v>
      </c>
      <c r="O184" t="s">
        <v>391</v>
      </c>
      <c r="P184" t="s">
        <v>391</v>
      </c>
      <c r="Q184">
        <v>1</v>
      </c>
      <c r="W184">
        <v>0</v>
      </c>
      <c r="X184">
        <v>-2083101341</v>
      </c>
      <c r="Y184">
        <f>(AT184*1.2)</f>
        <v>2.0400000000000001E-2</v>
      </c>
      <c r="AA184">
        <v>0</v>
      </c>
      <c r="AB184">
        <v>7.92</v>
      </c>
      <c r="AC184">
        <v>0</v>
      </c>
      <c r="AD184">
        <v>0</v>
      </c>
      <c r="AE184">
        <v>0</v>
      </c>
      <c r="AF184">
        <v>0.8</v>
      </c>
      <c r="AG184">
        <v>0</v>
      </c>
      <c r="AH184">
        <v>0</v>
      </c>
      <c r="AI184">
        <v>1</v>
      </c>
      <c r="AJ184">
        <v>9.4600000000000009</v>
      </c>
      <c r="AK184">
        <v>1</v>
      </c>
      <c r="AL184">
        <v>1</v>
      </c>
      <c r="AM184">
        <v>2</v>
      </c>
      <c r="AN184">
        <v>0</v>
      </c>
      <c r="AO184">
        <v>1</v>
      </c>
      <c r="AP184">
        <v>1</v>
      </c>
      <c r="AQ184">
        <v>0</v>
      </c>
      <c r="AR184">
        <v>0</v>
      </c>
      <c r="AS184" t="s">
        <v>3</v>
      </c>
      <c r="AT184">
        <v>1.7000000000000001E-2</v>
      </c>
      <c r="AU184" t="s">
        <v>71</v>
      </c>
      <c r="AV184">
        <v>0</v>
      </c>
      <c r="AW184">
        <v>2</v>
      </c>
      <c r="AX184">
        <v>57014653</v>
      </c>
      <c r="AY184">
        <v>1</v>
      </c>
      <c r="AZ184">
        <v>0</v>
      </c>
      <c r="BA184">
        <v>237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CV184">
        <v>0</v>
      </c>
      <c r="CW184">
        <f>ROUND(Y184*Source!I142*DO184,9)</f>
        <v>0</v>
      </c>
      <c r="CX184">
        <f>ROUND(Y184*Source!I142,9)</f>
        <v>8.1600000000000006E-2</v>
      </c>
      <c r="CY184">
        <f>AB184</f>
        <v>7.92</v>
      </c>
      <c r="CZ184">
        <f>AF184</f>
        <v>0.8</v>
      </c>
      <c r="DA184">
        <f>AJ184</f>
        <v>9.4600000000000009</v>
      </c>
      <c r="DB184">
        <f>ROUND((ROUND(AT184*CZ184,2)*1.2),6)</f>
        <v>1.2E-2</v>
      </c>
      <c r="DC184">
        <f>ROUND((ROUND(AT184*AG184,2)*1.2),6)</f>
        <v>0</v>
      </c>
      <c r="DD184" t="s">
        <v>3</v>
      </c>
      <c r="DE184" t="s">
        <v>3</v>
      </c>
      <c r="DF184">
        <f t="shared" si="52"/>
        <v>0</v>
      </c>
      <c r="DG184">
        <f>ROUND(ROUND(AF184*AJ184,2)*CX184,2)</f>
        <v>0.62</v>
      </c>
      <c r="DH184">
        <f t="shared" si="51"/>
        <v>0</v>
      </c>
      <c r="DI184">
        <f t="shared" si="37"/>
        <v>0</v>
      </c>
      <c r="DJ184">
        <f>DG184</f>
        <v>0.62</v>
      </c>
      <c r="DK184">
        <v>0</v>
      </c>
      <c r="DL184" t="s">
        <v>3</v>
      </c>
      <c r="DM184">
        <v>0</v>
      </c>
      <c r="DN184" t="s">
        <v>3</v>
      </c>
      <c r="DO184">
        <v>0</v>
      </c>
    </row>
    <row r="185" spans="1:119" x14ac:dyDescent="0.25">
      <c r="A185">
        <f>ROW(Source!A142)</f>
        <v>142</v>
      </c>
      <c r="B185">
        <v>57014140</v>
      </c>
      <c r="C185">
        <v>57014645</v>
      </c>
      <c r="D185">
        <v>55490296</v>
      </c>
      <c r="E185">
        <v>1</v>
      </c>
      <c r="F185">
        <v>1</v>
      </c>
      <c r="G185">
        <v>1081</v>
      </c>
      <c r="H185">
        <v>2</v>
      </c>
      <c r="I185" t="s">
        <v>415</v>
      </c>
      <c r="J185" t="s">
        <v>416</v>
      </c>
      <c r="K185" t="s">
        <v>417</v>
      </c>
      <c r="L185">
        <v>1368</v>
      </c>
      <c r="N185">
        <v>1011</v>
      </c>
      <c r="O185" t="s">
        <v>391</v>
      </c>
      <c r="P185" t="s">
        <v>391</v>
      </c>
      <c r="Q185">
        <v>1</v>
      </c>
      <c r="W185">
        <v>0</v>
      </c>
      <c r="X185">
        <v>-643591644</v>
      </c>
      <c r="Y185">
        <f>(AT185*1.2)</f>
        <v>2.4E-2</v>
      </c>
      <c r="AA185">
        <v>0</v>
      </c>
      <c r="AB185">
        <v>4.75</v>
      </c>
      <c r="AC185">
        <v>0</v>
      </c>
      <c r="AD185">
        <v>0</v>
      </c>
      <c r="AE185">
        <v>0</v>
      </c>
      <c r="AF185">
        <v>0.47</v>
      </c>
      <c r="AG185">
        <v>0</v>
      </c>
      <c r="AH185">
        <v>0</v>
      </c>
      <c r="AI185">
        <v>1</v>
      </c>
      <c r="AJ185">
        <v>9.66</v>
      </c>
      <c r="AK185">
        <v>1</v>
      </c>
      <c r="AL185">
        <v>1</v>
      </c>
      <c r="AM185">
        <v>2</v>
      </c>
      <c r="AN185">
        <v>0</v>
      </c>
      <c r="AO185">
        <v>1</v>
      </c>
      <c r="AP185">
        <v>1</v>
      </c>
      <c r="AQ185">
        <v>0</v>
      </c>
      <c r="AR185">
        <v>0</v>
      </c>
      <c r="AS185" t="s">
        <v>3</v>
      </c>
      <c r="AT185">
        <v>0.02</v>
      </c>
      <c r="AU185" t="s">
        <v>71</v>
      </c>
      <c r="AV185">
        <v>0</v>
      </c>
      <c r="AW185">
        <v>2</v>
      </c>
      <c r="AX185">
        <v>57014654</v>
      </c>
      <c r="AY185">
        <v>1</v>
      </c>
      <c r="AZ185">
        <v>0</v>
      </c>
      <c r="BA185">
        <v>238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</v>
      </c>
      <c r="CV185">
        <v>0</v>
      </c>
      <c r="CW185">
        <f>ROUND(Y185*Source!I142*DO185,9)</f>
        <v>0</v>
      </c>
      <c r="CX185">
        <f>ROUND(Y185*Source!I142,9)</f>
        <v>9.6000000000000002E-2</v>
      </c>
      <c r="CY185">
        <f>AB185</f>
        <v>4.75</v>
      </c>
      <c r="CZ185">
        <f>AF185</f>
        <v>0.47</v>
      </c>
      <c r="DA185">
        <f>AJ185</f>
        <v>9.66</v>
      </c>
      <c r="DB185">
        <f>ROUND((ROUND(AT185*CZ185,2)*1.2),6)</f>
        <v>1.2E-2</v>
      </c>
      <c r="DC185">
        <f>ROUND((ROUND(AT185*AG185,2)*1.2),6)</f>
        <v>0</v>
      </c>
      <c r="DD185" t="s">
        <v>3</v>
      </c>
      <c r="DE185" t="s">
        <v>3</v>
      </c>
      <c r="DF185">
        <f t="shared" si="52"/>
        <v>0</v>
      </c>
      <c r="DG185">
        <f>ROUND(ROUND(AF185*AJ185,2)*CX185,2)</f>
        <v>0.44</v>
      </c>
      <c r="DH185">
        <f t="shared" si="51"/>
        <v>0</v>
      </c>
      <c r="DI185">
        <f t="shared" si="37"/>
        <v>0</v>
      </c>
      <c r="DJ185">
        <f>DG185</f>
        <v>0.44</v>
      </c>
      <c r="DK185">
        <v>0</v>
      </c>
      <c r="DL185" t="s">
        <v>3</v>
      </c>
      <c r="DM185">
        <v>0</v>
      </c>
      <c r="DN185" t="s">
        <v>3</v>
      </c>
      <c r="DO185">
        <v>0</v>
      </c>
    </row>
    <row r="186" spans="1:119" x14ac:dyDescent="0.25">
      <c r="A186">
        <f>ROW(Source!A142)</f>
        <v>142</v>
      </c>
      <c r="B186">
        <v>57014140</v>
      </c>
      <c r="C186">
        <v>57014645</v>
      </c>
      <c r="D186">
        <v>55461074</v>
      </c>
      <c r="E186">
        <v>1</v>
      </c>
      <c r="F186">
        <v>1</v>
      </c>
      <c r="G186">
        <v>1081</v>
      </c>
      <c r="H186">
        <v>3</v>
      </c>
      <c r="I186" t="s">
        <v>418</v>
      </c>
      <c r="J186" t="s">
        <v>419</v>
      </c>
      <c r="K186" t="s">
        <v>420</v>
      </c>
      <c r="L186">
        <v>1346</v>
      </c>
      <c r="N186">
        <v>1009</v>
      </c>
      <c r="O186" t="s">
        <v>365</v>
      </c>
      <c r="P186" t="s">
        <v>365</v>
      </c>
      <c r="Q186">
        <v>1</v>
      </c>
      <c r="W186">
        <v>0</v>
      </c>
      <c r="X186">
        <v>-861631226</v>
      </c>
      <c r="Y186">
        <f>(AT186*1)</f>
        <v>6.2700000000000004E-3</v>
      </c>
      <c r="AA186">
        <v>163.51</v>
      </c>
      <c r="AB186">
        <v>0</v>
      </c>
      <c r="AC186">
        <v>0</v>
      </c>
      <c r="AD186">
        <v>0</v>
      </c>
      <c r="AE186">
        <v>27.62</v>
      </c>
      <c r="AF186">
        <v>0</v>
      </c>
      <c r="AG186">
        <v>0</v>
      </c>
      <c r="AH186">
        <v>0</v>
      </c>
      <c r="AI186">
        <v>5.92</v>
      </c>
      <c r="AJ186">
        <v>1</v>
      </c>
      <c r="AK186">
        <v>1</v>
      </c>
      <c r="AL186">
        <v>1</v>
      </c>
      <c r="AM186">
        <v>2</v>
      </c>
      <c r="AN186">
        <v>0</v>
      </c>
      <c r="AO186">
        <v>1</v>
      </c>
      <c r="AP186">
        <v>1</v>
      </c>
      <c r="AQ186">
        <v>0</v>
      </c>
      <c r="AR186">
        <v>0</v>
      </c>
      <c r="AS186" t="s">
        <v>3</v>
      </c>
      <c r="AT186">
        <v>6.2700000000000004E-3</v>
      </c>
      <c r="AU186" t="s">
        <v>70</v>
      </c>
      <c r="AV186">
        <v>0</v>
      </c>
      <c r="AW186">
        <v>2</v>
      </c>
      <c r="AX186">
        <v>57014655</v>
      </c>
      <c r="AY186">
        <v>1</v>
      </c>
      <c r="AZ186">
        <v>0</v>
      </c>
      <c r="BA186">
        <v>239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CV186">
        <v>0</v>
      </c>
      <c r="CW186">
        <v>0</v>
      </c>
      <c r="CX186">
        <f>ROUND(Y186*Source!I142,9)</f>
        <v>2.5080000000000002E-2</v>
      </c>
      <c r="CY186">
        <f>AA186</f>
        <v>163.51</v>
      </c>
      <c r="CZ186">
        <f>AE186</f>
        <v>27.62</v>
      </c>
      <c r="DA186">
        <f>AI186</f>
        <v>5.92</v>
      </c>
      <c r="DB186">
        <f>ROUND((ROUND(AT186*CZ186,2)*1),6)</f>
        <v>0.17</v>
      </c>
      <c r="DC186">
        <f>ROUND((ROUND(AT186*AG186,2)*1),6)</f>
        <v>0</v>
      </c>
      <c r="DD186" t="s">
        <v>3</v>
      </c>
      <c r="DE186" t="s">
        <v>3</v>
      </c>
      <c r="DF186">
        <f>ROUND(ROUND(AE186*AI186,2)*CX186,2)</f>
        <v>4.0999999999999996</v>
      </c>
      <c r="DG186">
        <f t="shared" ref="DG186:DG195" si="53">ROUND(ROUND(AF186,2)*CX186,2)</f>
        <v>0</v>
      </c>
      <c r="DH186">
        <f t="shared" si="51"/>
        <v>0</v>
      </c>
      <c r="DI186">
        <f t="shared" si="37"/>
        <v>0</v>
      </c>
      <c r="DJ186">
        <f>DF186</f>
        <v>4.0999999999999996</v>
      </c>
      <c r="DK186">
        <v>0</v>
      </c>
      <c r="DL186" t="s">
        <v>3</v>
      </c>
      <c r="DM186">
        <v>0</v>
      </c>
      <c r="DN186" t="s">
        <v>3</v>
      </c>
      <c r="DO186">
        <v>0</v>
      </c>
    </row>
    <row r="187" spans="1:119" x14ac:dyDescent="0.25">
      <c r="A187">
        <f>ROW(Source!A142)</f>
        <v>142</v>
      </c>
      <c r="B187">
        <v>57014140</v>
      </c>
      <c r="C187">
        <v>57014645</v>
      </c>
      <c r="D187">
        <v>55459793</v>
      </c>
      <c r="E187">
        <v>1</v>
      </c>
      <c r="F187">
        <v>1</v>
      </c>
      <c r="G187">
        <v>1081</v>
      </c>
      <c r="H187">
        <v>3</v>
      </c>
      <c r="I187" t="s">
        <v>412</v>
      </c>
      <c r="J187" t="s">
        <v>413</v>
      </c>
      <c r="K187" t="s">
        <v>414</v>
      </c>
      <c r="L187">
        <v>1348</v>
      </c>
      <c r="N187">
        <v>1009</v>
      </c>
      <c r="O187" t="s">
        <v>361</v>
      </c>
      <c r="P187" t="s">
        <v>361</v>
      </c>
      <c r="Q187">
        <v>1000</v>
      </c>
      <c r="W187">
        <v>0</v>
      </c>
      <c r="X187">
        <v>-761454284</v>
      </c>
      <c r="Y187">
        <f>(AT187*1)</f>
        <v>1.0000000000000001E-5</v>
      </c>
      <c r="AA187">
        <v>1930745.04</v>
      </c>
      <c r="AB187">
        <v>0</v>
      </c>
      <c r="AC187">
        <v>0</v>
      </c>
      <c r="AD187">
        <v>0</v>
      </c>
      <c r="AE187">
        <v>64123.05</v>
      </c>
      <c r="AF187">
        <v>0</v>
      </c>
      <c r="AG187">
        <v>0</v>
      </c>
      <c r="AH187">
        <v>0</v>
      </c>
      <c r="AI187">
        <v>30.11</v>
      </c>
      <c r="AJ187">
        <v>1</v>
      </c>
      <c r="AK187">
        <v>1</v>
      </c>
      <c r="AL187">
        <v>1</v>
      </c>
      <c r="AM187">
        <v>2</v>
      </c>
      <c r="AN187">
        <v>0</v>
      </c>
      <c r="AO187">
        <v>1</v>
      </c>
      <c r="AP187">
        <v>1</v>
      </c>
      <c r="AQ187">
        <v>0</v>
      </c>
      <c r="AR187">
        <v>0</v>
      </c>
      <c r="AS187" t="s">
        <v>3</v>
      </c>
      <c r="AT187">
        <v>1.0000000000000001E-5</v>
      </c>
      <c r="AU187" t="s">
        <v>70</v>
      </c>
      <c r="AV187">
        <v>0</v>
      </c>
      <c r="AW187">
        <v>2</v>
      </c>
      <c r="AX187">
        <v>57014656</v>
      </c>
      <c r="AY187">
        <v>1</v>
      </c>
      <c r="AZ187">
        <v>0</v>
      </c>
      <c r="BA187">
        <v>240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</v>
      </c>
      <c r="CV187">
        <v>0</v>
      </c>
      <c r="CW187">
        <v>0</v>
      </c>
      <c r="CX187">
        <f>ROUND(Y187*Source!I142,9)</f>
        <v>4.0000000000000003E-5</v>
      </c>
      <c r="CY187">
        <f>AA187</f>
        <v>1930745.04</v>
      </c>
      <c r="CZ187">
        <f>AE187</f>
        <v>64123.05</v>
      </c>
      <c r="DA187">
        <f>AI187</f>
        <v>30.11</v>
      </c>
      <c r="DB187">
        <f>ROUND((ROUND(AT187*CZ187,2)*1),6)</f>
        <v>0.64</v>
      </c>
      <c r="DC187">
        <f>ROUND((ROUND(AT187*AG187,2)*1),6)</f>
        <v>0</v>
      </c>
      <c r="DD187" t="s">
        <v>3</v>
      </c>
      <c r="DE187" t="s">
        <v>3</v>
      </c>
      <c r="DF187">
        <f>ROUND(ROUND(AE187*AI187,2)*CX187,2)</f>
        <v>77.23</v>
      </c>
      <c r="DG187">
        <f t="shared" si="53"/>
        <v>0</v>
      </c>
      <c r="DH187">
        <f t="shared" si="51"/>
        <v>0</v>
      </c>
      <c r="DI187">
        <f t="shared" si="37"/>
        <v>0</v>
      </c>
      <c r="DJ187">
        <f>DF187</f>
        <v>77.23</v>
      </c>
      <c r="DK187">
        <v>0</v>
      </c>
      <c r="DL187" t="s">
        <v>3</v>
      </c>
      <c r="DM187">
        <v>0</v>
      </c>
      <c r="DN187" t="s">
        <v>3</v>
      </c>
      <c r="DO187">
        <v>0</v>
      </c>
    </row>
    <row r="188" spans="1:119" x14ac:dyDescent="0.25">
      <c r="A188">
        <f>ROW(Source!A142)</f>
        <v>142</v>
      </c>
      <c r="B188">
        <v>57014140</v>
      </c>
      <c r="C188">
        <v>57014645</v>
      </c>
      <c r="D188">
        <v>55469253</v>
      </c>
      <c r="E188">
        <v>1</v>
      </c>
      <c r="F188">
        <v>1</v>
      </c>
      <c r="G188">
        <v>1081</v>
      </c>
      <c r="H188">
        <v>3</v>
      </c>
      <c r="I188" t="s">
        <v>421</v>
      </c>
      <c r="J188" t="s">
        <v>422</v>
      </c>
      <c r="K188" t="s">
        <v>423</v>
      </c>
      <c r="L188">
        <v>1354</v>
      </c>
      <c r="N188">
        <v>1010</v>
      </c>
      <c r="O188" t="s">
        <v>251</v>
      </c>
      <c r="P188" t="s">
        <v>251</v>
      </c>
      <c r="Q188">
        <v>1</v>
      </c>
      <c r="W188">
        <v>0</v>
      </c>
      <c r="X188">
        <v>-32785108</v>
      </c>
      <c r="Y188">
        <f>(AT188*1)</f>
        <v>0.1</v>
      </c>
      <c r="AA188">
        <v>36.14</v>
      </c>
      <c r="AB188">
        <v>0</v>
      </c>
      <c r="AC188">
        <v>0</v>
      </c>
      <c r="AD188">
        <v>0</v>
      </c>
      <c r="AE188">
        <v>15.25</v>
      </c>
      <c r="AF188">
        <v>0</v>
      </c>
      <c r="AG188">
        <v>0</v>
      </c>
      <c r="AH188">
        <v>0</v>
      </c>
      <c r="AI188">
        <v>2.37</v>
      </c>
      <c r="AJ188">
        <v>1</v>
      </c>
      <c r="AK188">
        <v>1</v>
      </c>
      <c r="AL188">
        <v>1</v>
      </c>
      <c r="AM188">
        <v>2</v>
      </c>
      <c r="AN188">
        <v>0</v>
      </c>
      <c r="AO188">
        <v>1</v>
      </c>
      <c r="AP188">
        <v>1</v>
      </c>
      <c r="AQ188">
        <v>0</v>
      </c>
      <c r="AR188">
        <v>0</v>
      </c>
      <c r="AS188" t="s">
        <v>3</v>
      </c>
      <c r="AT188">
        <v>0.1</v>
      </c>
      <c r="AU188" t="s">
        <v>70</v>
      </c>
      <c r="AV188">
        <v>0</v>
      </c>
      <c r="AW188">
        <v>2</v>
      </c>
      <c r="AX188">
        <v>57014657</v>
      </c>
      <c r="AY188">
        <v>1</v>
      </c>
      <c r="AZ188">
        <v>0</v>
      </c>
      <c r="BA188">
        <v>241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</v>
      </c>
      <c r="CV188">
        <v>0</v>
      </c>
      <c r="CW188">
        <v>0</v>
      </c>
      <c r="CX188">
        <f>ROUND(Y188*Source!I142,9)</f>
        <v>0.4</v>
      </c>
      <c r="CY188">
        <f>AA188</f>
        <v>36.14</v>
      </c>
      <c r="CZ188">
        <f>AE188</f>
        <v>15.25</v>
      </c>
      <c r="DA188">
        <f>AI188</f>
        <v>2.37</v>
      </c>
      <c r="DB188">
        <f>ROUND((ROUND(AT188*CZ188,2)*1),6)</f>
        <v>1.53</v>
      </c>
      <c r="DC188">
        <f>ROUND((ROUND(AT188*AG188,2)*1),6)</f>
        <v>0</v>
      </c>
      <c r="DD188" t="s">
        <v>3</v>
      </c>
      <c r="DE188" t="s">
        <v>3</v>
      </c>
      <c r="DF188">
        <f>ROUND(ROUND(AE188*AI188,2)*CX188,2)</f>
        <v>14.46</v>
      </c>
      <c r="DG188">
        <f t="shared" si="53"/>
        <v>0</v>
      </c>
      <c r="DH188">
        <f t="shared" si="51"/>
        <v>0</v>
      </c>
      <c r="DI188">
        <f t="shared" si="37"/>
        <v>0</v>
      </c>
      <c r="DJ188">
        <f>DF188</f>
        <v>14.46</v>
      </c>
      <c r="DK188">
        <v>0</v>
      </c>
      <c r="DL188" t="s">
        <v>3</v>
      </c>
      <c r="DM188">
        <v>0</v>
      </c>
      <c r="DN188" t="s">
        <v>3</v>
      </c>
      <c r="DO188">
        <v>0</v>
      </c>
    </row>
    <row r="189" spans="1:119" x14ac:dyDescent="0.25">
      <c r="A189">
        <f>ROW(Source!A186)</f>
        <v>186</v>
      </c>
      <c r="B189">
        <v>57014138</v>
      </c>
      <c r="C189">
        <v>57015385</v>
      </c>
      <c r="D189">
        <v>55424304</v>
      </c>
      <c r="E189">
        <v>1081</v>
      </c>
      <c r="F189">
        <v>1</v>
      </c>
      <c r="G189">
        <v>1081</v>
      </c>
      <c r="H189">
        <v>1</v>
      </c>
      <c r="I189" t="s">
        <v>385</v>
      </c>
      <c r="J189" t="s">
        <v>3</v>
      </c>
      <c r="K189" t="s">
        <v>386</v>
      </c>
      <c r="L189">
        <v>1191</v>
      </c>
      <c r="N189">
        <v>1013</v>
      </c>
      <c r="O189" t="s">
        <v>387</v>
      </c>
      <c r="P189" t="s">
        <v>387</v>
      </c>
      <c r="Q189">
        <v>1</v>
      </c>
      <c r="W189">
        <v>0</v>
      </c>
      <c r="X189">
        <v>476480486</v>
      </c>
      <c r="Y189">
        <f>(AT189*1.2)</f>
        <v>101.604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1</v>
      </c>
      <c r="AJ189">
        <v>1</v>
      </c>
      <c r="AK189">
        <v>1</v>
      </c>
      <c r="AL189">
        <v>1</v>
      </c>
      <c r="AM189">
        <v>-2</v>
      </c>
      <c r="AN189">
        <v>0</v>
      </c>
      <c r="AO189">
        <v>1</v>
      </c>
      <c r="AP189">
        <v>1</v>
      </c>
      <c r="AQ189">
        <v>0</v>
      </c>
      <c r="AR189">
        <v>0</v>
      </c>
      <c r="AS189" t="s">
        <v>3</v>
      </c>
      <c r="AT189">
        <v>84.67</v>
      </c>
      <c r="AU189" t="s">
        <v>71</v>
      </c>
      <c r="AV189">
        <v>1</v>
      </c>
      <c r="AW189">
        <v>2</v>
      </c>
      <c r="AX189">
        <v>57015386</v>
      </c>
      <c r="AY189">
        <v>1</v>
      </c>
      <c r="AZ189">
        <v>0</v>
      </c>
      <c r="BA189">
        <v>243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0</v>
      </c>
      <c r="CU189">
        <f>ROUND(AT189*Source!I186*AH189*AL189,2)</f>
        <v>0</v>
      </c>
      <c r="CV189">
        <f>ROUND(Y189*Source!I186,9)</f>
        <v>103.63608000000001</v>
      </c>
      <c r="CW189">
        <v>0</v>
      </c>
      <c r="CX189">
        <f>ROUND(Y189*Source!I186,9)</f>
        <v>103.63608000000001</v>
      </c>
      <c r="CY189">
        <f>AD189</f>
        <v>0</v>
      </c>
      <c r="CZ189">
        <f>AH189</f>
        <v>0</v>
      </c>
      <c r="DA189">
        <f>AL189</f>
        <v>1</v>
      </c>
      <c r="DB189">
        <f>ROUND((ROUND(AT189*CZ189,2)*1.2),6)</f>
        <v>0</v>
      </c>
      <c r="DC189">
        <f>ROUND((ROUND(AT189*AG189,2)*1.2),6)</f>
        <v>0</v>
      </c>
      <c r="DD189" t="s">
        <v>3</v>
      </c>
      <c r="DE189" t="s">
        <v>3</v>
      </c>
      <c r="DF189">
        <f t="shared" ref="DF189:DF197" si="54">ROUND(ROUND(AE189,2)*CX189,2)</f>
        <v>0</v>
      </c>
      <c r="DG189">
        <f t="shared" si="53"/>
        <v>0</v>
      </c>
      <c r="DH189">
        <f t="shared" si="51"/>
        <v>0</v>
      </c>
      <c r="DI189">
        <f t="shared" si="37"/>
        <v>0</v>
      </c>
      <c r="DJ189">
        <f>DI189</f>
        <v>0</v>
      </c>
      <c r="DK189">
        <v>0</v>
      </c>
      <c r="DL189" t="s">
        <v>3</v>
      </c>
      <c r="DM189">
        <v>0</v>
      </c>
      <c r="DN189" t="s">
        <v>3</v>
      </c>
      <c r="DO189">
        <v>0</v>
      </c>
    </row>
    <row r="190" spans="1:119" x14ac:dyDescent="0.25">
      <c r="A190">
        <f>ROW(Source!A186)</f>
        <v>186</v>
      </c>
      <c r="B190">
        <v>57014138</v>
      </c>
      <c r="C190">
        <v>57015385</v>
      </c>
      <c r="D190">
        <v>55490209</v>
      </c>
      <c r="E190">
        <v>1</v>
      </c>
      <c r="F190">
        <v>1</v>
      </c>
      <c r="G190">
        <v>1081</v>
      </c>
      <c r="H190">
        <v>2</v>
      </c>
      <c r="I190" t="s">
        <v>460</v>
      </c>
      <c r="J190" t="s">
        <v>461</v>
      </c>
      <c r="K190" t="s">
        <v>462</v>
      </c>
      <c r="L190">
        <v>1368</v>
      </c>
      <c r="N190">
        <v>1011</v>
      </c>
      <c r="O190" t="s">
        <v>391</v>
      </c>
      <c r="P190" t="s">
        <v>391</v>
      </c>
      <c r="Q190">
        <v>1</v>
      </c>
      <c r="W190">
        <v>0</v>
      </c>
      <c r="X190">
        <v>874612079</v>
      </c>
      <c r="Y190">
        <f>(AT190*1.2)</f>
        <v>1.236</v>
      </c>
      <c r="AA190">
        <v>0</v>
      </c>
      <c r="AB190">
        <v>87.01</v>
      </c>
      <c r="AC190">
        <v>13.21</v>
      </c>
      <c r="AD190">
        <v>0</v>
      </c>
      <c r="AE190">
        <v>0</v>
      </c>
      <c r="AF190">
        <v>83.1</v>
      </c>
      <c r="AG190">
        <v>12.62</v>
      </c>
      <c r="AH190">
        <v>0</v>
      </c>
      <c r="AI190">
        <v>1</v>
      </c>
      <c r="AJ190">
        <v>1</v>
      </c>
      <c r="AK190">
        <v>1</v>
      </c>
      <c r="AL190">
        <v>1</v>
      </c>
      <c r="AM190">
        <v>-2</v>
      </c>
      <c r="AN190">
        <v>0</v>
      </c>
      <c r="AO190">
        <v>1</v>
      </c>
      <c r="AP190">
        <v>1</v>
      </c>
      <c r="AQ190">
        <v>0</v>
      </c>
      <c r="AR190">
        <v>0</v>
      </c>
      <c r="AS190" t="s">
        <v>3</v>
      </c>
      <c r="AT190">
        <v>1.03</v>
      </c>
      <c r="AU190" t="s">
        <v>71</v>
      </c>
      <c r="AV190">
        <v>0</v>
      </c>
      <c r="AW190">
        <v>2</v>
      </c>
      <c r="AX190">
        <v>57015387</v>
      </c>
      <c r="AY190">
        <v>1</v>
      </c>
      <c r="AZ190">
        <v>0</v>
      </c>
      <c r="BA190">
        <v>244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</v>
      </c>
      <c r="CV190">
        <v>0</v>
      </c>
      <c r="CW190">
        <f>ROUND(Y190*Source!I186*DO190,9)</f>
        <v>15.9102864</v>
      </c>
      <c r="CX190">
        <f>ROUND(Y190*Source!I186,9)</f>
        <v>1.2607200000000001</v>
      </c>
      <c r="CY190">
        <f>AB190</f>
        <v>87.01</v>
      </c>
      <c r="CZ190">
        <f>AF190</f>
        <v>83.1</v>
      </c>
      <c r="DA190">
        <f>AJ190</f>
        <v>1</v>
      </c>
      <c r="DB190">
        <f>ROUND((ROUND(AT190*CZ190,2)*1.2),6)</f>
        <v>102.708</v>
      </c>
      <c r="DC190">
        <f>ROUND((ROUND(AT190*AG190,2)*1.2),6)</f>
        <v>15.6</v>
      </c>
      <c r="DD190" t="s">
        <v>3</v>
      </c>
      <c r="DE190" t="s">
        <v>3</v>
      </c>
      <c r="DF190">
        <f t="shared" si="54"/>
        <v>0</v>
      </c>
      <c r="DG190">
        <f t="shared" si="53"/>
        <v>104.77</v>
      </c>
      <c r="DH190">
        <f t="shared" si="51"/>
        <v>15.91</v>
      </c>
      <c r="DI190">
        <f t="shared" si="37"/>
        <v>0</v>
      </c>
      <c r="DJ190">
        <f>DG190</f>
        <v>104.77</v>
      </c>
      <c r="DK190">
        <v>0</v>
      </c>
      <c r="DL190" t="s">
        <v>392</v>
      </c>
      <c r="DM190">
        <v>0</v>
      </c>
      <c r="DN190" t="s">
        <v>387</v>
      </c>
      <c r="DO190">
        <v>12.62</v>
      </c>
    </row>
    <row r="191" spans="1:119" x14ac:dyDescent="0.25">
      <c r="A191">
        <f>ROW(Source!A186)</f>
        <v>186</v>
      </c>
      <c r="B191">
        <v>57014138</v>
      </c>
      <c r="C191">
        <v>57015385</v>
      </c>
      <c r="D191">
        <v>55490324</v>
      </c>
      <c r="E191">
        <v>1</v>
      </c>
      <c r="F191">
        <v>1</v>
      </c>
      <c r="G191">
        <v>1081</v>
      </c>
      <c r="H191">
        <v>2</v>
      </c>
      <c r="I191" t="s">
        <v>473</v>
      </c>
      <c r="J191" t="s">
        <v>474</v>
      </c>
      <c r="K191" t="s">
        <v>475</v>
      </c>
      <c r="L191">
        <v>1368</v>
      </c>
      <c r="N191">
        <v>1011</v>
      </c>
      <c r="O191" t="s">
        <v>391</v>
      </c>
      <c r="P191" t="s">
        <v>391</v>
      </c>
      <c r="Q191">
        <v>1</v>
      </c>
      <c r="W191">
        <v>0</v>
      </c>
      <c r="X191">
        <v>1906446486</v>
      </c>
      <c r="Y191">
        <f>(AT191*1.2)</f>
        <v>26.495999999999999</v>
      </c>
      <c r="AA191">
        <v>0</v>
      </c>
      <c r="AB191">
        <v>0.37</v>
      </c>
      <c r="AC191">
        <v>0</v>
      </c>
      <c r="AD191">
        <v>0</v>
      </c>
      <c r="AE191">
        <v>0</v>
      </c>
      <c r="AF191">
        <v>0.35</v>
      </c>
      <c r="AG191">
        <v>0</v>
      </c>
      <c r="AH191">
        <v>0</v>
      </c>
      <c r="AI191">
        <v>1</v>
      </c>
      <c r="AJ191">
        <v>1</v>
      </c>
      <c r="AK191">
        <v>1</v>
      </c>
      <c r="AL191">
        <v>1</v>
      </c>
      <c r="AM191">
        <v>-2</v>
      </c>
      <c r="AN191">
        <v>0</v>
      </c>
      <c r="AO191">
        <v>1</v>
      </c>
      <c r="AP191">
        <v>1</v>
      </c>
      <c r="AQ191">
        <v>0</v>
      </c>
      <c r="AR191">
        <v>0</v>
      </c>
      <c r="AS191" t="s">
        <v>3</v>
      </c>
      <c r="AT191">
        <v>22.08</v>
      </c>
      <c r="AU191" t="s">
        <v>71</v>
      </c>
      <c r="AV191">
        <v>0</v>
      </c>
      <c r="AW191">
        <v>2</v>
      </c>
      <c r="AX191">
        <v>57015388</v>
      </c>
      <c r="AY191">
        <v>1</v>
      </c>
      <c r="AZ191">
        <v>0</v>
      </c>
      <c r="BA191">
        <v>245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</v>
      </c>
      <c r="CV191">
        <v>0</v>
      </c>
      <c r="CW191">
        <f>ROUND(Y191*Source!I186*DO191,9)</f>
        <v>0</v>
      </c>
      <c r="CX191">
        <f>ROUND(Y191*Source!I186,9)</f>
        <v>27.025919999999999</v>
      </c>
      <c r="CY191">
        <f>AB191</f>
        <v>0.37</v>
      </c>
      <c r="CZ191">
        <f>AF191</f>
        <v>0.35</v>
      </c>
      <c r="DA191">
        <f>AJ191</f>
        <v>1</v>
      </c>
      <c r="DB191">
        <f>ROUND((ROUND(AT191*CZ191,2)*1.2),6)</f>
        <v>9.2759999999999998</v>
      </c>
      <c r="DC191">
        <f>ROUND((ROUND(AT191*AG191,2)*1.2),6)</f>
        <v>0</v>
      </c>
      <c r="DD191" t="s">
        <v>3</v>
      </c>
      <c r="DE191" t="s">
        <v>3</v>
      </c>
      <c r="DF191">
        <f t="shared" si="54"/>
        <v>0</v>
      </c>
      <c r="DG191">
        <f t="shared" si="53"/>
        <v>9.4600000000000009</v>
      </c>
      <c r="DH191">
        <f t="shared" si="51"/>
        <v>0</v>
      </c>
      <c r="DI191">
        <f t="shared" si="37"/>
        <v>0</v>
      </c>
      <c r="DJ191">
        <f>DG191</f>
        <v>9.4600000000000009</v>
      </c>
      <c r="DK191">
        <v>0</v>
      </c>
      <c r="DL191" t="s">
        <v>3</v>
      </c>
      <c r="DM191">
        <v>0</v>
      </c>
      <c r="DN191" t="s">
        <v>3</v>
      </c>
      <c r="DO191">
        <v>0</v>
      </c>
    </row>
    <row r="192" spans="1:119" x14ac:dyDescent="0.25">
      <c r="A192">
        <f>ROW(Source!A186)</f>
        <v>186</v>
      </c>
      <c r="B192">
        <v>57014138</v>
      </c>
      <c r="C192">
        <v>57015385</v>
      </c>
      <c r="D192">
        <v>55460424</v>
      </c>
      <c r="E192">
        <v>1</v>
      </c>
      <c r="F192">
        <v>1</v>
      </c>
      <c r="G192">
        <v>1081</v>
      </c>
      <c r="H192">
        <v>3</v>
      </c>
      <c r="I192" t="s">
        <v>470</v>
      </c>
      <c r="J192" t="s">
        <v>471</v>
      </c>
      <c r="K192" t="s">
        <v>472</v>
      </c>
      <c r="L192">
        <v>1346</v>
      </c>
      <c r="N192">
        <v>1009</v>
      </c>
      <c r="O192" t="s">
        <v>365</v>
      </c>
      <c r="P192" t="s">
        <v>365</v>
      </c>
      <c r="Q192">
        <v>1</v>
      </c>
      <c r="W192">
        <v>0</v>
      </c>
      <c r="X192">
        <v>1309298634</v>
      </c>
      <c r="Y192">
        <f>(AT192*1)</f>
        <v>0.21</v>
      </c>
      <c r="AA192">
        <v>159.06</v>
      </c>
      <c r="AB192">
        <v>0</v>
      </c>
      <c r="AC192">
        <v>0</v>
      </c>
      <c r="AD192">
        <v>0</v>
      </c>
      <c r="AE192">
        <v>159.06</v>
      </c>
      <c r="AF192">
        <v>0</v>
      </c>
      <c r="AG192">
        <v>0</v>
      </c>
      <c r="AH192">
        <v>0</v>
      </c>
      <c r="AI192">
        <v>1</v>
      </c>
      <c r="AJ192">
        <v>1</v>
      </c>
      <c r="AK192">
        <v>1</v>
      </c>
      <c r="AL192">
        <v>1</v>
      </c>
      <c r="AM192">
        <v>-2</v>
      </c>
      <c r="AN192">
        <v>0</v>
      </c>
      <c r="AO192">
        <v>1</v>
      </c>
      <c r="AP192">
        <v>1</v>
      </c>
      <c r="AQ192">
        <v>0</v>
      </c>
      <c r="AR192">
        <v>0</v>
      </c>
      <c r="AS192" t="s">
        <v>3</v>
      </c>
      <c r="AT192">
        <v>0.21</v>
      </c>
      <c r="AU192" t="s">
        <v>70</v>
      </c>
      <c r="AV192">
        <v>0</v>
      </c>
      <c r="AW192">
        <v>2</v>
      </c>
      <c r="AX192">
        <v>57015389</v>
      </c>
      <c r="AY192">
        <v>1</v>
      </c>
      <c r="AZ192">
        <v>0</v>
      </c>
      <c r="BA192">
        <v>246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  <c r="CV192">
        <v>0</v>
      </c>
      <c r="CW192">
        <v>0</v>
      </c>
      <c r="CX192">
        <f>ROUND(Y192*Source!I186,9)</f>
        <v>0.2142</v>
      </c>
      <c r="CY192">
        <f>AA192</f>
        <v>159.06</v>
      </c>
      <c r="CZ192">
        <f>AE192</f>
        <v>159.06</v>
      </c>
      <c r="DA192">
        <f>AI192</f>
        <v>1</v>
      </c>
      <c r="DB192">
        <f>ROUND((ROUND(AT192*CZ192,2)*1),6)</f>
        <v>33.4</v>
      </c>
      <c r="DC192">
        <f>ROUND((ROUND(AT192*AG192,2)*1),6)</f>
        <v>0</v>
      </c>
      <c r="DD192" t="s">
        <v>3</v>
      </c>
      <c r="DE192" t="s">
        <v>3</v>
      </c>
      <c r="DF192">
        <f t="shared" si="54"/>
        <v>34.07</v>
      </c>
      <c r="DG192">
        <f t="shared" si="53"/>
        <v>0</v>
      </c>
      <c r="DH192">
        <f t="shared" si="51"/>
        <v>0</v>
      </c>
      <c r="DI192">
        <f t="shared" si="37"/>
        <v>0</v>
      </c>
      <c r="DJ192">
        <f>DF192</f>
        <v>34.07</v>
      </c>
      <c r="DK192">
        <v>0</v>
      </c>
      <c r="DL192" t="s">
        <v>3</v>
      </c>
      <c r="DM192">
        <v>0</v>
      </c>
      <c r="DN192" t="s">
        <v>3</v>
      </c>
      <c r="DO192">
        <v>0</v>
      </c>
    </row>
    <row r="193" spans="1:119" x14ac:dyDescent="0.25">
      <c r="A193">
        <f>ROW(Source!A186)</f>
        <v>186</v>
      </c>
      <c r="B193">
        <v>57014138</v>
      </c>
      <c r="C193">
        <v>57015385</v>
      </c>
      <c r="D193">
        <v>55459340</v>
      </c>
      <c r="E193">
        <v>1</v>
      </c>
      <c r="F193">
        <v>1</v>
      </c>
      <c r="G193">
        <v>1081</v>
      </c>
      <c r="H193">
        <v>3</v>
      </c>
      <c r="I193" t="s">
        <v>406</v>
      </c>
      <c r="J193" t="s">
        <v>407</v>
      </c>
      <c r="K193" t="s">
        <v>408</v>
      </c>
      <c r="L193">
        <v>1354</v>
      </c>
      <c r="N193">
        <v>1010</v>
      </c>
      <c r="O193" t="s">
        <v>251</v>
      </c>
      <c r="P193" t="s">
        <v>251</v>
      </c>
      <c r="Q193">
        <v>1</v>
      </c>
      <c r="W193">
        <v>0</v>
      </c>
      <c r="X193">
        <v>-1352077490</v>
      </c>
      <c r="Y193">
        <f>(AT193*1)</f>
        <v>4.08</v>
      </c>
      <c r="AA193">
        <v>0.89</v>
      </c>
      <c r="AB193">
        <v>0</v>
      </c>
      <c r="AC193">
        <v>0</v>
      </c>
      <c r="AD193">
        <v>0</v>
      </c>
      <c r="AE193">
        <v>0.89</v>
      </c>
      <c r="AF193">
        <v>0</v>
      </c>
      <c r="AG193">
        <v>0</v>
      </c>
      <c r="AH193">
        <v>0</v>
      </c>
      <c r="AI193">
        <v>1</v>
      </c>
      <c r="AJ193">
        <v>1</v>
      </c>
      <c r="AK193">
        <v>1</v>
      </c>
      <c r="AL193">
        <v>1</v>
      </c>
      <c r="AM193">
        <v>-2</v>
      </c>
      <c r="AN193">
        <v>0</v>
      </c>
      <c r="AO193">
        <v>1</v>
      </c>
      <c r="AP193">
        <v>1</v>
      </c>
      <c r="AQ193">
        <v>0</v>
      </c>
      <c r="AR193">
        <v>0</v>
      </c>
      <c r="AS193" t="s">
        <v>3</v>
      </c>
      <c r="AT193">
        <v>4.08</v>
      </c>
      <c r="AU193" t="s">
        <v>70</v>
      </c>
      <c r="AV193">
        <v>0</v>
      </c>
      <c r="AW193">
        <v>2</v>
      </c>
      <c r="AX193">
        <v>57015390</v>
      </c>
      <c r="AY193">
        <v>1</v>
      </c>
      <c r="AZ193">
        <v>0</v>
      </c>
      <c r="BA193">
        <v>247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0</v>
      </c>
      <c r="CV193">
        <v>0</v>
      </c>
      <c r="CW193">
        <v>0</v>
      </c>
      <c r="CX193">
        <f>ROUND(Y193*Source!I186,9)</f>
        <v>4.1616</v>
      </c>
      <c r="CY193">
        <f>AA193</f>
        <v>0.89</v>
      </c>
      <c r="CZ193">
        <f>AE193</f>
        <v>0.89</v>
      </c>
      <c r="DA193">
        <f>AI193</f>
        <v>1</v>
      </c>
      <c r="DB193">
        <f>ROUND((ROUND(AT193*CZ193,2)*1),6)</f>
        <v>3.63</v>
      </c>
      <c r="DC193">
        <f>ROUND((ROUND(AT193*AG193,2)*1),6)</f>
        <v>0</v>
      </c>
      <c r="DD193" t="s">
        <v>3</v>
      </c>
      <c r="DE193" t="s">
        <v>3</v>
      </c>
      <c r="DF193">
        <f t="shared" si="54"/>
        <v>3.7</v>
      </c>
      <c r="DG193">
        <f t="shared" si="53"/>
        <v>0</v>
      </c>
      <c r="DH193">
        <f t="shared" si="51"/>
        <v>0</v>
      </c>
      <c r="DI193">
        <f t="shared" ref="DI193:DI244" si="55">ROUND(ROUND(AH193,2)*CX193,2)</f>
        <v>0</v>
      </c>
      <c r="DJ193">
        <f>DF193</f>
        <v>3.7</v>
      </c>
      <c r="DK193">
        <v>0</v>
      </c>
      <c r="DL193" t="s">
        <v>3</v>
      </c>
      <c r="DM193">
        <v>0</v>
      </c>
      <c r="DN193" t="s">
        <v>3</v>
      </c>
      <c r="DO193">
        <v>0</v>
      </c>
    </row>
    <row r="194" spans="1:119" x14ac:dyDescent="0.25">
      <c r="A194">
        <f>ROW(Source!A186)</f>
        <v>186</v>
      </c>
      <c r="B194">
        <v>57014138</v>
      </c>
      <c r="C194">
        <v>57015385</v>
      </c>
      <c r="D194">
        <v>55487873</v>
      </c>
      <c r="E194">
        <v>1</v>
      </c>
      <c r="F194">
        <v>1</v>
      </c>
      <c r="G194">
        <v>1081</v>
      </c>
      <c r="H194">
        <v>3</v>
      </c>
      <c r="I194" t="s">
        <v>476</v>
      </c>
      <c r="J194" t="s">
        <v>477</v>
      </c>
      <c r="K194" t="s">
        <v>478</v>
      </c>
      <c r="L194">
        <v>1303</v>
      </c>
      <c r="N194">
        <v>1003</v>
      </c>
      <c r="O194" t="s">
        <v>433</v>
      </c>
      <c r="P194" t="s">
        <v>433</v>
      </c>
      <c r="Q194">
        <v>1000</v>
      </c>
      <c r="W194">
        <v>0</v>
      </c>
      <c r="X194">
        <v>1578855358</v>
      </c>
      <c r="Y194">
        <f>(AT194*1)</f>
        <v>1.5299999999999999E-2</v>
      </c>
      <c r="AA194">
        <v>2897.31</v>
      </c>
      <c r="AB194">
        <v>0</v>
      </c>
      <c r="AC194">
        <v>0</v>
      </c>
      <c r="AD194">
        <v>0</v>
      </c>
      <c r="AE194">
        <v>2897.31</v>
      </c>
      <c r="AF194">
        <v>0</v>
      </c>
      <c r="AG194">
        <v>0</v>
      </c>
      <c r="AH194">
        <v>0</v>
      </c>
      <c r="AI194">
        <v>1</v>
      </c>
      <c r="AJ194">
        <v>1</v>
      </c>
      <c r="AK194">
        <v>1</v>
      </c>
      <c r="AL194">
        <v>1</v>
      </c>
      <c r="AM194">
        <v>-2</v>
      </c>
      <c r="AN194">
        <v>0</v>
      </c>
      <c r="AO194">
        <v>1</v>
      </c>
      <c r="AP194">
        <v>1</v>
      </c>
      <c r="AQ194">
        <v>0</v>
      </c>
      <c r="AR194">
        <v>0</v>
      </c>
      <c r="AS194" t="s">
        <v>3</v>
      </c>
      <c r="AT194">
        <v>1.5299999999999999E-2</v>
      </c>
      <c r="AU194" t="s">
        <v>70</v>
      </c>
      <c r="AV194">
        <v>0</v>
      </c>
      <c r="AW194">
        <v>2</v>
      </c>
      <c r="AX194">
        <v>57015391</v>
      </c>
      <c r="AY194">
        <v>1</v>
      </c>
      <c r="AZ194">
        <v>0</v>
      </c>
      <c r="BA194">
        <v>248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</v>
      </c>
      <c r="CV194">
        <v>0</v>
      </c>
      <c r="CW194">
        <v>0</v>
      </c>
      <c r="CX194">
        <f>ROUND(Y194*Source!I186,9)</f>
        <v>1.5606E-2</v>
      </c>
      <c r="CY194">
        <f>AA194</f>
        <v>2897.31</v>
      </c>
      <c r="CZ194">
        <f>AE194</f>
        <v>2897.31</v>
      </c>
      <c r="DA194">
        <f>AI194</f>
        <v>1</v>
      </c>
      <c r="DB194">
        <f>ROUND((ROUND(AT194*CZ194,2)*1),6)</f>
        <v>44.33</v>
      </c>
      <c r="DC194">
        <f>ROUND((ROUND(AT194*AG194,2)*1),6)</f>
        <v>0</v>
      </c>
      <c r="DD194" t="s">
        <v>3</v>
      </c>
      <c r="DE194" t="s">
        <v>3</v>
      </c>
      <c r="DF194">
        <f t="shared" si="54"/>
        <v>45.22</v>
      </c>
      <c r="DG194">
        <f t="shared" si="53"/>
        <v>0</v>
      </c>
      <c r="DH194">
        <f t="shared" si="51"/>
        <v>0</v>
      </c>
      <c r="DI194">
        <f t="shared" si="55"/>
        <v>0</v>
      </c>
      <c r="DJ194">
        <f>DF194</f>
        <v>45.22</v>
      </c>
      <c r="DK194">
        <v>0</v>
      </c>
      <c r="DL194" t="s">
        <v>3</v>
      </c>
      <c r="DM194">
        <v>0</v>
      </c>
      <c r="DN194" t="s">
        <v>3</v>
      </c>
      <c r="DO194">
        <v>0</v>
      </c>
    </row>
    <row r="195" spans="1:119" x14ac:dyDescent="0.25">
      <c r="A195">
        <f>ROW(Source!A187)</f>
        <v>187</v>
      </c>
      <c r="B195">
        <v>57014140</v>
      </c>
      <c r="C195">
        <v>57015385</v>
      </c>
      <c r="D195">
        <v>55424304</v>
      </c>
      <c r="E195">
        <v>1081</v>
      </c>
      <c r="F195">
        <v>1</v>
      </c>
      <c r="G195">
        <v>1081</v>
      </c>
      <c r="H195">
        <v>1</v>
      </c>
      <c r="I195" t="s">
        <v>385</v>
      </c>
      <c r="J195" t="s">
        <v>3</v>
      </c>
      <c r="K195" t="s">
        <v>386</v>
      </c>
      <c r="L195">
        <v>1191</v>
      </c>
      <c r="N195">
        <v>1013</v>
      </c>
      <c r="O195" t="s">
        <v>387</v>
      </c>
      <c r="P195" t="s">
        <v>387</v>
      </c>
      <c r="Q195">
        <v>1</v>
      </c>
      <c r="W195">
        <v>0</v>
      </c>
      <c r="X195">
        <v>476480486</v>
      </c>
      <c r="Y195">
        <f>(AT195*1.2)</f>
        <v>101.604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1</v>
      </c>
      <c r="AJ195">
        <v>1</v>
      </c>
      <c r="AK195">
        <v>1</v>
      </c>
      <c r="AL195">
        <v>1</v>
      </c>
      <c r="AM195">
        <v>5</v>
      </c>
      <c r="AN195">
        <v>0</v>
      </c>
      <c r="AO195">
        <v>1</v>
      </c>
      <c r="AP195">
        <v>1</v>
      </c>
      <c r="AQ195">
        <v>0</v>
      </c>
      <c r="AR195">
        <v>0</v>
      </c>
      <c r="AS195" t="s">
        <v>3</v>
      </c>
      <c r="AT195">
        <v>84.67</v>
      </c>
      <c r="AU195" t="s">
        <v>71</v>
      </c>
      <c r="AV195">
        <v>1</v>
      </c>
      <c r="AW195">
        <v>2</v>
      </c>
      <c r="AX195">
        <v>57015386</v>
      </c>
      <c r="AY195">
        <v>1</v>
      </c>
      <c r="AZ195">
        <v>0</v>
      </c>
      <c r="BA195">
        <v>251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CU195">
        <f>ROUND(AT195*Source!I187*AH195*AL195,2)</f>
        <v>0</v>
      </c>
      <c r="CV195">
        <f>ROUND(Y195*Source!I187,9)</f>
        <v>103.63608000000001</v>
      </c>
      <c r="CW195">
        <v>0</v>
      </c>
      <c r="CX195">
        <f>ROUND(Y195*Source!I187,9)</f>
        <v>103.63608000000001</v>
      </c>
      <c r="CY195">
        <f>AD195</f>
        <v>0</v>
      </c>
      <c r="CZ195">
        <f>AH195</f>
        <v>0</v>
      </c>
      <c r="DA195">
        <f>AL195</f>
        <v>1</v>
      </c>
      <c r="DB195">
        <f>ROUND((ROUND(AT195*CZ195,2)*1.2),6)</f>
        <v>0</v>
      </c>
      <c r="DC195">
        <f>ROUND((ROUND(AT195*AG195,2)*1.2),6)</f>
        <v>0</v>
      </c>
      <c r="DD195" t="s">
        <v>3</v>
      </c>
      <c r="DE195" t="s">
        <v>3</v>
      </c>
      <c r="DF195">
        <f t="shared" si="54"/>
        <v>0</v>
      </c>
      <c r="DG195">
        <f t="shared" si="53"/>
        <v>0</v>
      </c>
      <c r="DH195">
        <f t="shared" si="51"/>
        <v>0</v>
      </c>
      <c r="DI195">
        <f t="shared" si="55"/>
        <v>0</v>
      </c>
      <c r="DJ195">
        <f>DI195</f>
        <v>0</v>
      </c>
      <c r="DK195">
        <v>0</v>
      </c>
      <c r="DL195" t="s">
        <v>3</v>
      </c>
      <c r="DM195">
        <v>0</v>
      </c>
      <c r="DN195" t="s">
        <v>3</v>
      </c>
      <c r="DO195">
        <v>0</v>
      </c>
    </row>
    <row r="196" spans="1:119" x14ac:dyDescent="0.25">
      <c r="A196">
        <f>ROW(Source!A187)</f>
        <v>187</v>
      </c>
      <c r="B196">
        <v>57014140</v>
      </c>
      <c r="C196">
        <v>57015385</v>
      </c>
      <c r="D196">
        <v>55490209</v>
      </c>
      <c r="E196">
        <v>1</v>
      </c>
      <c r="F196">
        <v>1</v>
      </c>
      <c r="G196">
        <v>1081</v>
      </c>
      <c r="H196">
        <v>2</v>
      </c>
      <c r="I196" t="s">
        <v>460</v>
      </c>
      <c r="J196" t="s">
        <v>461</v>
      </c>
      <c r="K196" t="s">
        <v>462</v>
      </c>
      <c r="L196">
        <v>1368</v>
      </c>
      <c r="N196">
        <v>1011</v>
      </c>
      <c r="O196" t="s">
        <v>391</v>
      </c>
      <c r="P196" t="s">
        <v>391</v>
      </c>
      <c r="Q196">
        <v>1</v>
      </c>
      <c r="W196">
        <v>0</v>
      </c>
      <c r="X196">
        <v>874612079</v>
      </c>
      <c r="Y196">
        <f>(AT196*1.2)</f>
        <v>1.236</v>
      </c>
      <c r="AA196">
        <v>0</v>
      </c>
      <c r="AB196">
        <v>1485.19</v>
      </c>
      <c r="AC196">
        <v>744.56</v>
      </c>
      <c r="AD196">
        <v>0</v>
      </c>
      <c r="AE196">
        <v>0</v>
      </c>
      <c r="AF196">
        <v>83.1</v>
      </c>
      <c r="AG196">
        <v>12.62</v>
      </c>
      <c r="AH196">
        <v>0</v>
      </c>
      <c r="AI196">
        <v>1</v>
      </c>
      <c r="AJ196">
        <v>17.07</v>
      </c>
      <c r="AK196">
        <v>56.35</v>
      </c>
      <c r="AL196">
        <v>1</v>
      </c>
      <c r="AM196">
        <v>2</v>
      </c>
      <c r="AN196">
        <v>0</v>
      </c>
      <c r="AO196">
        <v>1</v>
      </c>
      <c r="AP196">
        <v>1</v>
      </c>
      <c r="AQ196">
        <v>0</v>
      </c>
      <c r="AR196">
        <v>0</v>
      </c>
      <c r="AS196" t="s">
        <v>3</v>
      </c>
      <c r="AT196">
        <v>1.03</v>
      </c>
      <c r="AU196" t="s">
        <v>71</v>
      </c>
      <c r="AV196">
        <v>0</v>
      </c>
      <c r="AW196">
        <v>2</v>
      </c>
      <c r="AX196">
        <v>57015387</v>
      </c>
      <c r="AY196">
        <v>1</v>
      </c>
      <c r="AZ196">
        <v>0</v>
      </c>
      <c r="BA196">
        <v>252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CV196">
        <v>0</v>
      </c>
      <c r="CW196">
        <f>ROUND(Y196*Source!I187*DO196,9)</f>
        <v>15.9102864</v>
      </c>
      <c r="CX196">
        <f>ROUND(Y196*Source!I187,9)</f>
        <v>1.2607200000000001</v>
      </c>
      <c r="CY196">
        <f>AB196</f>
        <v>1485.19</v>
      </c>
      <c r="CZ196">
        <f>AF196</f>
        <v>83.1</v>
      </c>
      <c r="DA196">
        <f>AJ196</f>
        <v>17.07</v>
      </c>
      <c r="DB196">
        <f>ROUND((ROUND(AT196*CZ196,2)*1.2),6)</f>
        <v>102.708</v>
      </c>
      <c r="DC196">
        <f>ROUND((ROUND(AT196*AG196,2)*1.2),6)</f>
        <v>15.6</v>
      </c>
      <c r="DD196" t="s">
        <v>3</v>
      </c>
      <c r="DE196" t="s">
        <v>3</v>
      </c>
      <c r="DF196">
        <f t="shared" si="54"/>
        <v>0</v>
      </c>
      <c r="DG196">
        <f>ROUND(ROUND(AF196*AJ196,2)*CX196,2)</f>
        <v>1788.36</v>
      </c>
      <c r="DH196">
        <f>ROUND(ROUND(AG196*AK196,2)*CX196,2)</f>
        <v>896.55</v>
      </c>
      <c r="DI196">
        <f t="shared" si="55"/>
        <v>0</v>
      </c>
      <c r="DJ196">
        <f>DG196</f>
        <v>1788.36</v>
      </c>
      <c r="DK196">
        <v>0</v>
      </c>
      <c r="DL196" t="s">
        <v>392</v>
      </c>
      <c r="DM196">
        <v>0</v>
      </c>
      <c r="DN196" t="s">
        <v>387</v>
      </c>
      <c r="DO196">
        <v>12.62</v>
      </c>
    </row>
    <row r="197" spans="1:119" x14ac:dyDescent="0.25">
      <c r="A197">
        <f>ROW(Source!A187)</f>
        <v>187</v>
      </c>
      <c r="B197">
        <v>57014140</v>
      </c>
      <c r="C197">
        <v>57015385</v>
      </c>
      <c r="D197">
        <v>55490324</v>
      </c>
      <c r="E197">
        <v>1</v>
      </c>
      <c r="F197">
        <v>1</v>
      </c>
      <c r="G197">
        <v>1081</v>
      </c>
      <c r="H197">
        <v>2</v>
      </c>
      <c r="I197" t="s">
        <v>473</v>
      </c>
      <c r="J197" t="s">
        <v>474</v>
      </c>
      <c r="K197" t="s">
        <v>475</v>
      </c>
      <c r="L197">
        <v>1368</v>
      </c>
      <c r="N197">
        <v>1011</v>
      </c>
      <c r="O197" t="s">
        <v>391</v>
      </c>
      <c r="P197" t="s">
        <v>391</v>
      </c>
      <c r="Q197">
        <v>1</v>
      </c>
      <c r="W197">
        <v>0</v>
      </c>
      <c r="X197">
        <v>1906446486</v>
      </c>
      <c r="Y197">
        <f>(AT197*1.2)</f>
        <v>26.495999999999999</v>
      </c>
      <c r="AA197">
        <v>0</v>
      </c>
      <c r="AB197">
        <v>3.37</v>
      </c>
      <c r="AC197">
        <v>0</v>
      </c>
      <c r="AD197">
        <v>0</v>
      </c>
      <c r="AE197">
        <v>0</v>
      </c>
      <c r="AF197">
        <v>0.35</v>
      </c>
      <c r="AG197">
        <v>0</v>
      </c>
      <c r="AH197">
        <v>0</v>
      </c>
      <c r="AI197">
        <v>1</v>
      </c>
      <c r="AJ197">
        <v>9.1999999999999993</v>
      </c>
      <c r="AK197">
        <v>1</v>
      </c>
      <c r="AL197">
        <v>1</v>
      </c>
      <c r="AM197">
        <v>2</v>
      </c>
      <c r="AN197">
        <v>0</v>
      </c>
      <c r="AO197">
        <v>1</v>
      </c>
      <c r="AP197">
        <v>1</v>
      </c>
      <c r="AQ197">
        <v>0</v>
      </c>
      <c r="AR197">
        <v>0</v>
      </c>
      <c r="AS197" t="s">
        <v>3</v>
      </c>
      <c r="AT197">
        <v>22.08</v>
      </c>
      <c r="AU197" t="s">
        <v>71</v>
      </c>
      <c r="AV197">
        <v>0</v>
      </c>
      <c r="AW197">
        <v>2</v>
      </c>
      <c r="AX197">
        <v>57015388</v>
      </c>
      <c r="AY197">
        <v>1</v>
      </c>
      <c r="AZ197">
        <v>0</v>
      </c>
      <c r="BA197">
        <v>253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CV197">
        <v>0</v>
      </c>
      <c r="CW197">
        <f>ROUND(Y197*Source!I187*DO197,9)</f>
        <v>0</v>
      </c>
      <c r="CX197">
        <f>ROUND(Y197*Source!I187,9)</f>
        <v>27.025919999999999</v>
      </c>
      <c r="CY197">
        <f>AB197</f>
        <v>3.37</v>
      </c>
      <c r="CZ197">
        <f>AF197</f>
        <v>0.35</v>
      </c>
      <c r="DA197">
        <f>AJ197</f>
        <v>9.1999999999999993</v>
      </c>
      <c r="DB197">
        <f>ROUND((ROUND(AT197*CZ197,2)*1.2),6)</f>
        <v>9.2759999999999998</v>
      </c>
      <c r="DC197">
        <f>ROUND((ROUND(AT197*AG197,2)*1.2),6)</f>
        <v>0</v>
      </c>
      <c r="DD197" t="s">
        <v>3</v>
      </c>
      <c r="DE197" t="s">
        <v>3</v>
      </c>
      <c r="DF197">
        <f t="shared" si="54"/>
        <v>0</v>
      </c>
      <c r="DG197">
        <f>ROUND(ROUND(AF197*AJ197,2)*CX197,2)</f>
        <v>87.02</v>
      </c>
      <c r="DH197">
        <f t="shared" ref="DH197:DH244" si="56">ROUND(ROUND(AG197,2)*CX197,2)</f>
        <v>0</v>
      </c>
      <c r="DI197">
        <f t="shared" si="55"/>
        <v>0</v>
      </c>
      <c r="DJ197">
        <f>DG197</f>
        <v>87.02</v>
      </c>
      <c r="DK197">
        <v>0</v>
      </c>
      <c r="DL197" t="s">
        <v>3</v>
      </c>
      <c r="DM197">
        <v>0</v>
      </c>
      <c r="DN197" t="s">
        <v>3</v>
      </c>
      <c r="DO197">
        <v>0</v>
      </c>
    </row>
    <row r="198" spans="1:119" x14ac:dyDescent="0.25">
      <c r="A198">
        <f>ROW(Source!A187)</f>
        <v>187</v>
      </c>
      <c r="B198">
        <v>57014140</v>
      </c>
      <c r="C198">
        <v>57015385</v>
      </c>
      <c r="D198">
        <v>55460424</v>
      </c>
      <c r="E198">
        <v>1</v>
      </c>
      <c r="F198">
        <v>1</v>
      </c>
      <c r="G198">
        <v>1081</v>
      </c>
      <c r="H198">
        <v>3</v>
      </c>
      <c r="I198" t="s">
        <v>470</v>
      </c>
      <c r="J198" t="s">
        <v>471</v>
      </c>
      <c r="K198" t="s">
        <v>472</v>
      </c>
      <c r="L198">
        <v>1346</v>
      </c>
      <c r="N198">
        <v>1009</v>
      </c>
      <c r="O198" t="s">
        <v>365</v>
      </c>
      <c r="P198" t="s">
        <v>365</v>
      </c>
      <c r="Q198">
        <v>1</v>
      </c>
      <c r="W198">
        <v>0</v>
      </c>
      <c r="X198">
        <v>1309298634</v>
      </c>
      <c r="Y198">
        <f>(AT198*1)</f>
        <v>0.21</v>
      </c>
      <c r="AA198">
        <v>286.31</v>
      </c>
      <c r="AB198">
        <v>0</v>
      </c>
      <c r="AC198">
        <v>0</v>
      </c>
      <c r="AD198">
        <v>0</v>
      </c>
      <c r="AE198">
        <v>159.06</v>
      </c>
      <c r="AF198">
        <v>0</v>
      </c>
      <c r="AG198">
        <v>0</v>
      </c>
      <c r="AH198">
        <v>0</v>
      </c>
      <c r="AI198">
        <v>1.8</v>
      </c>
      <c r="AJ198">
        <v>1</v>
      </c>
      <c r="AK198">
        <v>1</v>
      </c>
      <c r="AL198">
        <v>1</v>
      </c>
      <c r="AM198">
        <v>2</v>
      </c>
      <c r="AN198">
        <v>0</v>
      </c>
      <c r="AO198">
        <v>1</v>
      </c>
      <c r="AP198">
        <v>1</v>
      </c>
      <c r="AQ198">
        <v>0</v>
      </c>
      <c r="AR198">
        <v>0</v>
      </c>
      <c r="AS198" t="s">
        <v>3</v>
      </c>
      <c r="AT198">
        <v>0.21</v>
      </c>
      <c r="AU198" t="s">
        <v>70</v>
      </c>
      <c r="AV198">
        <v>0</v>
      </c>
      <c r="AW198">
        <v>2</v>
      </c>
      <c r="AX198">
        <v>57015389</v>
      </c>
      <c r="AY198">
        <v>1</v>
      </c>
      <c r="AZ198">
        <v>0</v>
      </c>
      <c r="BA198">
        <v>254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CV198">
        <v>0</v>
      </c>
      <c r="CW198">
        <v>0</v>
      </c>
      <c r="CX198">
        <f>ROUND(Y198*Source!I187,9)</f>
        <v>0.2142</v>
      </c>
      <c r="CY198">
        <f>AA198</f>
        <v>286.31</v>
      </c>
      <c r="CZ198">
        <f>AE198</f>
        <v>159.06</v>
      </c>
      <c r="DA198">
        <f>AI198</f>
        <v>1.8</v>
      </c>
      <c r="DB198">
        <f>ROUND((ROUND(AT198*CZ198,2)*1),6)</f>
        <v>33.4</v>
      </c>
      <c r="DC198">
        <f>ROUND((ROUND(AT198*AG198,2)*1),6)</f>
        <v>0</v>
      </c>
      <c r="DD198" t="s">
        <v>3</v>
      </c>
      <c r="DE198" t="s">
        <v>3</v>
      </c>
      <c r="DF198">
        <f>ROUND(ROUND(AE198*AI198,2)*CX198,2)</f>
        <v>61.33</v>
      </c>
      <c r="DG198">
        <f t="shared" ref="DG198:DG235" si="57">ROUND(ROUND(AF198,2)*CX198,2)</f>
        <v>0</v>
      </c>
      <c r="DH198">
        <f t="shared" si="56"/>
        <v>0</v>
      </c>
      <c r="DI198">
        <f t="shared" si="55"/>
        <v>0</v>
      </c>
      <c r="DJ198">
        <f>DF198</f>
        <v>61.33</v>
      </c>
      <c r="DK198">
        <v>0</v>
      </c>
      <c r="DL198" t="s">
        <v>3</v>
      </c>
      <c r="DM198">
        <v>0</v>
      </c>
      <c r="DN198" t="s">
        <v>3</v>
      </c>
      <c r="DO198">
        <v>0</v>
      </c>
    </row>
    <row r="199" spans="1:119" x14ac:dyDescent="0.25">
      <c r="A199">
        <f>ROW(Source!A187)</f>
        <v>187</v>
      </c>
      <c r="B199">
        <v>57014140</v>
      </c>
      <c r="C199">
        <v>57015385</v>
      </c>
      <c r="D199">
        <v>55459340</v>
      </c>
      <c r="E199">
        <v>1</v>
      </c>
      <c r="F199">
        <v>1</v>
      </c>
      <c r="G199">
        <v>1081</v>
      </c>
      <c r="H199">
        <v>3</v>
      </c>
      <c r="I199" t="s">
        <v>406</v>
      </c>
      <c r="J199" t="s">
        <v>407</v>
      </c>
      <c r="K199" t="s">
        <v>408</v>
      </c>
      <c r="L199">
        <v>1354</v>
      </c>
      <c r="N199">
        <v>1010</v>
      </c>
      <c r="O199" t="s">
        <v>251</v>
      </c>
      <c r="P199" t="s">
        <v>251</v>
      </c>
      <c r="Q199">
        <v>1</v>
      </c>
      <c r="W199">
        <v>0</v>
      </c>
      <c r="X199">
        <v>-1352077490</v>
      </c>
      <c r="Y199">
        <f>(AT199*1)</f>
        <v>4.08</v>
      </c>
      <c r="AA199">
        <v>0.83</v>
      </c>
      <c r="AB199">
        <v>0</v>
      </c>
      <c r="AC199">
        <v>0</v>
      </c>
      <c r="AD199">
        <v>0</v>
      </c>
      <c r="AE199">
        <v>0.89</v>
      </c>
      <c r="AF199">
        <v>0</v>
      </c>
      <c r="AG199">
        <v>0</v>
      </c>
      <c r="AH199">
        <v>0</v>
      </c>
      <c r="AI199">
        <v>0.93</v>
      </c>
      <c r="AJ199">
        <v>1</v>
      </c>
      <c r="AK199">
        <v>1</v>
      </c>
      <c r="AL199">
        <v>1</v>
      </c>
      <c r="AM199">
        <v>2</v>
      </c>
      <c r="AN199">
        <v>0</v>
      </c>
      <c r="AO199">
        <v>1</v>
      </c>
      <c r="AP199">
        <v>1</v>
      </c>
      <c r="AQ199">
        <v>0</v>
      </c>
      <c r="AR199">
        <v>0</v>
      </c>
      <c r="AS199" t="s">
        <v>3</v>
      </c>
      <c r="AT199">
        <v>4.08</v>
      </c>
      <c r="AU199" t="s">
        <v>70</v>
      </c>
      <c r="AV199">
        <v>0</v>
      </c>
      <c r="AW199">
        <v>2</v>
      </c>
      <c r="AX199">
        <v>57015390</v>
      </c>
      <c r="AY199">
        <v>1</v>
      </c>
      <c r="AZ199">
        <v>0</v>
      </c>
      <c r="BA199">
        <v>255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</v>
      </c>
      <c r="CV199">
        <v>0</v>
      </c>
      <c r="CW199">
        <v>0</v>
      </c>
      <c r="CX199">
        <f>ROUND(Y199*Source!I187,9)</f>
        <v>4.1616</v>
      </c>
      <c r="CY199">
        <f>AA199</f>
        <v>0.83</v>
      </c>
      <c r="CZ199">
        <f>AE199</f>
        <v>0.89</v>
      </c>
      <c r="DA199">
        <f>AI199</f>
        <v>0.93</v>
      </c>
      <c r="DB199">
        <f>ROUND((ROUND(AT199*CZ199,2)*1),6)</f>
        <v>3.63</v>
      </c>
      <c r="DC199">
        <f>ROUND((ROUND(AT199*AG199,2)*1),6)</f>
        <v>0</v>
      </c>
      <c r="DD199" t="s">
        <v>3</v>
      </c>
      <c r="DE199" t="s">
        <v>3</v>
      </c>
      <c r="DF199">
        <f>ROUND(ROUND(AE199*AI199,2)*CX199,2)</f>
        <v>3.45</v>
      </c>
      <c r="DG199">
        <f t="shared" si="57"/>
        <v>0</v>
      </c>
      <c r="DH199">
        <f t="shared" si="56"/>
        <v>0</v>
      </c>
      <c r="DI199">
        <f t="shared" si="55"/>
        <v>0</v>
      </c>
      <c r="DJ199">
        <f>DF199</f>
        <v>3.45</v>
      </c>
      <c r="DK199">
        <v>0</v>
      </c>
      <c r="DL199" t="s">
        <v>3</v>
      </c>
      <c r="DM199">
        <v>0</v>
      </c>
      <c r="DN199" t="s">
        <v>3</v>
      </c>
      <c r="DO199">
        <v>0</v>
      </c>
    </row>
    <row r="200" spans="1:119" x14ac:dyDescent="0.25">
      <c r="A200">
        <f>ROW(Source!A187)</f>
        <v>187</v>
      </c>
      <c r="B200">
        <v>57014140</v>
      </c>
      <c r="C200">
        <v>57015385</v>
      </c>
      <c r="D200">
        <v>55487873</v>
      </c>
      <c r="E200">
        <v>1</v>
      </c>
      <c r="F200">
        <v>1</v>
      </c>
      <c r="G200">
        <v>1081</v>
      </c>
      <c r="H200">
        <v>3</v>
      </c>
      <c r="I200" t="s">
        <v>476</v>
      </c>
      <c r="J200" t="s">
        <v>477</v>
      </c>
      <c r="K200" t="s">
        <v>478</v>
      </c>
      <c r="L200">
        <v>1303</v>
      </c>
      <c r="N200">
        <v>1003</v>
      </c>
      <c r="O200" t="s">
        <v>433</v>
      </c>
      <c r="P200" t="s">
        <v>433</v>
      </c>
      <c r="Q200">
        <v>1000</v>
      </c>
      <c r="W200">
        <v>0</v>
      </c>
      <c r="X200">
        <v>1578855358</v>
      </c>
      <c r="Y200">
        <f>(AT200*1)</f>
        <v>1.5299999999999999E-2</v>
      </c>
      <c r="AA200">
        <v>52499.26</v>
      </c>
      <c r="AB200">
        <v>0</v>
      </c>
      <c r="AC200">
        <v>0</v>
      </c>
      <c r="AD200">
        <v>0</v>
      </c>
      <c r="AE200">
        <v>2897.31</v>
      </c>
      <c r="AF200">
        <v>0</v>
      </c>
      <c r="AG200">
        <v>0</v>
      </c>
      <c r="AH200">
        <v>0</v>
      </c>
      <c r="AI200">
        <v>18.12</v>
      </c>
      <c r="AJ200">
        <v>1</v>
      </c>
      <c r="AK200">
        <v>1</v>
      </c>
      <c r="AL200">
        <v>1</v>
      </c>
      <c r="AM200">
        <v>2</v>
      </c>
      <c r="AN200">
        <v>0</v>
      </c>
      <c r="AO200">
        <v>1</v>
      </c>
      <c r="AP200">
        <v>1</v>
      </c>
      <c r="AQ200">
        <v>0</v>
      </c>
      <c r="AR200">
        <v>0</v>
      </c>
      <c r="AS200" t="s">
        <v>3</v>
      </c>
      <c r="AT200">
        <v>1.5299999999999999E-2</v>
      </c>
      <c r="AU200" t="s">
        <v>70</v>
      </c>
      <c r="AV200">
        <v>0</v>
      </c>
      <c r="AW200">
        <v>2</v>
      </c>
      <c r="AX200">
        <v>57015391</v>
      </c>
      <c r="AY200">
        <v>1</v>
      </c>
      <c r="AZ200">
        <v>0</v>
      </c>
      <c r="BA200">
        <v>256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</v>
      </c>
      <c r="CV200">
        <v>0</v>
      </c>
      <c r="CW200">
        <v>0</v>
      </c>
      <c r="CX200">
        <f>ROUND(Y200*Source!I187,9)</f>
        <v>1.5606E-2</v>
      </c>
      <c r="CY200">
        <f>AA200</f>
        <v>52499.26</v>
      </c>
      <c r="CZ200">
        <f>AE200</f>
        <v>2897.31</v>
      </c>
      <c r="DA200">
        <f>AI200</f>
        <v>18.12</v>
      </c>
      <c r="DB200">
        <f>ROUND((ROUND(AT200*CZ200,2)*1),6)</f>
        <v>44.33</v>
      </c>
      <c r="DC200">
        <f>ROUND((ROUND(AT200*AG200,2)*1),6)</f>
        <v>0</v>
      </c>
      <c r="DD200" t="s">
        <v>3</v>
      </c>
      <c r="DE200" t="s">
        <v>3</v>
      </c>
      <c r="DF200">
        <f>ROUND(ROUND(AE200*AI200,2)*CX200,2)</f>
        <v>819.3</v>
      </c>
      <c r="DG200">
        <f t="shared" si="57"/>
        <v>0</v>
      </c>
      <c r="DH200">
        <f t="shared" si="56"/>
        <v>0</v>
      </c>
      <c r="DI200">
        <f t="shared" si="55"/>
        <v>0</v>
      </c>
      <c r="DJ200">
        <f>DF200</f>
        <v>819.3</v>
      </c>
      <c r="DK200">
        <v>0</v>
      </c>
      <c r="DL200" t="s">
        <v>3</v>
      </c>
      <c r="DM200">
        <v>0</v>
      </c>
      <c r="DN200" t="s">
        <v>3</v>
      </c>
      <c r="DO200">
        <v>0</v>
      </c>
    </row>
    <row r="201" spans="1:119" x14ac:dyDescent="0.25">
      <c r="A201">
        <f>ROW(Source!A188)</f>
        <v>188</v>
      </c>
      <c r="B201">
        <v>57014138</v>
      </c>
      <c r="C201">
        <v>57014679</v>
      </c>
      <c r="D201">
        <v>55424304</v>
      </c>
      <c r="E201">
        <v>1081</v>
      </c>
      <c r="F201">
        <v>1</v>
      </c>
      <c r="G201">
        <v>1081</v>
      </c>
      <c r="H201">
        <v>1</v>
      </c>
      <c r="I201" t="s">
        <v>385</v>
      </c>
      <c r="J201" t="s">
        <v>3</v>
      </c>
      <c r="K201" t="s">
        <v>386</v>
      </c>
      <c r="L201">
        <v>1191</v>
      </c>
      <c r="N201">
        <v>1013</v>
      </c>
      <c r="O201" t="s">
        <v>387</v>
      </c>
      <c r="P201" t="s">
        <v>387</v>
      </c>
      <c r="Q201">
        <v>1</v>
      </c>
      <c r="W201">
        <v>0</v>
      </c>
      <c r="X201">
        <v>476480486</v>
      </c>
      <c r="Y201">
        <f t="shared" ref="Y201:Y209" si="58">(AT201*1.2)</f>
        <v>2.016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1</v>
      </c>
      <c r="AJ201">
        <v>1</v>
      </c>
      <c r="AK201">
        <v>1</v>
      </c>
      <c r="AL201">
        <v>1</v>
      </c>
      <c r="AM201">
        <v>-2</v>
      </c>
      <c r="AN201">
        <v>0</v>
      </c>
      <c r="AO201">
        <v>1</v>
      </c>
      <c r="AP201">
        <v>1</v>
      </c>
      <c r="AQ201">
        <v>0</v>
      </c>
      <c r="AR201">
        <v>0</v>
      </c>
      <c r="AS201" t="s">
        <v>3</v>
      </c>
      <c r="AT201">
        <v>1.68</v>
      </c>
      <c r="AU201" t="s">
        <v>71</v>
      </c>
      <c r="AV201">
        <v>1</v>
      </c>
      <c r="AW201">
        <v>2</v>
      </c>
      <c r="AX201">
        <v>57014681</v>
      </c>
      <c r="AY201">
        <v>1</v>
      </c>
      <c r="AZ201">
        <v>0</v>
      </c>
      <c r="BA201">
        <v>259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  <c r="CU201">
        <f>ROUND(AT201*Source!I188*AH201*AL201,2)</f>
        <v>0</v>
      </c>
      <c r="CV201">
        <f>ROUND(Y201*Source!I188,9)</f>
        <v>205.63200000000001</v>
      </c>
      <c r="CW201">
        <v>0</v>
      </c>
      <c r="CX201">
        <f>ROUND(Y201*Source!I188,9)</f>
        <v>205.63200000000001</v>
      </c>
      <c r="CY201">
        <f t="shared" ref="CY201:CY209" si="59">AD201</f>
        <v>0</v>
      </c>
      <c r="CZ201">
        <f t="shared" ref="CZ201:CZ209" si="60">AH201</f>
        <v>0</v>
      </c>
      <c r="DA201">
        <f t="shared" ref="DA201:DA209" si="61">AL201</f>
        <v>1</v>
      </c>
      <c r="DB201">
        <f t="shared" ref="DB201:DB209" si="62">ROUND((ROUND(AT201*CZ201,2)*1.2),6)</f>
        <v>0</v>
      </c>
      <c r="DC201">
        <f t="shared" ref="DC201:DC209" si="63">ROUND((ROUND(AT201*AG201,2)*1.2),6)</f>
        <v>0</v>
      </c>
      <c r="DD201" t="s">
        <v>3</v>
      </c>
      <c r="DE201" t="s">
        <v>3</v>
      </c>
      <c r="DF201">
        <f t="shared" ref="DF201:DF213" si="64">ROUND(ROUND(AE201,2)*CX201,2)</f>
        <v>0</v>
      </c>
      <c r="DG201">
        <f t="shared" si="57"/>
        <v>0</v>
      </c>
      <c r="DH201">
        <f t="shared" si="56"/>
        <v>0</v>
      </c>
      <c r="DI201">
        <f t="shared" si="55"/>
        <v>0</v>
      </c>
      <c r="DJ201">
        <f t="shared" ref="DJ201:DJ209" si="65">DI201</f>
        <v>0</v>
      </c>
      <c r="DK201">
        <v>0</v>
      </c>
      <c r="DL201" t="s">
        <v>3</v>
      </c>
      <c r="DM201">
        <v>0</v>
      </c>
      <c r="DN201" t="s">
        <v>3</v>
      </c>
      <c r="DO201">
        <v>0</v>
      </c>
    </row>
    <row r="202" spans="1:119" x14ac:dyDescent="0.25">
      <c r="A202">
        <f>ROW(Source!A189)</f>
        <v>189</v>
      </c>
      <c r="B202">
        <v>57014140</v>
      </c>
      <c r="C202">
        <v>57014679</v>
      </c>
      <c r="D202">
        <v>55424304</v>
      </c>
      <c r="E202">
        <v>1081</v>
      </c>
      <c r="F202">
        <v>1</v>
      </c>
      <c r="G202">
        <v>1081</v>
      </c>
      <c r="H202">
        <v>1</v>
      </c>
      <c r="I202" t="s">
        <v>385</v>
      </c>
      <c r="J202" t="s">
        <v>3</v>
      </c>
      <c r="K202" t="s">
        <v>386</v>
      </c>
      <c r="L202">
        <v>1191</v>
      </c>
      <c r="N202">
        <v>1013</v>
      </c>
      <c r="O202" t="s">
        <v>387</v>
      </c>
      <c r="P202" t="s">
        <v>387</v>
      </c>
      <c r="Q202">
        <v>1</v>
      </c>
      <c r="W202">
        <v>0</v>
      </c>
      <c r="X202">
        <v>476480486</v>
      </c>
      <c r="Y202">
        <f t="shared" si="58"/>
        <v>2.016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1</v>
      </c>
      <c r="AJ202">
        <v>1</v>
      </c>
      <c r="AK202">
        <v>1</v>
      </c>
      <c r="AL202">
        <v>1</v>
      </c>
      <c r="AM202">
        <v>5</v>
      </c>
      <c r="AN202">
        <v>0</v>
      </c>
      <c r="AO202">
        <v>1</v>
      </c>
      <c r="AP202">
        <v>1</v>
      </c>
      <c r="AQ202">
        <v>0</v>
      </c>
      <c r="AR202">
        <v>0</v>
      </c>
      <c r="AS202" t="s">
        <v>3</v>
      </c>
      <c r="AT202">
        <v>1.68</v>
      </c>
      <c r="AU202" t="s">
        <v>71</v>
      </c>
      <c r="AV202">
        <v>1</v>
      </c>
      <c r="AW202">
        <v>2</v>
      </c>
      <c r="AX202">
        <v>57014681</v>
      </c>
      <c r="AY202">
        <v>1</v>
      </c>
      <c r="AZ202">
        <v>0</v>
      </c>
      <c r="BA202">
        <v>260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</v>
      </c>
      <c r="CU202">
        <f>ROUND(AT202*Source!I189*AH202*AL202,2)</f>
        <v>0</v>
      </c>
      <c r="CV202">
        <f>ROUND(Y202*Source!I189,9)</f>
        <v>205.63200000000001</v>
      </c>
      <c r="CW202">
        <v>0</v>
      </c>
      <c r="CX202">
        <f>ROUND(Y202*Source!I189,9)</f>
        <v>205.63200000000001</v>
      </c>
      <c r="CY202">
        <f t="shared" si="59"/>
        <v>0</v>
      </c>
      <c r="CZ202">
        <f t="shared" si="60"/>
        <v>0</v>
      </c>
      <c r="DA202">
        <f t="shared" si="61"/>
        <v>1</v>
      </c>
      <c r="DB202">
        <f t="shared" si="62"/>
        <v>0</v>
      </c>
      <c r="DC202">
        <f t="shared" si="63"/>
        <v>0</v>
      </c>
      <c r="DD202" t="s">
        <v>3</v>
      </c>
      <c r="DE202" t="s">
        <v>3</v>
      </c>
      <c r="DF202">
        <f t="shared" si="64"/>
        <v>0</v>
      </c>
      <c r="DG202">
        <f t="shared" si="57"/>
        <v>0</v>
      </c>
      <c r="DH202">
        <f t="shared" si="56"/>
        <v>0</v>
      </c>
      <c r="DI202">
        <f t="shared" si="55"/>
        <v>0</v>
      </c>
      <c r="DJ202">
        <f t="shared" si="65"/>
        <v>0</v>
      </c>
      <c r="DK202">
        <v>0</v>
      </c>
      <c r="DL202" t="s">
        <v>3</v>
      </c>
      <c r="DM202">
        <v>0</v>
      </c>
      <c r="DN202" t="s">
        <v>3</v>
      </c>
      <c r="DO202">
        <v>0</v>
      </c>
    </row>
    <row r="203" spans="1:119" x14ac:dyDescent="0.25">
      <c r="A203">
        <f>ROW(Source!A206)</f>
        <v>206</v>
      </c>
      <c r="B203">
        <v>57014138</v>
      </c>
      <c r="C203">
        <v>57015342</v>
      </c>
      <c r="D203">
        <v>55424304</v>
      </c>
      <c r="E203">
        <v>1081</v>
      </c>
      <c r="F203">
        <v>1</v>
      </c>
      <c r="G203">
        <v>1081</v>
      </c>
      <c r="H203">
        <v>1</v>
      </c>
      <c r="I203" t="s">
        <v>385</v>
      </c>
      <c r="J203" t="s">
        <v>3</v>
      </c>
      <c r="K203" t="s">
        <v>386</v>
      </c>
      <c r="L203">
        <v>1191</v>
      </c>
      <c r="N203">
        <v>1013</v>
      </c>
      <c r="O203" t="s">
        <v>387</v>
      </c>
      <c r="P203" t="s">
        <v>387</v>
      </c>
      <c r="Q203">
        <v>1</v>
      </c>
      <c r="W203">
        <v>0</v>
      </c>
      <c r="X203">
        <v>476480486</v>
      </c>
      <c r="Y203">
        <f t="shared" si="58"/>
        <v>2.88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1</v>
      </c>
      <c r="AJ203">
        <v>1</v>
      </c>
      <c r="AK203">
        <v>1</v>
      </c>
      <c r="AL203">
        <v>1</v>
      </c>
      <c r="AM203">
        <v>-2</v>
      </c>
      <c r="AN203">
        <v>0</v>
      </c>
      <c r="AO203">
        <v>1</v>
      </c>
      <c r="AP203">
        <v>1</v>
      </c>
      <c r="AQ203">
        <v>0</v>
      </c>
      <c r="AR203">
        <v>0</v>
      </c>
      <c r="AS203" t="s">
        <v>3</v>
      </c>
      <c r="AT203">
        <v>2.4</v>
      </c>
      <c r="AU203" t="s">
        <v>71</v>
      </c>
      <c r="AV203">
        <v>1</v>
      </c>
      <c r="AW203">
        <v>2</v>
      </c>
      <c r="AX203">
        <v>57015343</v>
      </c>
      <c r="AY203">
        <v>1</v>
      </c>
      <c r="AZ203">
        <v>0</v>
      </c>
      <c r="BA203">
        <v>261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</v>
      </c>
      <c r="CU203">
        <f>ROUND(AT203*Source!I206*AH203*AL203,2)</f>
        <v>0</v>
      </c>
      <c r="CV203">
        <f>ROUND(Y203*Source!I206,9)</f>
        <v>2.88</v>
      </c>
      <c r="CW203">
        <v>0</v>
      </c>
      <c r="CX203">
        <f>ROUND(Y203*Source!I206,9)</f>
        <v>2.88</v>
      </c>
      <c r="CY203">
        <f t="shared" si="59"/>
        <v>0</v>
      </c>
      <c r="CZ203">
        <f t="shared" si="60"/>
        <v>0</v>
      </c>
      <c r="DA203">
        <f t="shared" si="61"/>
        <v>1</v>
      </c>
      <c r="DB203">
        <f t="shared" si="62"/>
        <v>0</v>
      </c>
      <c r="DC203">
        <f t="shared" si="63"/>
        <v>0</v>
      </c>
      <c r="DD203" t="s">
        <v>3</v>
      </c>
      <c r="DE203" t="s">
        <v>3</v>
      </c>
      <c r="DF203">
        <f t="shared" si="64"/>
        <v>0</v>
      </c>
      <c r="DG203">
        <f t="shared" si="57"/>
        <v>0</v>
      </c>
      <c r="DH203">
        <f t="shared" si="56"/>
        <v>0</v>
      </c>
      <c r="DI203">
        <f t="shared" si="55"/>
        <v>0</v>
      </c>
      <c r="DJ203">
        <f t="shared" si="65"/>
        <v>0</v>
      </c>
      <c r="DK203">
        <v>0</v>
      </c>
      <c r="DL203" t="s">
        <v>3</v>
      </c>
      <c r="DM203">
        <v>0</v>
      </c>
      <c r="DN203" t="s">
        <v>3</v>
      </c>
      <c r="DO203">
        <v>0</v>
      </c>
    </row>
    <row r="204" spans="1:119" x14ac:dyDescent="0.25">
      <c r="A204">
        <f>ROW(Source!A207)</f>
        <v>207</v>
      </c>
      <c r="B204">
        <v>57014140</v>
      </c>
      <c r="C204">
        <v>57015342</v>
      </c>
      <c r="D204">
        <v>55424304</v>
      </c>
      <c r="E204">
        <v>1081</v>
      </c>
      <c r="F204">
        <v>1</v>
      </c>
      <c r="G204">
        <v>1081</v>
      </c>
      <c r="H204">
        <v>1</v>
      </c>
      <c r="I204" t="s">
        <v>385</v>
      </c>
      <c r="J204" t="s">
        <v>3</v>
      </c>
      <c r="K204" t="s">
        <v>386</v>
      </c>
      <c r="L204">
        <v>1191</v>
      </c>
      <c r="N204">
        <v>1013</v>
      </c>
      <c r="O204" t="s">
        <v>387</v>
      </c>
      <c r="P204" t="s">
        <v>387</v>
      </c>
      <c r="Q204">
        <v>1</v>
      </c>
      <c r="W204">
        <v>0</v>
      </c>
      <c r="X204">
        <v>476480486</v>
      </c>
      <c r="Y204">
        <f t="shared" si="58"/>
        <v>2.88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1</v>
      </c>
      <c r="AJ204">
        <v>1</v>
      </c>
      <c r="AK204">
        <v>1</v>
      </c>
      <c r="AL204">
        <v>1</v>
      </c>
      <c r="AM204">
        <v>5</v>
      </c>
      <c r="AN204">
        <v>0</v>
      </c>
      <c r="AO204">
        <v>1</v>
      </c>
      <c r="AP204">
        <v>1</v>
      </c>
      <c r="AQ204">
        <v>0</v>
      </c>
      <c r="AR204">
        <v>0</v>
      </c>
      <c r="AS204" t="s">
        <v>3</v>
      </c>
      <c r="AT204">
        <v>2.4</v>
      </c>
      <c r="AU204" t="s">
        <v>71</v>
      </c>
      <c r="AV204">
        <v>1</v>
      </c>
      <c r="AW204">
        <v>2</v>
      </c>
      <c r="AX204">
        <v>57015343</v>
      </c>
      <c r="AY204">
        <v>1</v>
      </c>
      <c r="AZ204">
        <v>0</v>
      </c>
      <c r="BA204">
        <v>262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</v>
      </c>
      <c r="CU204">
        <f>ROUND(AT204*Source!I207*AH204*AL204,2)</f>
        <v>0</v>
      </c>
      <c r="CV204">
        <f>ROUND(Y204*Source!I207,9)</f>
        <v>2.88</v>
      </c>
      <c r="CW204">
        <v>0</v>
      </c>
      <c r="CX204">
        <f>ROUND(Y204*Source!I207,9)</f>
        <v>2.88</v>
      </c>
      <c r="CY204">
        <f t="shared" si="59"/>
        <v>0</v>
      </c>
      <c r="CZ204">
        <f t="shared" si="60"/>
        <v>0</v>
      </c>
      <c r="DA204">
        <f t="shared" si="61"/>
        <v>1</v>
      </c>
      <c r="DB204">
        <f t="shared" si="62"/>
        <v>0</v>
      </c>
      <c r="DC204">
        <f t="shared" si="63"/>
        <v>0</v>
      </c>
      <c r="DD204" t="s">
        <v>3</v>
      </c>
      <c r="DE204" t="s">
        <v>3</v>
      </c>
      <c r="DF204">
        <f t="shared" si="64"/>
        <v>0</v>
      </c>
      <c r="DG204">
        <f t="shared" si="57"/>
        <v>0</v>
      </c>
      <c r="DH204">
        <f t="shared" si="56"/>
        <v>0</v>
      </c>
      <c r="DI204">
        <f t="shared" si="55"/>
        <v>0</v>
      </c>
      <c r="DJ204">
        <f t="shared" si="65"/>
        <v>0</v>
      </c>
      <c r="DK204">
        <v>0</v>
      </c>
      <c r="DL204" t="s">
        <v>3</v>
      </c>
      <c r="DM204">
        <v>0</v>
      </c>
      <c r="DN204" t="s">
        <v>3</v>
      </c>
      <c r="DO204">
        <v>0</v>
      </c>
    </row>
    <row r="205" spans="1:119" x14ac:dyDescent="0.25">
      <c r="A205">
        <f>ROW(Source!A210)</f>
        <v>210</v>
      </c>
      <c r="B205">
        <v>57014138</v>
      </c>
      <c r="C205">
        <v>57015351</v>
      </c>
      <c r="D205">
        <v>55424304</v>
      </c>
      <c r="E205">
        <v>1081</v>
      </c>
      <c r="F205">
        <v>1</v>
      </c>
      <c r="G205">
        <v>1081</v>
      </c>
      <c r="H205">
        <v>1</v>
      </c>
      <c r="I205" t="s">
        <v>385</v>
      </c>
      <c r="J205" t="s">
        <v>3</v>
      </c>
      <c r="K205" t="s">
        <v>386</v>
      </c>
      <c r="L205">
        <v>1191</v>
      </c>
      <c r="N205">
        <v>1013</v>
      </c>
      <c r="O205" t="s">
        <v>387</v>
      </c>
      <c r="P205" t="s">
        <v>387</v>
      </c>
      <c r="Q205">
        <v>1</v>
      </c>
      <c r="W205">
        <v>0</v>
      </c>
      <c r="X205">
        <v>476480486</v>
      </c>
      <c r="Y205">
        <f t="shared" si="58"/>
        <v>1.44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1</v>
      </c>
      <c r="AJ205">
        <v>1</v>
      </c>
      <c r="AK205">
        <v>1</v>
      </c>
      <c r="AL205">
        <v>1</v>
      </c>
      <c r="AM205">
        <v>-2</v>
      </c>
      <c r="AN205">
        <v>0</v>
      </c>
      <c r="AO205">
        <v>1</v>
      </c>
      <c r="AP205">
        <v>1</v>
      </c>
      <c r="AQ205">
        <v>0</v>
      </c>
      <c r="AR205">
        <v>0</v>
      </c>
      <c r="AS205" t="s">
        <v>3</v>
      </c>
      <c r="AT205">
        <v>1.2</v>
      </c>
      <c r="AU205" t="s">
        <v>71</v>
      </c>
      <c r="AV205">
        <v>1</v>
      </c>
      <c r="AW205">
        <v>2</v>
      </c>
      <c r="AX205">
        <v>57015352</v>
      </c>
      <c r="AY205">
        <v>1</v>
      </c>
      <c r="AZ205">
        <v>0</v>
      </c>
      <c r="BA205">
        <v>263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CU205">
        <f>ROUND(AT205*Source!I210*AH205*AL205,2)</f>
        <v>0</v>
      </c>
      <c r="CV205">
        <f>ROUND(Y205*Source!I210,9)</f>
        <v>14.4</v>
      </c>
      <c r="CW205">
        <v>0</v>
      </c>
      <c r="CX205">
        <f>ROUND(Y205*Source!I210,9)</f>
        <v>14.4</v>
      </c>
      <c r="CY205">
        <f t="shared" si="59"/>
        <v>0</v>
      </c>
      <c r="CZ205">
        <f t="shared" si="60"/>
        <v>0</v>
      </c>
      <c r="DA205">
        <f t="shared" si="61"/>
        <v>1</v>
      </c>
      <c r="DB205">
        <f t="shared" si="62"/>
        <v>0</v>
      </c>
      <c r="DC205">
        <f t="shared" si="63"/>
        <v>0</v>
      </c>
      <c r="DD205" t="s">
        <v>3</v>
      </c>
      <c r="DE205" t="s">
        <v>3</v>
      </c>
      <c r="DF205">
        <f t="shared" si="64"/>
        <v>0</v>
      </c>
      <c r="DG205">
        <f t="shared" si="57"/>
        <v>0</v>
      </c>
      <c r="DH205">
        <f t="shared" si="56"/>
        <v>0</v>
      </c>
      <c r="DI205">
        <f t="shared" si="55"/>
        <v>0</v>
      </c>
      <c r="DJ205">
        <f t="shared" si="65"/>
        <v>0</v>
      </c>
      <c r="DK205">
        <v>0</v>
      </c>
      <c r="DL205" t="s">
        <v>3</v>
      </c>
      <c r="DM205">
        <v>0</v>
      </c>
      <c r="DN205" t="s">
        <v>3</v>
      </c>
      <c r="DO205">
        <v>0</v>
      </c>
    </row>
    <row r="206" spans="1:119" x14ac:dyDescent="0.25">
      <c r="A206">
        <f>ROW(Source!A211)</f>
        <v>211</v>
      </c>
      <c r="B206">
        <v>57014140</v>
      </c>
      <c r="C206">
        <v>57015351</v>
      </c>
      <c r="D206">
        <v>55424304</v>
      </c>
      <c r="E206">
        <v>1081</v>
      </c>
      <c r="F206">
        <v>1</v>
      </c>
      <c r="G206">
        <v>1081</v>
      </c>
      <c r="H206">
        <v>1</v>
      </c>
      <c r="I206" t="s">
        <v>385</v>
      </c>
      <c r="J206" t="s">
        <v>3</v>
      </c>
      <c r="K206" t="s">
        <v>386</v>
      </c>
      <c r="L206">
        <v>1191</v>
      </c>
      <c r="N206">
        <v>1013</v>
      </c>
      <c r="O206" t="s">
        <v>387</v>
      </c>
      <c r="P206" t="s">
        <v>387</v>
      </c>
      <c r="Q206">
        <v>1</v>
      </c>
      <c r="W206">
        <v>0</v>
      </c>
      <c r="X206">
        <v>476480486</v>
      </c>
      <c r="Y206">
        <f t="shared" si="58"/>
        <v>1.44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1</v>
      </c>
      <c r="AJ206">
        <v>1</v>
      </c>
      <c r="AK206">
        <v>1</v>
      </c>
      <c r="AL206">
        <v>1</v>
      </c>
      <c r="AM206">
        <v>5</v>
      </c>
      <c r="AN206">
        <v>0</v>
      </c>
      <c r="AO206">
        <v>1</v>
      </c>
      <c r="AP206">
        <v>1</v>
      </c>
      <c r="AQ206">
        <v>0</v>
      </c>
      <c r="AR206">
        <v>0</v>
      </c>
      <c r="AS206" t="s">
        <v>3</v>
      </c>
      <c r="AT206">
        <v>1.2</v>
      </c>
      <c r="AU206" t="s">
        <v>71</v>
      </c>
      <c r="AV206">
        <v>1</v>
      </c>
      <c r="AW206">
        <v>2</v>
      </c>
      <c r="AX206">
        <v>57015352</v>
      </c>
      <c r="AY206">
        <v>1</v>
      </c>
      <c r="AZ206">
        <v>0</v>
      </c>
      <c r="BA206">
        <v>264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  <c r="BQ206">
        <v>0</v>
      </c>
      <c r="BR206">
        <v>0</v>
      </c>
      <c r="BS206">
        <v>0</v>
      </c>
      <c r="BT206">
        <v>0</v>
      </c>
      <c r="BU206">
        <v>0</v>
      </c>
      <c r="BV206">
        <v>0</v>
      </c>
      <c r="BW206">
        <v>0</v>
      </c>
      <c r="CU206">
        <f>ROUND(AT206*Source!I211*AH206*AL206,2)</f>
        <v>0</v>
      </c>
      <c r="CV206">
        <f>ROUND(Y206*Source!I211,9)</f>
        <v>14.4</v>
      </c>
      <c r="CW206">
        <v>0</v>
      </c>
      <c r="CX206">
        <f>ROUND(Y206*Source!I211,9)</f>
        <v>14.4</v>
      </c>
      <c r="CY206">
        <f t="shared" si="59"/>
        <v>0</v>
      </c>
      <c r="CZ206">
        <f t="shared" si="60"/>
        <v>0</v>
      </c>
      <c r="DA206">
        <f t="shared" si="61"/>
        <v>1</v>
      </c>
      <c r="DB206">
        <f t="shared" si="62"/>
        <v>0</v>
      </c>
      <c r="DC206">
        <f t="shared" si="63"/>
        <v>0</v>
      </c>
      <c r="DD206" t="s">
        <v>3</v>
      </c>
      <c r="DE206" t="s">
        <v>3</v>
      </c>
      <c r="DF206">
        <f t="shared" si="64"/>
        <v>0</v>
      </c>
      <c r="DG206">
        <f t="shared" si="57"/>
        <v>0</v>
      </c>
      <c r="DH206">
        <f t="shared" si="56"/>
        <v>0</v>
      </c>
      <c r="DI206">
        <f t="shared" si="55"/>
        <v>0</v>
      </c>
      <c r="DJ206">
        <f t="shared" si="65"/>
        <v>0</v>
      </c>
      <c r="DK206">
        <v>0</v>
      </c>
      <c r="DL206" t="s">
        <v>3</v>
      </c>
      <c r="DM206">
        <v>0</v>
      </c>
      <c r="DN206" t="s">
        <v>3</v>
      </c>
      <c r="DO206">
        <v>0</v>
      </c>
    </row>
    <row r="207" spans="1:119" x14ac:dyDescent="0.25">
      <c r="A207">
        <f>ROW(Source!A214)</f>
        <v>214</v>
      </c>
      <c r="B207">
        <v>57014138</v>
      </c>
      <c r="C207">
        <v>57015348</v>
      </c>
      <c r="D207">
        <v>55424304</v>
      </c>
      <c r="E207">
        <v>1081</v>
      </c>
      <c r="F207">
        <v>1</v>
      </c>
      <c r="G207">
        <v>1081</v>
      </c>
      <c r="H207">
        <v>1</v>
      </c>
      <c r="I207" t="s">
        <v>385</v>
      </c>
      <c r="J207" t="s">
        <v>3</v>
      </c>
      <c r="K207" t="s">
        <v>386</v>
      </c>
      <c r="L207">
        <v>1191</v>
      </c>
      <c r="N207">
        <v>1013</v>
      </c>
      <c r="O207" t="s">
        <v>387</v>
      </c>
      <c r="P207" t="s">
        <v>387</v>
      </c>
      <c r="Q207">
        <v>1</v>
      </c>
      <c r="W207">
        <v>0</v>
      </c>
      <c r="X207">
        <v>476480486</v>
      </c>
      <c r="Y207">
        <f t="shared" si="58"/>
        <v>2.88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1</v>
      </c>
      <c r="AJ207">
        <v>1</v>
      </c>
      <c r="AK207">
        <v>1</v>
      </c>
      <c r="AL207">
        <v>1</v>
      </c>
      <c r="AM207">
        <v>-2</v>
      </c>
      <c r="AN207">
        <v>0</v>
      </c>
      <c r="AO207">
        <v>1</v>
      </c>
      <c r="AP207">
        <v>1</v>
      </c>
      <c r="AQ207">
        <v>0</v>
      </c>
      <c r="AR207">
        <v>0</v>
      </c>
      <c r="AS207" t="s">
        <v>3</v>
      </c>
      <c r="AT207">
        <v>2.4</v>
      </c>
      <c r="AU207" t="s">
        <v>71</v>
      </c>
      <c r="AV207">
        <v>1</v>
      </c>
      <c r="AW207">
        <v>2</v>
      </c>
      <c r="AX207">
        <v>57015350</v>
      </c>
      <c r="AY207">
        <v>1</v>
      </c>
      <c r="AZ207">
        <v>0</v>
      </c>
      <c r="BA207">
        <v>265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0</v>
      </c>
      <c r="CU207">
        <f>ROUND(AT207*Source!I214*AH207*AL207,2)</f>
        <v>0</v>
      </c>
      <c r="CV207">
        <f>ROUND(Y207*Source!I214,9)</f>
        <v>5.76</v>
      </c>
      <c r="CW207">
        <v>0</v>
      </c>
      <c r="CX207">
        <f>ROUND(Y207*Source!I214,9)</f>
        <v>5.76</v>
      </c>
      <c r="CY207">
        <f t="shared" si="59"/>
        <v>0</v>
      </c>
      <c r="CZ207">
        <f t="shared" si="60"/>
        <v>0</v>
      </c>
      <c r="DA207">
        <f t="shared" si="61"/>
        <v>1</v>
      </c>
      <c r="DB207">
        <f t="shared" si="62"/>
        <v>0</v>
      </c>
      <c r="DC207">
        <f t="shared" si="63"/>
        <v>0</v>
      </c>
      <c r="DD207" t="s">
        <v>3</v>
      </c>
      <c r="DE207" t="s">
        <v>3</v>
      </c>
      <c r="DF207">
        <f t="shared" si="64"/>
        <v>0</v>
      </c>
      <c r="DG207">
        <f t="shared" si="57"/>
        <v>0</v>
      </c>
      <c r="DH207">
        <f t="shared" si="56"/>
        <v>0</v>
      </c>
      <c r="DI207">
        <f t="shared" si="55"/>
        <v>0</v>
      </c>
      <c r="DJ207">
        <f t="shared" si="65"/>
        <v>0</v>
      </c>
      <c r="DK207">
        <v>0</v>
      </c>
      <c r="DL207" t="s">
        <v>3</v>
      </c>
      <c r="DM207">
        <v>0</v>
      </c>
      <c r="DN207" t="s">
        <v>3</v>
      </c>
      <c r="DO207">
        <v>0</v>
      </c>
    </row>
    <row r="208" spans="1:119" x14ac:dyDescent="0.25">
      <c r="A208">
        <f>ROW(Source!A215)</f>
        <v>215</v>
      </c>
      <c r="B208">
        <v>57014140</v>
      </c>
      <c r="C208">
        <v>57015348</v>
      </c>
      <c r="D208">
        <v>55424304</v>
      </c>
      <c r="E208">
        <v>1081</v>
      </c>
      <c r="F208">
        <v>1</v>
      </c>
      <c r="G208">
        <v>1081</v>
      </c>
      <c r="H208">
        <v>1</v>
      </c>
      <c r="I208" t="s">
        <v>385</v>
      </c>
      <c r="J208" t="s">
        <v>3</v>
      </c>
      <c r="K208" t="s">
        <v>386</v>
      </c>
      <c r="L208">
        <v>1191</v>
      </c>
      <c r="N208">
        <v>1013</v>
      </c>
      <c r="O208" t="s">
        <v>387</v>
      </c>
      <c r="P208" t="s">
        <v>387</v>
      </c>
      <c r="Q208">
        <v>1</v>
      </c>
      <c r="W208">
        <v>0</v>
      </c>
      <c r="X208">
        <v>476480486</v>
      </c>
      <c r="Y208">
        <f t="shared" si="58"/>
        <v>2.88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1</v>
      </c>
      <c r="AJ208">
        <v>1</v>
      </c>
      <c r="AK208">
        <v>1</v>
      </c>
      <c r="AL208">
        <v>1</v>
      </c>
      <c r="AM208">
        <v>5</v>
      </c>
      <c r="AN208">
        <v>0</v>
      </c>
      <c r="AO208">
        <v>1</v>
      </c>
      <c r="AP208">
        <v>1</v>
      </c>
      <c r="AQ208">
        <v>0</v>
      </c>
      <c r="AR208">
        <v>0</v>
      </c>
      <c r="AS208" t="s">
        <v>3</v>
      </c>
      <c r="AT208">
        <v>2.4</v>
      </c>
      <c r="AU208" t="s">
        <v>71</v>
      </c>
      <c r="AV208">
        <v>1</v>
      </c>
      <c r="AW208">
        <v>2</v>
      </c>
      <c r="AX208">
        <v>57015350</v>
      </c>
      <c r="AY208">
        <v>1</v>
      </c>
      <c r="AZ208">
        <v>0</v>
      </c>
      <c r="BA208">
        <v>266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0</v>
      </c>
      <c r="BV208">
        <v>0</v>
      </c>
      <c r="BW208">
        <v>0</v>
      </c>
      <c r="CU208">
        <f>ROUND(AT208*Source!I215*AH208*AL208,2)</f>
        <v>0</v>
      </c>
      <c r="CV208">
        <f>ROUND(Y208*Source!I215,9)</f>
        <v>5.76</v>
      </c>
      <c r="CW208">
        <v>0</v>
      </c>
      <c r="CX208">
        <f>ROUND(Y208*Source!I215,9)</f>
        <v>5.76</v>
      </c>
      <c r="CY208">
        <f t="shared" si="59"/>
        <v>0</v>
      </c>
      <c r="CZ208">
        <f t="shared" si="60"/>
        <v>0</v>
      </c>
      <c r="DA208">
        <f t="shared" si="61"/>
        <v>1</v>
      </c>
      <c r="DB208">
        <f t="shared" si="62"/>
        <v>0</v>
      </c>
      <c r="DC208">
        <f t="shared" si="63"/>
        <v>0</v>
      </c>
      <c r="DD208" t="s">
        <v>3</v>
      </c>
      <c r="DE208" t="s">
        <v>3</v>
      </c>
      <c r="DF208">
        <f t="shared" si="64"/>
        <v>0</v>
      </c>
      <c r="DG208">
        <f t="shared" si="57"/>
        <v>0</v>
      </c>
      <c r="DH208">
        <f t="shared" si="56"/>
        <v>0</v>
      </c>
      <c r="DI208">
        <f t="shared" si="55"/>
        <v>0</v>
      </c>
      <c r="DJ208">
        <f t="shared" si="65"/>
        <v>0</v>
      </c>
      <c r="DK208">
        <v>0</v>
      </c>
      <c r="DL208" t="s">
        <v>3</v>
      </c>
      <c r="DM208">
        <v>0</v>
      </c>
      <c r="DN208" t="s">
        <v>3</v>
      </c>
      <c r="DO208">
        <v>0</v>
      </c>
    </row>
    <row r="209" spans="1:119" x14ac:dyDescent="0.25">
      <c r="A209">
        <f>ROW(Source!A218)</f>
        <v>218</v>
      </c>
      <c r="B209">
        <v>57014138</v>
      </c>
      <c r="C209">
        <v>57014705</v>
      </c>
      <c r="D209">
        <v>55424304</v>
      </c>
      <c r="E209">
        <v>1081</v>
      </c>
      <c r="F209">
        <v>1</v>
      </c>
      <c r="G209">
        <v>1081</v>
      </c>
      <c r="H209">
        <v>1</v>
      </c>
      <c r="I209" t="s">
        <v>385</v>
      </c>
      <c r="J209" t="s">
        <v>3</v>
      </c>
      <c r="K209" t="s">
        <v>386</v>
      </c>
      <c r="L209">
        <v>1191</v>
      </c>
      <c r="N209">
        <v>1013</v>
      </c>
      <c r="O209" t="s">
        <v>387</v>
      </c>
      <c r="P209" t="s">
        <v>387</v>
      </c>
      <c r="Q209">
        <v>1</v>
      </c>
      <c r="W209">
        <v>0</v>
      </c>
      <c r="X209">
        <v>476480486</v>
      </c>
      <c r="Y209">
        <f t="shared" si="58"/>
        <v>2.4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1</v>
      </c>
      <c r="AJ209">
        <v>1</v>
      </c>
      <c r="AK209">
        <v>1</v>
      </c>
      <c r="AL209">
        <v>1</v>
      </c>
      <c r="AM209">
        <v>-2</v>
      </c>
      <c r="AN209">
        <v>0</v>
      </c>
      <c r="AO209">
        <v>1</v>
      </c>
      <c r="AP209">
        <v>1</v>
      </c>
      <c r="AQ209">
        <v>0</v>
      </c>
      <c r="AR209">
        <v>0</v>
      </c>
      <c r="AS209" t="s">
        <v>3</v>
      </c>
      <c r="AT209">
        <v>2</v>
      </c>
      <c r="AU209" t="s">
        <v>71</v>
      </c>
      <c r="AV209">
        <v>1</v>
      </c>
      <c r="AW209">
        <v>2</v>
      </c>
      <c r="AX209">
        <v>57014710</v>
      </c>
      <c r="AY209">
        <v>1</v>
      </c>
      <c r="AZ209">
        <v>0</v>
      </c>
      <c r="BA209">
        <v>267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  <c r="BQ209">
        <v>0</v>
      </c>
      <c r="BR209">
        <v>0</v>
      </c>
      <c r="BS209">
        <v>0</v>
      </c>
      <c r="BT209">
        <v>0</v>
      </c>
      <c r="BU209">
        <v>0</v>
      </c>
      <c r="BV209">
        <v>0</v>
      </c>
      <c r="BW209">
        <v>0</v>
      </c>
      <c r="CU209">
        <f>ROUND(AT209*Source!I218*AH209*AL209,2)</f>
        <v>0</v>
      </c>
      <c r="CV209">
        <f>ROUND(Y209*Source!I218,9)</f>
        <v>446.4</v>
      </c>
      <c r="CW209">
        <v>0</v>
      </c>
      <c r="CX209">
        <f>ROUND(Y209*Source!I218,9)</f>
        <v>446.4</v>
      </c>
      <c r="CY209">
        <f t="shared" si="59"/>
        <v>0</v>
      </c>
      <c r="CZ209">
        <f t="shared" si="60"/>
        <v>0</v>
      </c>
      <c r="DA209">
        <f t="shared" si="61"/>
        <v>1</v>
      </c>
      <c r="DB209">
        <f t="shared" si="62"/>
        <v>0</v>
      </c>
      <c r="DC209">
        <f t="shared" si="63"/>
        <v>0</v>
      </c>
      <c r="DD209" t="s">
        <v>3</v>
      </c>
      <c r="DE209" t="s">
        <v>3</v>
      </c>
      <c r="DF209">
        <f t="shared" si="64"/>
        <v>0</v>
      </c>
      <c r="DG209">
        <f t="shared" si="57"/>
        <v>0</v>
      </c>
      <c r="DH209">
        <f t="shared" si="56"/>
        <v>0</v>
      </c>
      <c r="DI209">
        <f t="shared" si="55"/>
        <v>0</v>
      </c>
      <c r="DJ209">
        <f t="shared" si="65"/>
        <v>0</v>
      </c>
      <c r="DK209">
        <v>0</v>
      </c>
      <c r="DL209" t="s">
        <v>3</v>
      </c>
      <c r="DM209">
        <v>0</v>
      </c>
      <c r="DN209" t="s">
        <v>3</v>
      </c>
      <c r="DO209">
        <v>0</v>
      </c>
    </row>
    <row r="210" spans="1:119" x14ac:dyDescent="0.25">
      <c r="A210">
        <f>ROW(Source!A218)</f>
        <v>218</v>
      </c>
      <c r="B210">
        <v>57014138</v>
      </c>
      <c r="C210">
        <v>57014705</v>
      </c>
      <c r="D210">
        <v>55460240</v>
      </c>
      <c r="E210">
        <v>1</v>
      </c>
      <c r="F210">
        <v>1</v>
      </c>
      <c r="G210">
        <v>1081</v>
      </c>
      <c r="H210">
        <v>3</v>
      </c>
      <c r="I210" t="s">
        <v>424</v>
      </c>
      <c r="J210" t="s">
        <v>425</v>
      </c>
      <c r="K210" t="s">
        <v>426</v>
      </c>
      <c r="L210">
        <v>1348</v>
      </c>
      <c r="N210">
        <v>1009</v>
      </c>
      <c r="O210" t="s">
        <v>361</v>
      </c>
      <c r="P210" t="s">
        <v>361</v>
      </c>
      <c r="Q210">
        <v>1000</v>
      </c>
      <c r="W210">
        <v>0</v>
      </c>
      <c r="X210">
        <v>710003313</v>
      </c>
      <c r="Y210">
        <f>(AT210*1)</f>
        <v>1.4999999999999999E-4</v>
      </c>
      <c r="AA210">
        <v>17742.23</v>
      </c>
      <c r="AB210">
        <v>0</v>
      </c>
      <c r="AC210">
        <v>0</v>
      </c>
      <c r="AD210">
        <v>0</v>
      </c>
      <c r="AE210">
        <v>17742.23</v>
      </c>
      <c r="AF210">
        <v>0</v>
      </c>
      <c r="AG210">
        <v>0</v>
      </c>
      <c r="AH210">
        <v>0</v>
      </c>
      <c r="AI210">
        <v>1</v>
      </c>
      <c r="AJ210">
        <v>1</v>
      </c>
      <c r="AK210">
        <v>1</v>
      </c>
      <c r="AL210">
        <v>1</v>
      </c>
      <c r="AM210">
        <v>-2</v>
      </c>
      <c r="AN210">
        <v>0</v>
      </c>
      <c r="AO210">
        <v>1</v>
      </c>
      <c r="AP210">
        <v>1</v>
      </c>
      <c r="AQ210">
        <v>0</v>
      </c>
      <c r="AR210">
        <v>0</v>
      </c>
      <c r="AS210" t="s">
        <v>3</v>
      </c>
      <c r="AT210">
        <v>1.4999999999999999E-4</v>
      </c>
      <c r="AU210" t="s">
        <v>70</v>
      </c>
      <c r="AV210">
        <v>0</v>
      </c>
      <c r="AW210">
        <v>2</v>
      </c>
      <c r="AX210">
        <v>57014711</v>
      </c>
      <c r="AY210">
        <v>1</v>
      </c>
      <c r="AZ210">
        <v>0</v>
      </c>
      <c r="BA210">
        <v>268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0</v>
      </c>
      <c r="BQ210">
        <v>0</v>
      </c>
      <c r="BR210">
        <v>0</v>
      </c>
      <c r="BS210">
        <v>0</v>
      </c>
      <c r="BT210">
        <v>0</v>
      </c>
      <c r="BU210">
        <v>0</v>
      </c>
      <c r="BV210">
        <v>0</v>
      </c>
      <c r="BW210">
        <v>0</v>
      </c>
      <c r="CV210">
        <v>0</v>
      </c>
      <c r="CW210">
        <v>0</v>
      </c>
      <c r="CX210">
        <f>ROUND(Y210*Source!I218,9)</f>
        <v>2.7900000000000001E-2</v>
      </c>
      <c r="CY210">
        <f>AA210</f>
        <v>17742.23</v>
      </c>
      <c r="CZ210">
        <f>AE210</f>
        <v>17742.23</v>
      </c>
      <c r="DA210">
        <f>AI210</f>
        <v>1</v>
      </c>
      <c r="DB210">
        <f>ROUND((ROUND(AT210*CZ210,2)*1),6)</f>
        <v>2.66</v>
      </c>
      <c r="DC210">
        <f>ROUND((ROUND(AT210*AG210,2)*1),6)</f>
        <v>0</v>
      </c>
      <c r="DD210" t="s">
        <v>3</v>
      </c>
      <c r="DE210" t="s">
        <v>3</v>
      </c>
      <c r="DF210">
        <f t="shared" si="64"/>
        <v>495.01</v>
      </c>
      <c r="DG210">
        <f t="shared" si="57"/>
        <v>0</v>
      </c>
      <c r="DH210">
        <f t="shared" si="56"/>
        <v>0</v>
      </c>
      <c r="DI210">
        <f t="shared" si="55"/>
        <v>0</v>
      </c>
      <c r="DJ210">
        <f>DF210</f>
        <v>495.01</v>
      </c>
      <c r="DK210">
        <v>0</v>
      </c>
      <c r="DL210" t="s">
        <v>3</v>
      </c>
      <c r="DM210">
        <v>0</v>
      </c>
      <c r="DN210" t="s">
        <v>3</v>
      </c>
      <c r="DO210">
        <v>0</v>
      </c>
    </row>
    <row r="211" spans="1:119" x14ac:dyDescent="0.25">
      <c r="A211">
        <f>ROW(Source!A218)</f>
        <v>218</v>
      </c>
      <c r="B211">
        <v>57014138</v>
      </c>
      <c r="C211">
        <v>57014705</v>
      </c>
      <c r="D211">
        <v>55482233</v>
      </c>
      <c r="E211">
        <v>1</v>
      </c>
      <c r="F211">
        <v>1</v>
      </c>
      <c r="G211">
        <v>1081</v>
      </c>
      <c r="H211">
        <v>3</v>
      </c>
      <c r="I211" t="s">
        <v>427</v>
      </c>
      <c r="J211" t="s">
        <v>428</v>
      </c>
      <c r="K211" t="s">
        <v>429</v>
      </c>
      <c r="L211">
        <v>1346</v>
      </c>
      <c r="N211">
        <v>1009</v>
      </c>
      <c r="O211" t="s">
        <v>365</v>
      </c>
      <c r="P211" t="s">
        <v>365</v>
      </c>
      <c r="Q211">
        <v>1</v>
      </c>
      <c r="W211">
        <v>0</v>
      </c>
      <c r="X211">
        <v>1566362712</v>
      </c>
      <c r="Y211">
        <f>(AT211*1)</f>
        <v>1.4999999999999999E-2</v>
      </c>
      <c r="AA211">
        <v>493.08</v>
      </c>
      <c r="AB211">
        <v>0</v>
      </c>
      <c r="AC211">
        <v>0</v>
      </c>
      <c r="AD211">
        <v>0</v>
      </c>
      <c r="AE211">
        <v>493.08</v>
      </c>
      <c r="AF211">
        <v>0</v>
      </c>
      <c r="AG211">
        <v>0</v>
      </c>
      <c r="AH211">
        <v>0</v>
      </c>
      <c r="AI211">
        <v>1</v>
      </c>
      <c r="AJ211">
        <v>1</v>
      </c>
      <c r="AK211">
        <v>1</v>
      </c>
      <c r="AL211">
        <v>1</v>
      </c>
      <c r="AM211">
        <v>-2</v>
      </c>
      <c r="AN211">
        <v>0</v>
      </c>
      <c r="AO211">
        <v>1</v>
      </c>
      <c r="AP211">
        <v>1</v>
      </c>
      <c r="AQ211">
        <v>0</v>
      </c>
      <c r="AR211">
        <v>0</v>
      </c>
      <c r="AS211" t="s">
        <v>3</v>
      </c>
      <c r="AT211">
        <v>1.4999999999999999E-2</v>
      </c>
      <c r="AU211" t="s">
        <v>70</v>
      </c>
      <c r="AV211">
        <v>0</v>
      </c>
      <c r="AW211">
        <v>2</v>
      </c>
      <c r="AX211">
        <v>57014712</v>
      </c>
      <c r="AY211">
        <v>1</v>
      </c>
      <c r="AZ211">
        <v>0</v>
      </c>
      <c r="BA211">
        <v>269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0</v>
      </c>
      <c r="BR211">
        <v>0</v>
      </c>
      <c r="BS211">
        <v>0</v>
      </c>
      <c r="BT211">
        <v>0</v>
      </c>
      <c r="BU211">
        <v>0</v>
      </c>
      <c r="BV211">
        <v>0</v>
      </c>
      <c r="BW211">
        <v>0</v>
      </c>
      <c r="CV211">
        <v>0</v>
      </c>
      <c r="CW211">
        <v>0</v>
      </c>
      <c r="CX211">
        <f>ROUND(Y211*Source!I218,9)</f>
        <v>2.79</v>
      </c>
      <c r="CY211">
        <f>AA211</f>
        <v>493.08</v>
      </c>
      <c r="CZ211">
        <f>AE211</f>
        <v>493.08</v>
      </c>
      <c r="DA211">
        <f>AI211</f>
        <v>1</v>
      </c>
      <c r="DB211">
        <f>ROUND((ROUND(AT211*CZ211,2)*1),6)</f>
        <v>7.4</v>
      </c>
      <c r="DC211">
        <f>ROUND((ROUND(AT211*AG211,2)*1),6)</f>
        <v>0</v>
      </c>
      <c r="DD211" t="s">
        <v>3</v>
      </c>
      <c r="DE211" t="s">
        <v>3</v>
      </c>
      <c r="DF211">
        <f t="shared" si="64"/>
        <v>1375.69</v>
      </c>
      <c r="DG211">
        <f t="shared" si="57"/>
        <v>0</v>
      </c>
      <c r="DH211">
        <f t="shared" si="56"/>
        <v>0</v>
      </c>
      <c r="DI211">
        <f t="shared" si="55"/>
        <v>0</v>
      </c>
      <c r="DJ211">
        <f>DF211</f>
        <v>1375.69</v>
      </c>
      <c r="DK211">
        <v>0</v>
      </c>
      <c r="DL211" t="s">
        <v>3</v>
      </c>
      <c r="DM211">
        <v>0</v>
      </c>
      <c r="DN211" t="s">
        <v>3</v>
      </c>
      <c r="DO211">
        <v>0</v>
      </c>
    </row>
    <row r="212" spans="1:119" x14ac:dyDescent="0.25">
      <c r="A212">
        <f>ROW(Source!A218)</f>
        <v>218</v>
      </c>
      <c r="B212">
        <v>57014138</v>
      </c>
      <c r="C212">
        <v>57014705</v>
      </c>
      <c r="D212">
        <v>55488138</v>
      </c>
      <c r="E212">
        <v>1</v>
      </c>
      <c r="F212">
        <v>1</v>
      </c>
      <c r="G212">
        <v>1081</v>
      </c>
      <c r="H212">
        <v>3</v>
      </c>
      <c r="I212" t="s">
        <v>430</v>
      </c>
      <c r="J212" t="s">
        <v>431</v>
      </c>
      <c r="K212" t="s">
        <v>432</v>
      </c>
      <c r="L212">
        <v>1303</v>
      </c>
      <c r="N212">
        <v>1003</v>
      </c>
      <c r="O212" t="s">
        <v>433</v>
      </c>
      <c r="P212" t="s">
        <v>433</v>
      </c>
      <c r="Q212">
        <v>1000</v>
      </c>
      <c r="W212">
        <v>0</v>
      </c>
      <c r="X212">
        <v>-478298912</v>
      </c>
      <c r="Y212">
        <f>(AT212*1)</f>
        <v>5.0000000000000001E-3</v>
      </c>
      <c r="AA212">
        <v>2880.4</v>
      </c>
      <c r="AB212">
        <v>0</v>
      </c>
      <c r="AC212">
        <v>0</v>
      </c>
      <c r="AD212">
        <v>0</v>
      </c>
      <c r="AE212">
        <v>2880.4</v>
      </c>
      <c r="AF212">
        <v>0</v>
      </c>
      <c r="AG212">
        <v>0</v>
      </c>
      <c r="AH212">
        <v>0</v>
      </c>
      <c r="AI212">
        <v>1</v>
      </c>
      <c r="AJ212">
        <v>1</v>
      </c>
      <c r="AK212">
        <v>1</v>
      </c>
      <c r="AL212">
        <v>1</v>
      </c>
      <c r="AM212">
        <v>-2</v>
      </c>
      <c r="AN212">
        <v>0</v>
      </c>
      <c r="AO212">
        <v>1</v>
      </c>
      <c r="AP212">
        <v>1</v>
      </c>
      <c r="AQ212">
        <v>0</v>
      </c>
      <c r="AR212">
        <v>0</v>
      </c>
      <c r="AS212" t="s">
        <v>3</v>
      </c>
      <c r="AT212">
        <v>5.0000000000000001E-3</v>
      </c>
      <c r="AU212" t="s">
        <v>70</v>
      </c>
      <c r="AV212">
        <v>0</v>
      </c>
      <c r="AW212">
        <v>2</v>
      </c>
      <c r="AX212">
        <v>57014713</v>
      </c>
      <c r="AY212">
        <v>1</v>
      </c>
      <c r="AZ212">
        <v>0</v>
      </c>
      <c r="BA212">
        <v>270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  <c r="BQ212">
        <v>0</v>
      </c>
      <c r="BR212">
        <v>0</v>
      </c>
      <c r="BS212">
        <v>0</v>
      </c>
      <c r="BT212">
        <v>0</v>
      </c>
      <c r="BU212">
        <v>0</v>
      </c>
      <c r="BV212">
        <v>0</v>
      </c>
      <c r="BW212">
        <v>0</v>
      </c>
      <c r="CV212">
        <v>0</v>
      </c>
      <c r="CW212">
        <v>0</v>
      </c>
      <c r="CX212">
        <f>ROUND(Y212*Source!I218,9)</f>
        <v>0.93</v>
      </c>
      <c r="CY212">
        <f>AA212</f>
        <v>2880.4</v>
      </c>
      <c r="CZ212">
        <f>AE212</f>
        <v>2880.4</v>
      </c>
      <c r="DA212">
        <f>AI212</f>
        <v>1</v>
      </c>
      <c r="DB212">
        <f>ROUND((ROUND(AT212*CZ212,2)*1),6)</f>
        <v>14.4</v>
      </c>
      <c r="DC212">
        <f>ROUND((ROUND(AT212*AG212,2)*1),6)</f>
        <v>0</v>
      </c>
      <c r="DD212" t="s">
        <v>3</v>
      </c>
      <c r="DE212" t="s">
        <v>3</v>
      </c>
      <c r="DF212">
        <f t="shared" si="64"/>
        <v>2678.77</v>
      </c>
      <c r="DG212">
        <f t="shared" si="57"/>
        <v>0</v>
      </c>
      <c r="DH212">
        <f t="shared" si="56"/>
        <v>0</v>
      </c>
      <c r="DI212">
        <f t="shared" si="55"/>
        <v>0</v>
      </c>
      <c r="DJ212">
        <f>DF212</f>
        <v>2678.77</v>
      </c>
      <c r="DK212">
        <v>0</v>
      </c>
      <c r="DL212" t="s">
        <v>3</v>
      </c>
      <c r="DM212">
        <v>0</v>
      </c>
      <c r="DN212" t="s">
        <v>3</v>
      </c>
      <c r="DO212">
        <v>0</v>
      </c>
    </row>
    <row r="213" spans="1:119" x14ac:dyDescent="0.25">
      <c r="A213">
        <f>ROW(Source!A219)</f>
        <v>219</v>
      </c>
      <c r="B213">
        <v>57014140</v>
      </c>
      <c r="C213">
        <v>57014705</v>
      </c>
      <c r="D213">
        <v>55424304</v>
      </c>
      <c r="E213">
        <v>1081</v>
      </c>
      <c r="F213">
        <v>1</v>
      </c>
      <c r="G213">
        <v>1081</v>
      </c>
      <c r="H213">
        <v>1</v>
      </c>
      <c r="I213" t="s">
        <v>385</v>
      </c>
      <c r="J213" t="s">
        <v>3</v>
      </c>
      <c r="K213" t="s">
        <v>386</v>
      </c>
      <c r="L213">
        <v>1191</v>
      </c>
      <c r="N213">
        <v>1013</v>
      </c>
      <c r="O213" t="s">
        <v>387</v>
      </c>
      <c r="P213" t="s">
        <v>387</v>
      </c>
      <c r="Q213">
        <v>1</v>
      </c>
      <c r="W213">
        <v>0</v>
      </c>
      <c r="X213">
        <v>476480486</v>
      </c>
      <c r="Y213">
        <f>(AT213*1.2)</f>
        <v>2.4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1</v>
      </c>
      <c r="AJ213">
        <v>1</v>
      </c>
      <c r="AK213">
        <v>1</v>
      </c>
      <c r="AL213">
        <v>1</v>
      </c>
      <c r="AM213">
        <v>5</v>
      </c>
      <c r="AN213">
        <v>0</v>
      </c>
      <c r="AO213">
        <v>1</v>
      </c>
      <c r="AP213">
        <v>1</v>
      </c>
      <c r="AQ213">
        <v>0</v>
      </c>
      <c r="AR213">
        <v>0</v>
      </c>
      <c r="AS213" t="s">
        <v>3</v>
      </c>
      <c r="AT213">
        <v>2</v>
      </c>
      <c r="AU213" t="s">
        <v>71</v>
      </c>
      <c r="AV213">
        <v>1</v>
      </c>
      <c r="AW213">
        <v>2</v>
      </c>
      <c r="AX213">
        <v>57014710</v>
      </c>
      <c r="AY213">
        <v>1</v>
      </c>
      <c r="AZ213">
        <v>0</v>
      </c>
      <c r="BA213">
        <v>272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0</v>
      </c>
      <c r="BV213">
        <v>0</v>
      </c>
      <c r="BW213">
        <v>0</v>
      </c>
      <c r="CU213">
        <f>ROUND(AT213*Source!I219*AH213*AL213,2)</f>
        <v>0</v>
      </c>
      <c r="CV213">
        <f>ROUND(Y213*Source!I219,9)</f>
        <v>446.4</v>
      </c>
      <c r="CW213">
        <v>0</v>
      </c>
      <c r="CX213">
        <f>ROUND(Y213*Source!I219,9)</f>
        <v>446.4</v>
      </c>
      <c r="CY213">
        <f>AD213</f>
        <v>0</v>
      </c>
      <c r="CZ213">
        <f>AH213</f>
        <v>0</v>
      </c>
      <c r="DA213">
        <f>AL213</f>
        <v>1</v>
      </c>
      <c r="DB213">
        <f>ROUND((ROUND(AT213*CZ213,2)*1.2),6)</f>
        <v>0</v>
      </c>
      <c r="DC213">
        <f>ROUND((ROUND(AT213*AG213,2)*1.2),6)</f>
        <v>0</v>
      </c>
      <c r="DD213" t="s">
        <v>3</v>
      </c>
      <c r="DE213" t="s">
        <v>3</v>
      </c>
      <c r="DF213">
        <f t="shared" si="64"/>
        <v>0</v>
      </c>
      <c r="DG213">
        <f t="shared" si="57"/>
        <v>0</v>
      </c>
      <c r="DH213">
        <f t="shared" si="56"/>
        <v>0</v>
      </c>
      <c r="DI213">
        <f t="shared" si="55"/>
        <v>0</v>
      </c>
      <c r="DJ213">
        <f>DI213</f>
        <v>0</v>
      </c>
      <c r="DK213">
        <v>0</v>
      </c>
      <c r="DL213" t="s">
        <v>3</v>
      </c>
      <c r="DM213">
        <v>0</v>
      </c>
      <c r="DN213" t="s">
        <v>3</v>
      </c>
      <c r="DO213">
        <v>0</v>
      </c>
    </row>
    <row r="214" spans="1:119" x14ac:dyDescent="0.25">
      <c r="A214">
        <f>ROW(Source!A219)</f>
        <v>219</v>
      </c>
      <c r="B214">
        <v>57014140</v>
      </c>
      <c r="C214">
        <v>57014705</v>
      </c>
      <c r="D214">
        <v>55460240</v>
      </c>
      <c r="E214">
        <v>1</v>
      </c>
      <c r="F214">
        <v>1</v>
      </c>
      <c r="G214">
        <v>1081</v>
      </c>
      <c r="H214">
        <v>3</v>
      </c>
      <c r="I214" t="s">
        <v>424</v>
      </c>
      <c r="J214" t="s">
        <v>425</v>
      </c>
      <c r="K214" t="s">
        <v>426</v>
      </c>
      <c r="L214">
        <v>1348</v>
      </c>
      <c r="N214">
        <v>1009</v>
      </c>
      <c r="O214" t="s">
        <v>361</v>
      </c>
      <c r="P214" t="s">
        <v>361</v>
      </c>
      <c r="Q214">
        <v>1000</v>
      </c>
      <c r="W214">
        <v>0</v>
      </c>
      <c r="X214">
        <v>710003313</v>
      </c>
      <c r="Y214">
        <f>(AT214*1)</f>
        <v>1.4999999999999999E-4</v>
      </c>
      <c r="AA214">
        <v>133421.57</v>
      </c>
      <c r="AB214">
        <v>0</v>
      </c>
      <c r="AC214">
        <v>0</v>
      </c>
      <c r="AD214">
        <v>0</v>
      </c>
      <c r="AE214">
        <v>17742.23</v>
      </c>
      <c r="AF214">
        <v>0</v>
      </c>
      <c r="AG214">
        <v>0</v>
      </c>
      <c r="AH214">
        <v>0</v>
      </c>
      <c r="AI214">
        <v>7.52</v>
      </c>
      <c r="AJ214">
        <v>1</v>
      </c>
      <c r="AK214">
        <v>1</v>
      </c>
      <c r="AL214">
        <v>1</v>
      </c>
      <c r="AM214">
        <v>2</v>
      </c>
      <c r="AN214">
        <v>0</v>
      </c>
      <c r="AO214">
        <v>1</v>
      </c>
      <c r="AP214">
        <v>1</v>
      </c>
      <c r="AQ214">
        <v>0</v>
      </c>
      <c r="AR214">
        <v>0</v>
      </c>
      <c r="AS214" t="s">
        <v>3</v>
      </c>
      <c r="AT214">
        <v>1.4999999999999999E-4</v>
      </c>
      <c r="AU214" t="s">
        <v>70</v>
      </c>
      <c r="AV214">
        <v>0</v>
      </c>
      <c r="AW214">
        <v>2</v>
      </c>
      <c r="AX214">
        <v>57014711</v>
      </c>
      <c r="AY214">
        <v>1</v>
      </c>
      <c r="AZ214">
        <v>0</v>
      </c>
      <c r="BA214">
        <v>273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0</v>
      </c>
      <c r="BQ214">
        <v>0</v>
      </c>
      <c r="BR214">
        <v>0</v>
      </c>
      <c r="BS214">
        <v>0</v>
      </c>
      <c r="BT214">
        <v>0</v>
      </c>
      <c r="BU214">
        <v>0</v>
      </c>
      <c r="BV214">
        <v>0</v>
      </c>
      <c r="BW214">
        <v>0</v>
      </c>
      <c r="CV214">
        <v>0</v>
      </c>
      <c r="CW214">
        <v>0</v>
      </c>
      <c r="CX214">
        <f>ROUND(Y214*Source!I219,9)</f>
        <v>2.7900000000000001E-2</v>
      </c>
      <c r="CY214">
        <f>AA214</f>
        <v>133421.57</v>
      </c>
      <c r="CZ214">
        <f>AE214</f>
        <v>17742.23</v>
      </c>
      <c r="DA214">
        <f>AI214</f>
        <v>7.52</v>
      </c>
      <c r="DB214">
        <f>ROUND((ROUND(AT214*CZ214,2)*1),6)</f>
        <v>2.66</v>
      </c>
      <c r="DC214">
        <f>ROUND((ROUND(AT214*AG214,2)*1),6)</f>
        <v>0</v>
      </c>
      <c r="DD214" t="s">
        <v>3</v>
      </c>
      <c r="DE214" t="s">
        <v>3</v>
      </c>
      <c r="DF214">
        <f>ROUND(ROUND(AE214*AI214,2)*CX214,2)</f>
        <v>3722.46</v>
      </c>
      <c r="DG214">
        <f t="shared" si="57"/>
        <v>0</v>
      </c>
      <c r="DH214">
        <f t="shared" si="56"/>
        <v>0</v>
      </c>
      <c r="DI214">
        <f t="shared" si="55"/>
        <v>0</v>
      </c>
      <c r="DJ214">
        <f>DF214</f>
        <v>3722.46</v>
      </c>
      <c r="DK214">
        <v>0</v>
      </c>
      <c r="DL214" t="s">
        <v>3</v>
      </c>
      <c r="DM214">
        <v>0</v>
      </c>
      <c r="DN214" t="s">
        <v>3</v>
      </c>
      <c r="DO214">
        <v>0</v>
      </c>
    </row>
    <row r="215" spans="1:119" x14ac:dyDescent="0.25">
      <c r="A215">
        <f>ROW(Source!A219)</f>
        <v>219</v>
      </c>
      <c r="B215">
        <v>57014140</v>
      </c>
      <c r="C215">
        <v>57014705</v>
      </c>
      <c r="D215">
        <v>55482233</v>
      </c>
      <c r="E215">
        <v>1</v>
      </c>
      <c r="F215">
        <v>1</v>
      </c>
      <c r="G215">
        <v>1081</v>
      </c>
      <c r="H215">
        <v>3</v>
      </c>
      <c r="I215" t="s">
        <v>427</v>
      </c>
      <c r="J215" t="s">
        <v>428</v>
      </c>
      <c r="K215" t="s">
        <v>429</v>
      </c>
      <c r="L215">
        <v>1346</v>
      </c>
      <c r="N215">
        <v>1009</v>
      </c>
      <c r="O215" t="s">
        <v>365</v>
      </c>
      <c r="P215" t="s">
        <v>365</v>
      </c>
      <c r="Q215">
        <v>1</v>
      </c>
      <c r="W215">
        <v>0</v>
      </c>
      <c r="X215">
        <v>1566362712</v>
      </c>
      <c r="Y215">
        <f>(AT215*1)</f>
        <v>1.4999999999999999E-2</v>
      </c>
      <c r="AA215">
        <v>3047.23</v>
      </c>
      <c r="AB215">
        <v>0</v>
      </c>
      <c r="AC215">
        <v>0</v>
      </c>
      <c r="AD215">
        <v>0</v>
      </c>
      <c r="AE215">
        <v>493.08</v>
      </c>
      <c r="AF215">
        <v>0</v>
      </c>
      <c r="AG215">
        <v>0</v>
      </c>
      <c r="AH215">
        <v>0</v>
      </c>
      <c r="AI215">
        <v>6.18</v>
      </c>
      <c r="AJ215">
        <v>1</v>
      </c>
      <c r="AK215">
        <v>1</v>
      </c>
      <c r="AL215">
        <v>1</v>
      </c>
      <c r="AM215">
        <v>2</v>
      </c>
      <c r="AN215">
        <v>0</v>
      </c>
      <c r="AO215">
        <v>1</v>
      </c>
      <c r="AP215">
        <v>1</v>
      </c>
      <c r="AQ215">
        <v>0</v>
      </c>
      <c r="AR215">
        <v>0</v>
      </c>
      <c r="AS215" t="s">
        <v>3</v>
      </c>
      <c r="AT215">
        <v>1.4999999999999999E-2</v>
      </c>
      <c r="AU215" t="s">
        <v>70</v>
      </c>
      <c r="AV215">
        <v>0</v>
      </c>
      <c r="AW215">
        <v>2</v>
      </c>
      <c r="AX215">
        <v>57014712</v>
      </c>
      <c r="AY215">
        <v>1</v>
      </c>
      <c r="AZ215">
        <v>0</v>
      </c>
      <c r="BA215">
        <v>274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0</v>
      </c>
      <c r="BV215">
        <v>0</v>
      </c>
      <c r="BW215">
        <v>0</v>
      </c>
      <c r="CV215">
        <v>0</v>
      </c>
      <c r="CW215">
        <v>0</v>
      </c>
      <c r="CX215">
        <f>ROUND(Y215*Source!I219,9)</f>
        <v>2.79</v>
      </c>
      <c r="CY215">
        <f>AA215</f>
        <v>3047.23</v>
      </c>
      <c r="CZ215">
        <f>AE215</f>
        <v>493.08</v>
      </c>
      <c r="DA215">
        <f>AI215</f>
        <v>6.18</v>
      </c>
      <c r="DB215">
        <f>ROUND((ROUND(AT215*CZ215,2)*1),6)</f>
        <v>7.4</v>
      </c>
      <c r="DC215">
        <f>ROUND((ROUND(AT215*AG215,2)*1),6)</f>
        <v>0</v>
      </c>
      <c r="DD215" t="s">
        <v>3</v>
      </c>
      <c r="DE215" t="s">
        <v>3</v>
      </c>
      <c r="DF215">
        <f>ROUND(ROUND(AE215*AI215,2)*CX215,2)</f>
        <v>8501.77</v>
      </c>
      <c r="DG215">
        <f t="shared" si="57"/>
        <v>0</v>
      </c>
      <c r="DH215">
        <f t="shared" si="56"/>
        <v>0</v>
      </c>
      <c r="DI215">
        <f t="shared" si="55"/>
        <v>0</v>
      </c>
      <c r="DJ215">
        <f>DF215</f>
        <v>8501.77</v>
      </c>
      <c r="DK215">
        <v>0</v>
      </c>
      <c r="DL215" t="s">
        <v>3</v>
      </c>
      <c r="DM215">
        <v>0</v>
      </c>
      <c r="DN215" t="s">
        <v>3</v>
      </c>
      <c r="DO215">
        <v>0</v>
      </c>
    </row>
    <row r="216" spans="1:119" x14ac:dyDescent="0.25">
      <c r="A216">
        <f>ROW(Source!A219)</f>
        <v>219</v>
      </c>
      <c r="B216">
        <v>57014140</v>
      </c>
      <c r="C216">
        <v>57014705</v>
      </c>
      <c r="D216">
        <v>55488138</v>
      </c>
      <c r="E216">
        <v>1</v>
      </c>
      <c r="F216">
        <v>1</v>
      </c>
      <c r="G216">
        <v>1081</v>
      </c>
      <c r="H216">
        <v>3</v>
      </c>
      <c r="I216" t="s">
        <v>430</v>
      </c>
      <c r="J216" t="s">
        <v>431</v>
      </c>
      <c r="K216" t="s">
        <v>432</v>
      </c>
      <c r="L216">
        <v>1303</v>
      </c>
      <c r="N216">
        <v>1003</v>
      </c>
      <c r="O216" t="s">
        <v>433</v>
      </c>
      <c r="P216" t="s">
        <v>433</v>
      </c>
      <c r="Q216">
        <v>1000</v>
      </c>
      <c r="W216">
        <v>0</v>
      </c>
      <c r="X216">
        <v>-478298912</v>
      </c>
      <c r="Y216">
        <f>(AT216*1)</f>
        <v>5.0000000000000001E-3</v>
      </c>
      <c r="AA216">
        <v>41189.72</v>
      </c>
      <c r="AB216">
        <v>0</v>
      </c>
      <c r="AC216">
        <v>0</v>
      </c>
      <c r="AD216">
        <v>0</v>
      </c>
      <c r="AE216">
        <v>2880.4</v>
      </c>
      <c r="AF216">
        <v>0</v>
      </c>
      <c r="AG216">
        <v>0</v>
      </c>
      <c r="AH216">
        <v>0</v>
      </c>
      <c r="AI216">
        <v>14.3</v>
      </c>
      <c r="AJ216">
        <v>1</v>
      </c>
      <c r="AK216">
        <v>1</v>
      </c>
      <c r="AL216">
        <v>1</v>
      </c>
      <c r="AM216">
        <v>2</v>
      </c>
      <c r="AN216">
        <v>0</v>
      </c>
      <c r="AO216">
        <v>1</v>
      </c>
      <c r="AP216">
        <v>1</v>
      </c>
      <c r="AQ216">
        <v>0</v>
      </c>
      <c r="AR216">
        <v>0</v>
      </c>
      <c r="AS216" t="s">
        <v>3</v>
      </c>
      <c r="AT216">
        <v>5.0000000000000001E-3</v>
      </c>
      <c r="AU216" t="s">
        <v>70</v>
      </c>
      <c r="AV216">
        <v>0</v>
      </c>
      <c r="AW216">
        <v>2</v>
      </c>
      <c r="AX216">
        <v>57014713</v>
      </c>
      <c r="AY216">
        <v>1</v>
      </c>
      <c r="AZ216">
        <v>0</v>
      </c>
      <c r="BA216">
        <v>275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0</v>
      </c>
      <c r="BV216">
        <v>0</v>
      </c>
      <c r="BW216">
        <v>0</v>
      </c>
      <c r="CV216">
        <v>0</v>
      </c>
      <c r="CW216">
        <v>0</v>
      </c>
      <c r="CX216">
        <f>ROUND(Y216*Source!I219,9)</f>
        <v>0.93</v>
      </c>
      <c r="CY216">
        <f>AA216</f>
        <v>41189.72</v>
      </c>
      <c r="CZ216">
        <f>AE216</f>
        <v>2880.4</v>
      </c>
      <c r="DA216">
        <f>AI216</f>
        <v>14.3</v>
      </c>
      <c r="DB216">
        <f>ROUND((ROUND(AT216*CZ216,2)*1),6)</f>
        <v>14.4</v>
      </c>
      <c r="DC216">
        <f>ROUND((ROUND(AT216*AG216,2)*1),6)</f>
        <v>0</v>
      </c>
      <c r="DD216" t="s">
        <v>3</v>
      </c>
      <c r="DE216" t="s">
        <v>3</v>
      </c>
      <c r="DF216">
        <f>ROUND(ROUND(AE216*AI216,2)*CX216,2)</f>
        <v>38306.44</v>
      </c>
      <c r="DG216">
        <f t="shared" si="57"/>
        <v>0</v>
      </c>
      <c r="DH216">
        <f t="shared" si="56"/>
        <v>0</v>
      </c>
      <c r="DI216">
        <f t="shared" si="55"/>
        <v>0</v>
      </c>
      <c r="DJ216">
        <f>DF216</f>
        <v>38306.44</v>
      </c>
      <c r="DK216">
        <v>0</v>
      </c>
      <c r="DL216" t="s">
        <v>3</v>
      </c>
      <c r="DM216">
        <v>0</v>
      </c>
      <c r="DN216" t="s">
        <v>3</v>
      </c>
      <c r="DO216">
        <v>0</v>
      </c>
    </row>
    <row r="217" spans="1:119" x14ac:dyDescent="0.25">
      <c r="A217">
        <f>ROW(Source!A224)</f>
        <v>224</v>
      </c>
      <c r="B217">
        <v>57014138</v>
      </c>
      <c r="C217">
        <v>57014717</v>
      </c>
      <c r="D217">
        <v>55424304</v>
      </c>
      <c r="E217">
        <v>1081</v>
      </c>
      <c r="F217">
        <v>1</v>
      </c>
      <c r="G217">
        <v>1081</v>
      </c>
      <c r="H217">
        <v>1</v>
      </c>
      <c r="I217" t="s">
        <v>385</v>
      </c>
      <c r="J217" t="s">
        <v>3</v>
      </c>
      <c r="K217" t="s">
        <v>386</v>
      </c>
      <c r="L217">
        <v>1191</v>
      </c>
      <c r="N217">
        <v>1013</v>
      </c>
      <c r="O217" t="s">
        <v>387</v>
      </c>
      <c r="P217" t="s">
        <v>387</v>
      </c>
      <c r="Q217">
        <v>1</v>
      </c>
      <c r="W217">
        <v>0</v>
      </c>
      <c r="X217">
        <v>476480486</v>
      </c>
      <c r="Y217">
        <f>(AT217*1.2)</f>
        <v>2.016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1</v>
      </c>
      <c r="AJ217">
        <v>1</v>
      </c>
      <c r="AK217">
        <v>1</v>
      </c>
      <c r="AL217">
        <v>1</v>
      </c>
      <c r="AM217">
        <v>-2</v>
      </c>
      <c r="AN217">
        <v>0</v>
      </c>
      <c r="AO217">
        <v>1</v>
      </c>
      <c r="AP217">
        <v>1</v>
      </c>
      <c r="AQ217">
        <v>0</v>
      </c>
      <c r="AR217">
        <v>0</v>
      </c>
      <c r="AS217" t="s">
        <v>3</v>
      </c>
      <c r="AT217">
        <v>1.68</v>
      </c>
      <c r="AU217" t="s">
        <v>71</v>
      </c>
      <c r="AV217">
        <v>1</v>
      </c>
      <c r="AW217">
        <v>2</v>
      </c>
      <c r="AX217">
        <v>57014719</v>
      </c>
      <c r="AY217">
        <v>1</v>
      </c>
      <c r="AZ217">
        <v>0</v>
      </c>
      <c r="BA217">
        <v>277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</v>
      </c>
      <c r="CU217">
        <f>ROUND(AT217*Source!I224*AH217*AL217,2)</f>
        <v>0</v>
      </c>
      <c r="CV217">
        <f>ROUND(Y217*Source!I224,9)</f>
        <v>2.016</v>
      </c>
      <c r="CW217">
        <v>0</v>
      </c>
      <c r="CX217">
        <f>ROUND(Y217*Source!I224,9)</f>
        <v>2.016</v>
      </c>
      <c r="CY217">
        <f>AD217</f>
        <v>0</v>
      </c>
      <c r="CZ217">
        <f>AH217</f>
        <v>0</v>
      </c>
      <c r="DA217">
        <f>AL217</f>
        <v>1</v>
      </c>
      <c r="DB217">
        <f>ROUND((ROUND(AT217*CZ217,2)*1.2),6)</f>
        <v>0</v>
      </c>
      <c r="DC217">
        <f>ROUND((ROUND(AT217*AG217,2)*1.2),6)</f>
        <v>0</v>
      </c>
      <c r="DD217" t="s">
        <v>3</v>
      </c>
      <c r="DE217" t="s">
        <v>3</v>
      </c>
      <c r="DF217">
        <f t="shared" ref="DF217:DF224" si="66">ROUND(ROUND(AE217,2)*CX217,2)</f>
        <v>0</v>
      </c>
      <c r="DG217">
        <f t="shared" si="57"/>
        <v>0</v>
      </c>
      <c r="DH217">
        <f t="shared" si="56"/>
        <v>0</v>
      </c>
      <c r="DI217">
        <f t="shared" si="55"/>
        <v>0</v>
      </c>
      <c r="DJ217">
        <f>DI217</f>
        <v>0</v>
      </c>
      <c r="DK217">
        <v>0</v>
      </c>
      <c r="DL217" t="s">
        <v>3</v>
      </c>
      <c r="DM217">
        <v>0</v>
      </c>
      <c r="DN217" t="s">
        <v>3</v>
      </c>
      <c r="DO217">
        <v>0</v>
      </c>
    </row>
    <row r="218" spans="1:119" x14ac:dyDescent="0.25">
      <c r="A218">
        <f>ROW(Source!A225)</f>
        <v>225</v>
      </c>
      <c r="B218">
        <v>57014140</v>
      </c>
      <c r="C218">
        <v>57014717</v>
      </c>
      <c r="D218">
        <v>55424304</v>
      </c>
      <c r="E218">
        <v>1081</v>
      </c>
      <c r="F218">
        <v>1</v>
      </c>
      <c r="G218">
        <v>1081</v>
      </c>
      <c r="H218">
        <v>1</v>
      </c>
      <c r="I218" t="s">
        <v>385</v>
      </c>
      <c r="J218" t="s">
        <v>3</v>
      </c>
      <c r="K218" t="s">
        <v>386</v>
      </c>
      <c r="L218">
        <v>1191</v>
      </c>
      <c r="N218">
        <v>1013</v>
      </c>
      <c r="O218" t="s">
        <v>387</v>
      </c>
      <c r="P218" t="s">
        <v>387</v>
      </c>
      <c r="Q218">
        <v>1</v>
      </c>
      <c r="W218">
        <v>0</v>
      </c>
      <c r="X218">
        <v>476480486</v>
      </c>
      <c r="Y218">
        <f>(AT218*1.2)</f>
        <v>2.016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1</v>
      </c>
      <c r="AJ218">
        <v>1</v>
      </c>
      <c r="AK218">
        <v>1</v>
      </c>
      <c r="AL218">
        <v>1</v>
      </c>
      <c r="AM218">
        <v>5</v>
      </c>
      <c r="AN218">
        <v>0</v>
      </c>
      <c r="AO218">
        <v>1</v>
      </c>
      <c r="AP218">
        <v>1</v>
      </c>
      <c r="AQ218">
        <v>0</v>
      </c>
      <c r="AR218">
        <v>0</v>
      </c>
      <c r="AS218" t="s">
        <v>3</v>
      </c>
      <c r="AT218">
        <v>1.68</v>
      </c>
      <c r="AU218" t="s">
        <v>71</v>
      </c>
      <c r="AV218">
        <v>1</v>
      </c>
      <c r="AW218">
        <v>2</v>
      </c>
      <c r="AX218">
        <v>57014719</v>
      </c>
      <c r="AY218">
        <v>1</v>
      </c>
      <c r="AZ218">
        <v>0</v>
      </c>
      <c r="BA218">
        <v>278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0</v>
      </c>
      <c r="BV218">
        <v>0</v>
      </c>
      <c r="BW218">
        <v>0</v>
      </c>
      <c r="CU218">
        <f>ROUND(AT218*Source!I225*AH218*AL218,2)</f>
        <v>0</v>
      </c>
      <c r="CV218">
        <f>ROUND(Y218*Source!I225,9)</f>
        <v>2.016</v>
      </c>
      <c r="CW218">
        <v>0</v>
      </c>
      <c r="CX218">
        <f>ROUND(Y218*Source!I225,9)</f>
        <v>2.016</v>
      </c>
      <c r="CY218">
        <f>AD218</f>
        <v>0</v>
      </c>
      <c r="CZ218">
        <f>AH218</f>
        <v>0</v>
      </c>
      <c r="DA218">
        <f>AL218</f>
        <v>1</v>
      </c>
      <c r="DB218">
        <f>ROUND((ROUND(AT218*CZ218,2)*1.2),6)</f>
        <v>0</v>
      </c>
      <c r="DC218">
        <f>ROUND((ROUND(AT218*AG218,2)*1.2),6)</f>
        <v>0</v>
      </c>
      <c r="DD218" t="s">
        <v>3</v>
      </c>
      <c r="DE218" t="s">
        <v>3</v>
      </c>
      <c r="DF218">
        <f t="shared" si="66"/>
        <v>0</v>
      </c>
      <c r="DG218">
        <f t="shared" si="57"/>
        <v>0</v>
      </c>
      <c r="DH218">
        <f t="shared" si="56"/>
        <v>0</v>
      </c>
      <c r="DI218">
        <f t="shared" si="55"/>
        <v>0</v>
      </c>
      <c r="DJ218">
        <f>DI218</f>
        <v>0</v>
      </c>
      <c r="DK218">
        <v>0</v>
      </c>
      <c r="DL218" t="s">
        <v>3</v>
      </c>
      <c r="DM218">
        <v>0</v>
      </c>
      <c r="DN218" t="s">
        <v>3</v>
      </c>
      <c r="DO218">
        <v>0</v>
      </c>
    </row>
    <row r="219" spans="1:119" x14ac:dyDescent="0.25">
      <c r="A219">
        <f>ROW(Source!A228)</f>
        <v>228</v>
      </c>
      <c r="B219">
        <v>57014138</v>
      </c>
      <c r="C219">
        <v>57014721</v>
      </c>
      <c r="D219">
        <v>55424304</v>
      </c>
      <c r="E219">
        <v>1081</v>
      </c>
      <c r="F219">
        <v>1</v>
      </c>
      <c r="G219">
        <v>1081</v>
      </c>
      <c r="H219">
        <v>1</v>
      </c>
      <c r="I219" t="s">
        <v>385</v>
      </c>
      <c r="J219" t="s">
        <v>3</v>
      </c>
      <c r="K219" t="s">
        <v>386</v>
      </c>
      <c r="L219">
        <v>1191</v>
      </c>
      <c r="N219">
        <v>1013</v>
      </c>
      <c r="O219" t="s">
        <v>387</v>
      </c>
      <c r="P219" t="s">
        <v>387</v>
      </c>
      <c r="Q219">
        <v>1</v>
      </c>
      <c r="W219">
        <v>0</v>
      </c>
      <c r="X219">
        <v>476480486</v>
      </c>
      <c r="Y219">
        <f>(AT219*1.2)</f>
        <v>28.799999999999997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1</v>
      </c>
      <c r="AJ219">
        <v>1</v>
      </c>
      <c r="AK219">
        <v>1</v>
      </c>
      <c r="AL219">
        <v>1</v>
      </c>
      <c r="AM219">
        <v>-2</v>
      </c>
      <c r="AN219">
        <v>0</v>
      </c>
      <c r="AO219">
        <v>1</v>
      </c>
      <c r="AP219">
        <v>1</v>
      </c>
      <c r="AQ219">
        <v>0</v>
      </c>
      <c r="AR219">
        <v>0</v>
      </c>
      <c r="AS219" t="s">
        <v>3</v>
      </c>
      <c r="AT219">
        <v>24</v>
      </c>
      <c r="AU219" t="s">
        <v>71</v>
      </c>
      <c r="AV219">
        <v>1</v>
      </c>
      <c r="AW219">
        <v>2</v>
      </c>
      <c r="AX219">
        <v>57014727</v>
      </c>
      <c r="AY219">
        <v>1</v>
      </c>
      <c r="AZ219">
        <v>0</v>
      </c>
      <c r="BA219">
        <v>279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</v>
      </c>
      <c r="CU219">
        <f>ROUND(AT219*Source!I228*AH219*AL219,2)</f>
        <v>0</v>
      </c>
      <c r="CV219">
        <f>ROUND(Y219*Source!I228,9)</f>
        <v>2.016</v>
      </c>
      <c r="CW219">
        <v>0</v>
      </c>
      <c r="CX219">
        <f>ROUND(Y219*Source!I228,9)</f>
        <v>2.016</v>
      </c>
      <c r="CY219">
        <f>AD219</f>
        <v>0</v>
      </c>
      <c r="CZ219">
        <f>AH219</f>
        <v>0</v>
      </c>
      <c r="DA219">
        <f>AL219</f>
        <v>1</v>
      </c>
      <c r="DB219">
        <f>ROUND((ROUND(AT219*CZ219,2)*1.2),6)</f>
        <v>0</v>
      </c>
      <c r="DC219">
        <f>ROUND((ROUND(AT219*AG219,2)*1.2),6)</f>
        <v>0</v>
      </c>
      <c r="DD219" t="s">
        <v>3</v>
      </c>
      <c r="DE219" t="s">
        <v>3</v>
      </c>
      <c r="DF219">
        <f t="shared" si="66"/>
        <v>0</v>
      </c>
      <c r="DG219">
        <f t="shared" si="57"/>
        <v>0</v>
      </c>
      <c r="DH219">
        <f t="shared" si="56"/>
        <v>0</v>
      </c>
      <c r="DI219">
        <f t="shared" si="55"/>
        <v>0</v>
      </c>
      <c r="DJ219">
        <f>DI219</f>
        <v>0</v>
      </c>
      <c r="DK219">
        <v>0</v>
      </c>
      <c r="DL219" t="s">
        <v>3</v>
      </c>
      <c r="DM219">
        <v>0</v>
      </c>
      <c r="DN219" t="s">
        <v>3</v>
      </c>
      <c r="DO219">
        <v>0</v>
      </c>
    </row>
    <row r="220" spans="1:119" x14ac:dyDescent="0.25">
      <c r="A220">
        <f>ROW(Source!A228)</f>
        <v>228</v>
      </c>
      <c r="B220">
        <v>57014138</v>
      </c>
      <c r="C220">
        <v>57014721</v>
      </c>
      <c r="D220">
        <v>55459907</v>
      </c>
      <c r="E220">
        <v>1</v>
      </c>
      <c r="F220">
        <v>1</v>
      </c>
      <c r="G220">
        <v>1081</v>
      </c>
      <c r="H220">
        <v>3</v>
      </c>
      <c r="I220" t="s">
        <v>434</v>
      </c>
      <c r="J220" t="s">
        <v>435</v>
      </c>
      <c r="K220" t="s">
        <v>436</v>
      </c>
      <c r="L220">
        <v>1348</v>
      </c>
      <c r="N220">
        <v>1009</v>
      </c>
      <c r="O220" t="s">
        <v>361</v>
      </c>
      <c r="P220" t="s">
        <v>361</v>
      </c>
      <c r="Q220">
        <v>1000</v>
      </c>
      <c r="W220">
        <v>0</v>
      </c>
      <c r="X220">
        <v>-921548447</v>
      </c>
      <c r="Y220">
        <f>(AT220*1)</f>
        <v>6.0000000000000001E-3</v>
      </c>
      <c r="AA220">
        <v>7246.05</v>
      </c>
      <c r="AB220">
        <v>0</v>
      </c>
      <c r="AC220">
        <v>0</v>
      </c>
      <c r="AD220">
        <v>0</v>
      </c>
      <c r="AE220">
        <v>7246.05</v>
      </c>
      <c r="AF220">
        <v>0</v>
      </c>
      <c r="AG220">
        <v>0</v>
      </c>
      <c r="AH220">
        <v>0</v>
      </c>
      <c r="AI220">
        <v>1</v>
      </c>
      <c r="AJ220">
        <v>1</v>
      </c>
      <c r="AK220">
        <v>1</v>
      </c>
      <c r="AL220">
        <v>1</v>
      </c>
      <c r="AM220">
        <v>-2</v>
      </c>
      <c r="AN220">
        <v>0</v>
      </c>
      <c r="AO220">
        <v>1</v>
      </c>
      <c r="AP220">
        <v>1</v>
      </c>
      <c r="AQ220">
        <v>0</v>
      </c>
      <c r="AR220">
        <v>0</v>
      </c>
      <c r="AS220" t="s">
        <v>3</v>
      </c>
      <c r="AT220">
        <v>6.0000000000000001E-3</v>
      </c>
      <c r="AU220" t="s">
        <v>70</v>
      </c>
      <c r="AV220">
        <v>0</v>
      </c>
      <c r="AW220">
        <v>2</v>
      </c>
      <c r="AX220">
        <v>57014728</v>
      </c>
      <c r="AY220">
        <v>1</v>
      </c>
      <c r="AZ220">
        <v>0</v>
      </c>
      <c r="BA220">
        <v>280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0</v>
      </c>
      <c r="BQ220">
        <v>0</v>
      </c>
      <c r="BR220">
        <v>0</v>
      </c>
      <c r="BS220">
        <v>0</v>
      </c>
      <c r="BT220">
        <v>0</v>
      </c>
      <c r="BU220">
        <v>0</v>
      </c>
      <c r="BV220">
        <v>0</v>
      </c>
      <c r="BW220">
        <v>0</v>
      </c>
      <c r="CV220">
        <v>0</v>
      </c>
      <c r="CW220">
        <v>0</v>
      </c>
      <c r="CX220">
        <f>ROUND(Y220*Source!I228,9)</f>
        <v>4.2000000000000002E-4</v>
      </c>
      <c r="CY220">
        <f>AA220</f>
        <v>7246.05</v>
      </c>
      <c r="CZ220">
        <f>AE220</f>
        <v>7246.05</v>
      </c>
      <c r="DA220">
        <f>AI220</f>
        <v>1</v>
      </c>
      <c r="DB220">
        <f>ROUND((ROUND(AT220*CZ220,2)*1),6)</f>
        <v>43.48</v>
      </c>
      <c r="DC220">
        <f>ROUND((ROUND(AT220*AG220,2)*1),6)</f>
        <v>0</v>
      </c>
      <c r="DD220" t="s">
        <v>3</v>
      </c>
      <c r="DE220" t="s">
        <v>3</v>
      </c>
      <c r="DF220">
        <f t="shared" si="66"/>
        <v>3.04</v>
      </c>
      <c r="DG220">
        <f t="shared" si="57"/>
        <v>0</v>
      </c>
      <c r="DH220">
        <f t="shared" si="56"/>
        <v>0</v>
      </c>
      <c r="DI220">
        <f t="shared" si="55"/>
        <v>0</v>
      </c>
      <c r="DJ220">
        <f>DF220</f>
        <v>3.04</v>
      </c>
      <c r="DK220">
        <v>0</v>
      </c>
      <c r="DL220" t="s">
        <v>3</v>
      </c>
      <c r="DM220">
        <v>0</v>
      </c>
      <c r="DN220" t="s">
        <v>3</v>
      </c>
      <c r="DO220">
        <v>0</v>
      </c>
    </row>
    <row r="221" spans="1:119" x14ac:dyDescent="0.25">
      <c r="A221">
        <f>ROW(Source!A228)</f>
        <v>228</v>
      </c>
      <c r="B221">
        <v>57014138</v>
      </c>
      <c r="C221">
        <v>57014721</v>
      </c>
      <c r="D221">
        <v>55460316</v>
      </c>
      <c r="E221">
        <v>1</v>
      </c>
      <c r="F221">
        <v>1</v>
      </c>
      <c r="G221">
        <v>1081</v>
      </c>
      <c r="H221">
        <v>3</v>
      </c>
      <c r="I221" t="s">
        <v>437</v>
      </c>
      <c r="J221" t="s">
        <v>438</v>
      </c>
      <c r="K221" t="s">
        <v>439</v>
      </c>
      <c r="L221">
        <v>1346</v>
      </c>
      <c r="N221">
        <v>1009</v>
      </c>
      <c r="O221" t="s">
        <v>365</v>
      </c>
      <c r="P221" t="s">
        <v>365</v>
      </c>
      <c r="Q221">
        <v>1</v>
      </c>
      <c r="W221">
        <v>0</v>
      </c>
      <c r="X221">
        <v>-1613042688</v>
      </c>
      <c r="Y221">
        <f>(AT221*1)</f>
        <v>0.2</v>
      </c>
      <c r="AA221">
        <v>104.63</v>
      </c>
      <c r="AB221">
        <v>0</v>
      </c>
      <c r="AC221">
        <v>0</v>
      </c>
      <c r="AD221">
        <v>0</v>
      </c>
      <c r="AE221">
        <v>104.63</v>
      </c>
      <c r="AF221">
        <v>0</v>
      </c>
      <c r="AG221">
        <v>0</v>
      </c>
      <c r="AH221">
        <v>0</v>
      </c>
      <c r="AI221">
        <v>1</v>
      </c>
      <c r="AJ221">
        <v>1</v>
      </c>
      <c r="AK221">
        <v>1</v>
      </c>
      <c r="AL221">
        <v>1</v>
      </c>
      <c r="AM221">
        <v>-2</v>
      </c>
      <c r="AN221">
        <v>0</v>
      </c>
      <c r="AO221">
        <v>1</v>
      </c>
      <c r="AP221">
        <v>1</v>
      </c>
      <c r="AQ221">
        <v>0</v>
      </c>
      <c r="AR221">
        <v>0</v>
      </c>
      <c r="AS221" t="s">
        <v>3</v>
      </c>
      <c r="AT221">
        <v>0.2</v>
      </c>
      <c r="AU221" t="s">
        <v>70</v>
      </c>
      <c r="AV221">
        <v>0</v>
      </c>
      <c r="AW221">
        <v>2</v>
      </c>
      <c r="AX221">
        <v>57014729</v>
      </c>
      <c r="AY221">
        <v>1</v>
      </c>
      <c r="AZ221">
        <v>0</v>
      </c>
      <c r="BA221">
        <v>281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0</v>
      </c>
      <c r="BQ221">
        <v>0</v>
      </c>
      <c r="BR221">
        <v>0</v>
      </c>
      <c r="BS221">
        <v>0</v>
      </c>
      <c r="BT221">
        <v>0</v>
      </c>
      <c r="BU221">
        <v>0</v>
      </c>
      <c r="BV221">
        <v>0</v>
      </c>
      <c r="BW221">
        <v>0</v>
      </c>
      <c r="CV221">
        <v>0</v>
      </c>
      <c r="CW221">
        <v>0</v>
      </c>
      <c r="CX221">
        <f>ROUND(Y221*Source!I228,9)</f>
        <v>1.4E-2</v>
      </c>
      <c r="CY221">
        <f>AA221</f>
        <v>104.63</v>
      </c>
      <c r="CZ221">
        <f>AE221</f>
        <v>104.63</v>
      </c>
      <c r="DA221">
        <f>AI221</f>
        <v>1</v>
      </c>
      <c r="DB221">
        <f>ROUND((ROUND(AT221*CZ221,2)*1),6)</f>
        <v>20.93</v>
      </c>
      <c r="DC221">
        <f>ROUND((ROUND(AT221*AG221,2)*1),6)</f>
        <v>0</v>
      </c>
      <c r="DD221" t="s">
        <v>3</v>
      </c>
      <c r="DE221" t="s">
        <v>3</v>
      </c>
      <c r="DF221">
        <f t="shared" si="66"/>
        <v>1.46</v>
      </c>
      <c r="DG221">
        <f t="shared" si="57"/>
        <v>0</v>
      </c>
      <c r="DH221">
        <f t="shared" si="56"/>
        <v>0</v>
      </c>
      <c r="DI221">
        <f t="shared" si="55"/>
        <v>0</v>
      </c>
      <c r="DJ221">
        <f>DF221</f>
        <v>1.46</v>
      </c>
      <c r="DK221">
        <v>0</v>
      </c>
      <c r="DL221" t="s">
        <v>3</v>
      </c>
      <c r="DM221">
        <v>0</v>
      </c>
      <c r="DN221" t="s">
        <v>3</v>
      </c>
      <c r="DO221">
        <v>0</v>
      </c>
    </row>
    <row r="222" spans="1:119" x14ac:dyDescent="0.25">
      <c r="A222">
        <f>ROW(Source!A228)</f>
        <v>228</v>
      </c>
      <c r="B222">
        <v>57014138</v>
      </c>
      <c r="C222">
        <v>57014721</v>
      </c>
      <c r="D222">
        <v>55461791</v>
      </c>
      <c r="E222">
        <v>1</v>
      </c>
      <c r="F222">
        <v>1</v>
      </c>
      <c r="G222">
        <v>1081</v>
      </c>
      <c r="H222">
        <v>3</v>
      </c>
      <c r="I222" t="s">
        <v>440</v>
      </c>
      <c r="J222" t="s">
        <v>441</v>
      </c>
      <c r="K222" t="s">
        <v>442</v>
      </c>
      <c r="L222">
        <v>1355</v>
      </c>
      <c r="N222">
        <v>1010</v>
      </c>
      <c r="O222" t="s">
        <v>64</v>
      </c>
      <c r="P222" t="s">
        <v>64</v>
      </c>
      <c r="Q222">
        <v>100</v>
      </c>
      <c r="W222">
        <v>0</v>
      </c>
      <c r="X222">
        <v>-429645653</v>
      </c>
      <c r="Y222">
        <f>(AT222*1)</f>
        <v>2</v>
      </c>
      <c r="AA222">
        <v>10.6</v>
      </c>
      <c r="AB222">
        <v>0</v>
      </c>
      <c r="AC222">
        <v>0</v>
      </c>
      <c r="AD222">
        <v>0</v>
      </c>
      <c r="AE222">
        <v>10.6</v>
      </c>
      <c r="AF222">
        <v>0</v>
      </c>
      <c r="AG222">
        <v>0</v>
      </c>
      <c r="AH222">
        <v>0</v>
      </c>
      <c r="AI222">
        <v>1</v>
      </c>
      <c r="AJ222">
        <v>1</v>
      </c>
      <c r="AK222">
        <v>1</v>
      </c>
      <c r="AL222">
        <v>1</v>
      </c>
      <c r="AM222">
        <v>-2</v>
      </c>
      <c r="AN222">
        <v>0</v>
      </c>
      <c r="AO222">
        <v>1</v>
      </c>
      <c r="AP222">
        <v>1</v>
      </c>
      <c r="AQ222">
        <v>0</v>
      </c>
      <c r="AR222">
        <v>0</v>
      </c>
      <c r="AS222" t="s">
        <v>3</v>
      </c>
      <c r="AT222">
        <v>2</v>
      </c>
      <c r="AU222" t="s">
        <v>70</v>
      </c>
      <c r="AV222">
        <v>0</v>
      </c>
      <c r="AW222">
        <v>2</v>
      </c>
      <c r="AX222">
        <v>57014730</v>
      </c>
      <c r="AY222">
        <v>1</v>
      </c>
      <c r="AZ222">
        <v>0</v>
      </c>
      <c r="BA222">
        <v>282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0</v>
      </c>
      <c r="CV222">
        <v>0</v>
      </c>
      <c r="CW222">
        <v>0</v>
      </c>
      <c r="CX222">
        <f>ROUND(Y222*Source!I228,9)</f>
        <v>0.14000000000000001</v>
      </c>
      <c r="CY222">
        <f>AA222</f>
        <v>10.6</v>
      </c>
      <c r="CZ222">
        <f>AE222</f>
        <v>10.6</v>
      </c>
      <c r="DA222">
        <f>AI222</f>
        <v>1</v>
      </c>
      <c r="DB222">
        <f>ROUND((ROUND(AT222*CZ222,2)*1),6)</f>
        <v>21.2</v>
      </c>
      <c r="DC222">
        <f>ROUND((ROUND(AT222*AG222,2)*1),6)</f>
        <v>0</v>
      </c>
      <c r="DD222" t="s">
        <v>3</v>
      </c>
      <c r="DE222" t="s">
        <v>3</v>
      </c>
      <c r="DF222">
        <f t="shared" si="66"/>
        <v>1.48</v>
      </c>
      <c r="DG222">
        <f t="shared" si="57"/>
        <v>0</v>
      </c>
      <c r="DH222">
        <f t="shared" si="56"/>
        <v>0</v>
      </c>
      <c r="DI222">
        <f t="shared" si="55"/>
        <v>0</v>
      </c>
      <c r="DJ222">
        <f>DF222</f>
        <v>1.48</v>
      </c>
      <c r="DK222">
        <v>0</v>
      </c>
      <c r="DL222" t="s">
        <v>3</v>
      </c>
      <c r="DM222">
        <v>0</v>
      </c>
      <c r="DN222" t="s">
        <v>3</v>
      </c>
      <c r="DO222">
        <v>0</v>
      </c>
    </row>
    <row r="223" spans="1:119" x14ac:dyDescent="0.25">
      <c r="A223">
        <f>ROW(Source!A228)</f>
        <v>228</v>
      </c>
      <c r="B223">
        <v>57014138</v>
      </c>
      <c r="C223">
        <v>57014721</v>
      </c>
      <c r="D223">
        <v>55424290</v>
      </c>
      <c r="E223">
        <v>1081</v>
      </c>
      <c r="F223">
        <v>1</v>
      </c>
      <c r="G223">
        <v>1081</v>
      </c>
      <c r="H223">
        <v>3</v>
      </c>
      <c r="I223" t="s">
        <v>443</v>
      </c>
      <c r="J223" t="s">
        <v>3</v>
      </c>
      <c r="K223" t="s">
        <v>444</v>
      </c>
      <c r="L223">
        <v>1348</v>
      </c>
      <c r="N223">
        <v>1009</v>
      </c>
      <c r="O223" t="s">
        <v>361</v>
      </c>
      <c r="P223" t="s">
        <v>361</v>
      </c>
      <c r="Q223">
        <v>1000</v>
      </c>
      <c r="W223">
        <v>0</v>
      </c>
      <c r="X223">
        <v>-783086922</v>
      </c>
      <c r="Y223">
        <f>(AT223*1)</f>
        <v>0.03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1</v>
      </c>
      <c r="AJ223">
        <v>1</v>
      </c>
      <c r="AK223">
        <v>1</v>
      </c>
      <c r="AL223">
        <v>1</v>
      </c>
      <c r="AM223">
        <v>-2</v>
      </c>
      <c r="AN223">
        <v>0</v>
      </c>
      <c r="AO223">
        <v>1</v>
      </c>
      <c r="AP223">
        <v>1</v>
      </c>
      <c r="AQ223">
        <v>0</v>
      </c>
      <c r="AR223">
        <v>0</v>
      </c>
      <c r="AS223" t="s">
        <v>3</v>
      </c>
      <c r="AT223">
        <v>0.03</v>
      </c>
      <c r="AU223" t="s">
        <v>70</v>
      </c>
      <c r="AV223">
        <v>0</v>
      </c>
      <c r="AW223">
        <v>2</v>
      </c>
      <c r="AX223">
        <v>57014732</v>
      </c>
      <c r="AY223">
        <v>1</v>
      </c>
      <c r="AZ223">
        <v>0</v>
      </c>
      <c r="BA223">
        <v>284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0</v>
      </c>
      <c r="CV223">
        <v>0</v>
      </c>
      <c r="CW223">
        <v>0</v>
      </c>
      <c r="CX223">
        <f>ROUND(Y223*Source!I228,9)</f>
        <v>2.0999999999999999E-3</v>
      </c>
      <c r="CY223">
        <f>AA223</f>
        <v>0</v>
      </c>
      <c r="CZ223">
        <f>AE223</f>
        <v>0</v>
      </c>
      <c r="DA223">
        <f>AI223</f>
        <v>1</v>
      </c>
      <c r="DB223">
        <f>ROUND((ROUND(AT223*CZ223,2)*1),6)</f>
        <v>0</v>
      </c>
      <c r="DC223">
        <f>ROUND((ROUND(AT223*AG223,2)*1),6)</f>
        <v>0</v>
      </c>
      <c r="DD223" t="s">
        <v>3</v>
      </c>
      <c r="DE223" t="s">
        <v>3</v>
      </c>
      <c r="DF223">
        <f t="shared" si="66"/>
        <v>0</v>
      </c>
      <c r="DG223">
        <f t="shared" si="57"/>
        <v>0</v>
      </c>
      <c r="DH223">
        <f t="shared" si="56"/>
        <v>0</v>
      </c>
      <c r="DI223">
        <f t="shared" si="55"/>
        <v>0</v>
      </c>
      <c r="DJ223">
        <f>DF223</f>
        <v>0</v>
      </c>
      <c r="DK223">
        <v>0</v>
      </c>
      <c r="DL223" t="s">
        <v>3</v>
      </c>
      <c r="DM223">
        <v>0</v>
      </c>
      <c r="DN223" t="s">
        <v>3</v>
      </c>
      <c r="DO223">
        <v>0</v>
      </c>
    </row>
    <row r="224" spans="1:119" x14ac:dyDescent="0.25">
      <c r="A224">
        <f>ROW(Source!A229)</f>
        <v>229</v>
      </c>
      <c r="B224">
        <v>57014140</v>
      </c>
      <c r="C224">
        <v>57014721</v>
      </c>
      <c r="D224">
        <v>55424304</v>
      </c>
      <c r="E224">
        <v>1081</v>
      </c>
      <c r="F224">
        <v>1</v>
      </c>
      <c r="G224">
        <v>1081</v>
      </c>
      <c r="H224">
        <v>1</v>
      </c>
      <c r="I224" t="s">
        <v>385</v>
      </c>
      <c r="J224" t="s">
        <v>3</v>
      </c>
      <c r="K224" t="s">
        <v>386</v>
      </c>
      <c r="L224">
        <v>1191</v>
      </c>
      <c r="N224">
        <v>1013</v>
      </c>
      <c r="O224" t="s">
        <v>387</v>
      </c>
      <c r="P224" t="s">
        <v>387</v>
      </c>
      <c r="Q224">
        <v>1</v>
      </c>
      <c r="W224">
        <v>0</v>
      </c>
      <c r="X224">
        <v>476480486</v>
      </c>
      <c r="Y224">
        <f>(AT224*1.2)</f>
        <v>28.799999999999997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1</v>
      </c>
      <c r="AJ224">
        <v>1</v>
      </c>
      <c r="AK224">
        <v>1</v>
      </c>
      <c r="AL224">
        <v>1</v>
      </c>
      <c r="AM224">
        <v>5</v>
      </c>
      <c r="AN224">
        <v>0</v>
      </c>
      <c r="AO224">
        <v>1</v>
      </c>
      <c r="AP224">
        <v>1</v>
      </c>
      <c r="AQ224">
        <v>0</v>
      </c>
      <c r="AR224">
        <v>0</v>
      </c>
      <c r="AS224" t="s">
        <v>3</v>
      </c>
      <c r="AT224">
        <v>24</v>
      </c>
      <c r="AU224" t="s">
        <v>71</v>
      </c>
      <c r="AV224">
        <v>1</v>
      </c>
      <c r="AW224">
        <v>2</v>
      </c>
      <c r="AX224">
        <v>57014727</v>
      </c>
      <c r="AY224">
        <v>1</v>
      </c>
      <c r="AZ224">
        <v>0</v>
      </c>
      <c r="BA224">
        <v>285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0</v>
      </c>
      <c r="BP224">
        <v>0</v>
      </c>
      <c r="BQ224">
        <v>0</v>
      </c>
      <c r="BR224">
        <v>0</v>
      </c>
      <c r="BS224">
        <v>0</v>
      </c>
      <c r="BT224">
        <v>0</v>
      </c>
      <c r="BU224">
        <v>0</v>
      </c>
      <c r="BV224">
        <v>0</v>
      </c>
      <c r="BW224">
        <v>0</v>
      </c>
      <c r="CU224">
        <f>ROUND(AT224*Source!I229*AH224*AL224,2)</f>
        <v>0</v>
      </c>
      <c r="CV224">
        <f>ROUND(Y224*Source!I229,9)</f>
        <v>2.016</v>
      </c>
      <c r="CW224">
        <v>0</v>
      </c>
      <c r="CX224">
        <f>ROUND(Y224*Source!I229,9)</f>
        <v>2.016</v>
      </c>
      <c r="CY224">
        <f>AD224</f>
        <v>0</v>
      </c>
      <c r="CZ224">
        <f>AH224</f>
        <v>0</v>
      </c>
      <c r="DA224">
        <f>AL224</f>
        <v>1</v>
      </c>
      <c r="DB224">
        <f>ROUND((ROUND(AT224*CZ224,2)*1.2),6)</f>
        <v>0</v>
      </c>
      <c r="DC224">
        <f>ROUND((ROUND(AT224*AG224,2)*1.2),6)</f>
        <v>0</v>
      </c>
      <c r="DD224" t="s">
        <v>3</v>
      </c>
      <c r="DE224" t="s">
        <v>3</v>
      </c>
      <c r="DF224">
        <f t="shared" si="66"/>
        <v>0</v>
      </c>
      <c r="DG224">
        <f t="shared" si="57"/>
        <v>0</v>
      </c>
      <c r="DH224">
        <f t="shared" si="56"/>
        <v>0</v>
      </c>
      <c r="DI224">
        <f t="shared" si="55"/>
        <v>0</v>
      </c>
      <c r="DJ224">
        <f>DI224</f>
        <v>0</v>
      </c>
      <c r="DK224">
        <v>0</v>
      </c>
      <c r="DL224" t="s">
        <v>3</v>
      </c>
      <c r="DM224">
        <v>0</v>
      </c>
      <c r="DN224" t="s">
        <v>3</v>
      </c>
      <c r="DO224">
        <v>0</v>
      </c>
    </row>
    <row r="225" spans="1:119" x14ac:dyDescent="0.25">
      <c r="A225">
        <f>ROW(Source!A229)</f>
        <v>229</v>
      </c>
      <c r="B225">
        <v>57014140</v>
      </c>
      <c r="C225">
        <v>57014721</v>
      </c>
      <c r="D225">
        <v>55459907</v>
      </c>
      <c r="E225">
        <v>1</v>
      </c>
      <c r="F225">
        <v>1</v>
      </c>
      <c r="G225">
        <v>1081</v>
      </c>
      <c r="H225">
        <v>3</v>
      </c>
      <c r="I225" t="s">
        <v>434</v>
      </c>
      <c r="J225" t="s">
        <v>435</v>
      </c>
      <c r="K225" t="s">
        <v>436</v>
      </c>
      <c r="L225">
        <v>1348</v>
      </c>
      <c r="N225">
        <v>1009</v>
      </c>
      <c r="O225" t="s">
        <v>361</v>
      </c>
      <c r="P225" t="s">
        <v>361</v>
      </c>
      <c r="Q225">
        <v>1000</v>
      </c>
      <c r="W225">
        <v>0</v>
      </c>
      <c r="X225">
        <v>-921548447</v>
      </c>
      <c r="Y225">
        <f>(AT225*1)</f>
        <v>6.0000000000000001E-3</v>
      </c>
      <c r="AA225">
        <v>60649.440000000002</v>
      </c>
      <c r="AB225">
        <v>0</v>
      </c>
      <c r="AC225">
        <v>0</v>
      </c>
      <c r="AD225">
        <v>0</v>
      </c>
      <c r="AE225">
        <v>7246.05</v>
      </c>
      <c r="AF225">
        <v>0</v>
      </c>
      <c r="AG225">
        <v>0</v>
      </c>
      <c r="AH225">
        <v>0</v>
      </c>
      <c r="AI225">
        <v>8.3699999999999992</v>
      </c>
      <c r="AJ225">
        <v>1</v>
      </c>
      <c r="AK225">
        <v>1</v>
      </c>
      <c r="AL225">
        <v>1</v>
      </c>
      <c r="AM225">
        <v>2</v>
      </c>
      <c r="AN225">
        <v>0</v>
      </c>
      <c r="AO225">
        <v>1</v>
      </c>
      <c r="AP225">
        <v>1</v>
      </c>
      <c r="AQ225">
        <v>0</v>
      </c>
      <c r="AR225">
        <v>0</v>
      </c>
      <c r="AS225" t="s">
        <v>3</v>
      </c>
      <c r="AT225">
        <v>6.0000000000000001E-3</v>
      </c>
      <c r="AU225" t="s">
        <v>70</v>
      </c>
      <c r="AV225">
        <v>0</v>
      </c>
      <c r="AW225">
        <v>2</v>
      </c>
      <c r="AX225">
        <v>57014728</v>
      </c>
      <c r="AY225">
        <v>1</v>
      </c>
      <c r="AZ225">
        <v>0</v>
      </c>
      <c r="BA225">
        <v>286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0</v>
      </c>
      <c r="BP225">
        <v>0</v>
      </c>
      <c r="BQ225">
        <v>0</v>
      </c>
      <c r="BR225">
        <v>0</v>
      </c>
      <c r="BS225">
        <v>0</v>
      </c>
      <c r="BT225">
        <v>0</v>
      </c>
      <c r="BU225">
        <v>0</v>
      </c>
      <c r="BV225">
        <v>0</v>
      </c>
      <c r="BW225">
        <v>0</v>
      </c>
      <c r="CV225">
        <v>0</v>
      </c>
      <c r="CW225">
        <v>0</v>
      </c>
      <c r="CX225">
        <f>ROUND(Y225*Source!I229,9)</f>
        <v>4.2000000000000002E-4</v>
      </c>
      <c r="CY225">
        <f>AA225</f>
        <v>60649.440000000002</v>
      </c>
      <c r="CZ225">
        <f>AE225</f>
        <v>7246.05</v>
      </c>
      <c r="DA225">
        <f>AI225</f>
        <v>8.3699999999999992</v>
      </c>
      <c r="DB225">
        <f>ROUND((ROUND(AT225*CZ225,2)*1),6)</f>
        <v>43.48</v>
      </c>
      <c r="DC225">
        <f>ROUND((ROUND(AT225*AG225,2)*1),6)</f>
        <v>0</v>
      </c>
      <c r="DD225" t="s">
        <v>3</v>
      </c>
      <c r="DE225" t="s">
        <v>3</v>
      </c>
      <c r="DF225">
        <f>ROUND(ROUND(AE225*AI225,2)*CX225,2)</f>
        <v>25.47</v>
      </c>
      <c r="DG225">
        <f t="shared" si="57"/>
        <v>0</v>
      </c>
      <c r="DH225">
        <f t="shared" si="56"/>
        <v>0</v>
      </c>
      <c r="DI225">
        <f t="shared" si="55"/>
        <v>0</v>
      </c>
      <c r="DJ225">
        <f>DF225</f>
        <v>25.47</v>
      </c>
      <c r="DK225">
        <v>0</v>
      </c>
      <c r="DL225" t="s">
        <v>3</v>
      </c>
      <c r="DM225">
        <v>0</v>
      </c>
      <c r="DN225" t="s">
        <v>3</v>
      </c>
      <c r="DO225">
        <v>0</v>
      </c>
    </row>
    <row r="226" spans="1:119" x14ac:dyDescent="0.25">
      <c r="A226">
        <f>ROW(Source!A229)</f>
        <v>229</v>
      </c>
      <c r="B226">
        <v>57014140</v>
      </c>
      <c r="C226">
        <v>57014721</v>
      </c>
      <c r="D226">
        <v>55460316</v>
      </c>
      <c r="E226">
        <v>1</v>
      </c>
      <c r="F226">
        <v>1</v>
      </c>
      <c r="G226">
        <v>1081</v>
      </c>
      <c r="H226">
        <v>3</v>
      </c>
      <c r="I226" t="s">
        <v>437</v>
      </c>
      <c r="J226" t="s">
        <v>438</v>
      </c>
      <c r="K226" t="s">
        <v>439</v>
      </c>
      <c r="L226">
        <v>1346</v>
      </c>
      <c r="N226">
        <v>1009</v>
      </c>
      <c r="O226" t="s">
        <v>365</v>
      </c>
      <c r="P226" t="s">
        <v>365</v>
      </c>
      <c r="Q226">
        <v>1</v>
      </c>
      <c r="W226">
        <v>0</v>
      </c>
      <c r="X226">
        <v>-1613042688</v>
      </c>
      <c r="Y226">
        <f>(AT226*1)</f>
        <v>0.2</v>
      </c>
      <c r="AA226">
        <v>183.1</v>
      </c>
      <c r="AB226">
        <v>0</v>
      </c>
      <c r="AC226">
        <v>0</v>
      </c>
      <c r="AD226">
        <v>0</v>
      </c>
      <c r="AE226">
        <v>104.63</v>
      </c>
      <c r="AF226">
        <v>0</v>
      </c>
      <c r="AG226">
        <v>0</v>
      </c>
      <c r="AH226">
        <v>0</v>
      </c>
      <c r="AI226">
        <v>1.75</v>
      </c>
      <c r="AJ226">
        <v>1</v>
      </c>
      <c r="AK226">
        <v>1</v>
      </c>
      <c r="AL226">
        <v>1</v>
      </c>
      <c r="AM226">
        <v>2</v>
      </c>
      <c r="AN226">
        <v>0</v>
      </c>
      <c r="AO226">
        <v>1</v>
      </c>
      <c r="AP226">
        <v>1</v>
      </c>
      <c r="AQ226">
        <v>0</v>
      </c>
      <c r="AR226">
        <v>0</v>
      </c>
      <c r="AS226" t="s">
        <v>3</v>
      </c>
      <c r="AT226">
        <v>0.2</v>
      </c>
      <c r="AU226" t="s">
        <v>70</v>
      </c>
      <c r="AV226">
        <v>0</v>
      </c>
      <c r="AW226">
        <v>2</v>
      </c>
      <c r="AX226">
        <v>57014729</v>
      </c>
      <c r="AY226">
        <v>1</v>
      </c>
      <c r="AZ226">
        <v>0</v>
      </c>
      <c r="BA226">
        <v>287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0</v>
      </c>
      <c r="BP226">
        <v>0</v>
      </c>
      <c r="BQ226">
        <v>0</v>
      </c>
      <c r="BR226">
        <v>0</v>
      </c>
      <c r="BS226">
        <v>0</v>
      </c>
      <c r="BT226">
        <v>0</v>
      </c>
      <c r="BU226">
        <v>0</v>
      </c>
      <c r="BV226">
        <v>0</v>
      </c>
      <c r="BW226">
        <v>0</v>
      </c>
      <c r="CV226">
        <v>0</v>
      </c>
      <c r="CW226">
        <v>0</v>
      </c>
      <c r="CX226">
        <f>ROUND(Y226*Source!I229,9)</f>
        <v>1.4E-2</v>
      </c>
      <c r="CY226">
        <f>AA226</f>
        <v>183.1</v>
      </c>
      <c r="CZ226">
        <f>AE226</f>
        <v>104.63</v>
      </c>
      <c r="DA226">
        <f>AI226</f>
        <v>1.75</v>
      </c>
      <c r="DB226">
        <f>ROUND((ROUND(AT226*CZ226,2)*1),6)</f>
        <v>20.93</v>
      </c>
      <c r="DC226">
        <f>ROUND((ROUND(AT226*AG226,2)*1),6)</f>
        <v>0</v>
      </c>
      <c r="DD226" t="s">
        <v>3</v>
      </c>
      <c r="DE226" t="s">
        <v>3</v>
      </c>
      <c r="DF226">
        <f>ROUND(ROUND(AE226*AI226,2)*CX226,2)</f>
        <v>2.56</v>
      </c>
      <c r="DG226">
        <f t="shared" si="57"/>
        <v>0</v>
      </c>
      <c r="DH226">
        <f t="shared" si="56"/>
        <v>0</v>
      </c>
      <c r="DI226">
        <f t="shared" si="55"/>
        <v>0</v>
      </c>
      <c r="DJ226">
        <f>DF226</f>
        <v>2.56</v>
      </c>
      <c r="DK226">
        <v>0</v>
      </c>
      <c r="DL226" t="s">
        <v>3</v>
      </c>
      <c r="DM226">
        <v>0</v>
      </c>
      <c r="DN226" t="s">
        <v>3</v>
      </c>
      <c r="DO226">
        <v>0</v>
      </c>
    </row>
    <row r="227" spans="1:119" x14ac:dyDescent="0.25">
      <c r="A227">
        <f>ROW(Source!A229)</f>
        <v>229</v>
      </c>
      <c r="B227">
        <v>57014140</v>
      </c>
      <c r="C227">
        <v>57014721</v>
      </c>
      <c r="D227">
        <v>55461791</v>
      </c>
      <c r="E227">
        <v>1</v>
      </c>
      <c r="F227">
        <v>1</v>
      </c>
      <c r="G227">
        <v>1081</v>
      </c>
      <c r="H227">
        <v>3</v>
      </c>
      <c r="I227" t="s">
        <v>440</v>
      </c>
      <c r="J227" t="s">
        <v>441</v>
      </c>
      <c r="K227" t="s">
        <v>442</v>
      </c>
      <c r="L227">
        <v>1355</v>
      </c>
      <c r="N227">
        <v>1010</v>
      </c>
      <c r="O227" t="s">
        <v>64</v>
      </c>
      <c r="P227" t="s">
        <v>64</v>
      </c>
      <c r="Q227">
        <v>100</v>
      </c>
      <c r="W227">
        <v>0</v>
      </c>
      <c r="X227">
        <v>-429645653</v>
      </c>
      <c r="Y227">
        <f>(AT227*1)</f>
        <v>2</v>
      </c>
      <c r="AA227">
        <v>16.43</v>
      </c>
      <c r="AB227">
        <v>0</v>
      </c>
      <c r="AC227">
        <v>0</v>
      </c>
      <c r="AD227">
        <v>0</v>
      </c>
      <c r="AE227">
        <v>10.6</v>
      </c>
      <c r="AF227">
        <v>0</v>
      </c>
      <c r="AG227">
        <v>0</v>
      </c>
      <c r="AH227">
        <v>0</v>
      </c>
      <c r="AI227">
        <v>1.55</v>
      </c>
      <c r="AJ227">
        <v>1</v>
      </c>
      <c r="AK227">
        <v>1</v>
      </c>
      <c r="AL227">
        <v>1</v>
      </c>
      <c r="AM227">
        <v>2</v>
      </c>
      <c r="AN227">
        <v>0</v>
      </c>
      <c r="AO227">
        <v>1</v>
      </c>
      <c r="AP227">
        <v>1</v>
      </c>
      <c r="AQ227">
        <v>0</v>
      </c>
      <c r="AR227">
        <v>0</v>
      </c>
      <c r="AS227" t="s">
        <v>3</v>
      </c>
      <c r="AT227">
        <v>2</v>
      </c>
      <c r="AU227" t="s">
        <v>70</v>
      </c>
      <c r="AV227">
        <v>0</v>
      </c>
      <c r="AW227">
        <v>2</v>
      </c>
      <c r="AX227">
        <v>57014730</v>
      </c>
      <c r="AY227">
        <v>1</v>
      </c>
      <c r="AZ227">
        <v>0</v>
      </c>
      <c r="BA227">
        <v>288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0</v>
      </c>
      <c r="CV227">
        <v>0</v>
      </c>
      <c r="CW227">
        <v>0</v>
      </c>
      <c r="CX227">
        <f>ROUND(Y227*Source!I229,9)</f>
        <v>0.14000000000000001</v>
      </c>
      <c r="CY227">
        <f>AA227</f>
        <v>16.43</v>
      </c>
      <c r="CZ227">
        <f>AE227</f>
        <v>10.6</v>
      </c>
      <c r="DA227">
        <f>AI227</f>
        <v>1.55</v>
      </c>
      <c r="DB227">
        <f>ROUND((ROUND(AT227*CZ227,2)*1),6)</f>
        <v>21.2</v>
      </c>
      <c r="DC227">
        <f>ROUND((ROUND(AT227*AG227,2)*1),6)</f>
        <v>0</v>
      </c>
      <c r="DD227" t="s">
        <v>3</v>
      </c>
      <c r="DE227" t="s">
        <v>3</v>
      </c>
      <c r="DF227">
        <f>ROUND(ROUND(AE227*AI227,2)*CX227,2)</f>
        <v>2.2999999999999998</v>
      </c>
      <c r="DG227">
        <f t="shared" si="57"/>
        <v>0</v>
      </c>
      <c r="DH227">
        <f t="shared" si="56"/>
        <v>0</v>
      </c>
      <c r="DI227">
        <f t="shared" si="55"/>
        <v>0</v>
      </c>
      <c r="DJ227">
        <f>DF227</f>
        <v>2.2999999999999998</v>
      </c>
      <c r="DK227">
        <v>0</v>
      </c>
      <c r="DL227" t="s">
        <v>3</v>
      </c>
      <c r="DM227">
        <v>0</v>
      </c>
      <c r="DN227" t="s">
        <v>3</v>
      </c>
      <c r="DO227">
        <v>0</v>
      </c>
    </row>
    <row r="228" spans="1:119" x14ac:dyDescent="0.25">
      <c r="A228">
        <f>ROW(Source!A229)</f>
        <v>229</v>
      </c>
      <c r="B228">
        <v>57014140</v>
      </c>
      <c r="C228">
        <v>57014721</v>
      </c>
      <c r="D228">
        <v>55424290</v>
      </c>
      <c r="E228">
        <v>1081</v>
      </c>
      <c r="F228">
        <v>1</v>
      </c>
      <c r="G228">
        <v>1081</v>
      </c>
      <c r="H228">
        <v>3</v>
      </c>
      <c r="I228" t="s">
        <v>443</v>
      </c>
      <c r="J228" t="s">
        <v>3</v>
      </c>
      <c r="K228" t="s">
        <v>444</v>
      </c>
      <c r="L228">
        <v>1348</v>
      </c>
      <c r="N228">
        <v>1009</v>
      </c>
      <c r="O228" t="s">
        <v>361</v>
      </c>
      <c r="P228" t="s">
        <v>361</v>
      </c>
      <c r="Q228">
        <v>1000</v>
      </c>
      <c r="W228">
        <v>0</v>
      </c>
      <c r="X228">
        <v>-783086922</v>
      </c>
      <c r="Y228">
        <f>(AT228*1)</f>
        <v>0.03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9.84</v>
      </c>
      <c r="AJ228">
        <v>1</v>
      </c>
      <c r="AK228">
        <v>1</v>
      </c>
      <c r="AL228">
        <v>1</v>
      </c>
      <c r="AM228">
        <v>5</v>
      </c>
      <c r="AN228">
        <v>0</v>
      </c>
      <c r="AO228">
        <v>1</v>
      </c>
      <c r="AP228">
        <v>1</v>
      </c>
      <c r="AQ228">
        <v>0</v>
      </c>
      <c r="AR228">
        <v>0</v>
      </c>
      <c r="AS228" t="s">
        <v>3</v>
      </c>
      <c r="AT228">
        <v>0.03</v>
      </c>
      <c r="AU228" t="s">
        <v>70</v>
      </c>
      <c r="AV228">
        <v>0</v>
      </c>
      <c r="AW228">
        <v>2</v>
      </c>
      <c r="AX228">
        <v>57014732</v>
      </c>
      <c r="AY228">
        <v>1</v>
      </c>
      <c r="AZ228">
        <v>0</v>
      </c>
      <c r="BA228">
        <v>290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0</v>
      </c>
      <c r="CV228">
        <v>0</v>
      </c>
      <c r="CW228">
        <v>0</v>
      </c>
      <c r="CX228">
        <f>ROUND(Y228*Source!I229,9)</f>
        <v>2.0999999999999999E-3</v>
      </c>
      <c r="CY228">
        <f>AA228</f>
        <v>0</v>
      </c>
      <c r="CZ228">
        <f>AE228</f>
        <v>0</v>
      </c>
      <c r="DA228">
        <f>AI228</f>
        <v>9.84</v>
      </c>
      <c r="DB228">
        <f>ROUND((ROUND(AT228*CZ228,2)*1),6)</f>
        <v>0</v>
      </c>
      <c r="DC228">
        <f>ROUND((ROUND(AT228*AG228,2)*1),6)</f>
        <v>0</v>
      </c>
      <c r="DD228" t="s">
        <v>3</v>
      </c>
      <c r="DE228" t="s">
        <v>3</v>
      </c>
      <c r="DF228">
        <f>ROUND(ROUND(AE228*AI228,2)*CX228,2)</f>
        <v>0</v>
      </c>
      <c r="DG228">
        <f t="shared" si="57"/>
        <v>0</v>
      </c>
      <c r="DH228">
        <f t="shared" si="56"/>
        <v>0</v>
      </c>
      <c r="DI228">
        <f t="shared" si="55"/>
        <v>0</v>
      </c>
      <c r="DJ228">
        <f>DF228</f>
        <v>0</v>
      </c>
      <c r="DK228">
        <v>0</v>
      </c>
      <c r="DL228" t="s">
        <v>3</v>
      </c>
      <c r="DM228">
        <v>0</v>
      </c>
      <c r="DN228" t="s">
        <v>3</v>
      </c>
      <c r="DO228">
        <v>0</v>
      </c>
    </row>
    <row r="229" spans="1:119" x14ac:dyDescent="0.25">
      <c r="A229">
        <f>ROW(Source!A267)</f>
        <v>267</v>
      </c>
      <c r="B229">
        <v>57014138</v>
      </c>
      <c r="C229">
        <v>57014738</v>
      </c>
      <c r="D229">
        <v>55424304</v>
      </c>
      <c r="E229">
        <v>1081</v>
      </c>
      <c r="F229">
        <v>1</v>
      </c>
      <c r="G229">
        <v>1081</v>
      </c>
      <c r="H229">
        <v>1</v>
      </c>
      <c r="I229" t="s">
        <v>385</v>
      </c>
      <c r="J229" t="s">
        <v>3</v>
      </c>
      <c r="K229" t="s">
        <v>386</v>
      </c>
      <c r="L229">
        <v>1191</v>
      </c>
      <c r="N229">
        <v>1013</v>
      </c>
      <c r="O229" t="s">
        <v>387</v>
      </c>
      <c r="P229" t="s">
        <v>387</v>
      </c>
      <c r="Q229">
        <v>1</v>
      </c>
      <c r="W229">
        <v>0</v>
      </c>
      <c r="X229">
        <v>476480486</v>
      </c>
      <c r="Y229">
        <f>(AT229*1.2)</f>
        <v>41.531999999999996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1</v>
      </c>
      <c r="AJ229">
        <v>1</v>
      </c>
      <c r="AK229">
        <v>1</v>
      </c>
      <c r="AL229">
        <v>1</v>
      </c>
      <c r="AM229">
        <v>-2</v>
      </c>
      <c r="AN229">
        <v>0</v>
      </c>
      <c r="AO229">
        <v>1</v>
      </c>
      <c r="AP229">
        <v>1</v>
      </c>
      <c r="AQ229">
        <v>0</v>
      </c>
      <c r="AR229">
        <v>0</v>
      </c>
      <c r="AS229" t="s">
        <v>3</v>
      </c>
      <c r="AT229">
        <v>34.61</v>
      </c>
      <c r="AU229" t="s">
        <v>71</v>
      </c>
      <c r="AV229">
        <v>1</v>
      </c>
      <c r="AW229">
        <v>2</v>
      </c>
      <c r="AX229">
        <v>57015396</v>
      </c>
      <c r="AY229">
        <v>1</v>
      </c>
      <c r="AZ229">
        <v>0</v>
      </c>
      <c r="BA229">
        <v>291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0</v>
      </c>
      <c r="BW229">
        <v>0</v>
      </c>
      <c r="CU229">
        <f>ROUND(AT229*Source!I267*AH229*AL229,2)</f>
        <v>0</v>
      </c>
      <c r="CV229">
        <f>ROUND(Y229*Source!I267,9)</f>
        <v>1889.7059999999999</v>
      </c>
      <c r="CW229">
        <v>0</v>
      </c>
      <c r="CX229">
        <f>ROUND(Y229*Source!I267,9)</f>
        <v>1889.7059999999999</v>
      </c>
      <c r="CY229">
        <f>AD229</f>
        <v>0</v>
      </c>
      <c r="CZ229">
        <f>AH229</f>
        <v>0</v>
      </c>
      <c r="DA229">
        <f>AL229</f>
        <v>1</v>
      </c>
      <c r="DB229">
        <f>ROUND((ROUND(AT229*CZ229,2)*1.2),6)</f>
        <v>0</v>
      </c>
      <c r="DC229">
        <f>ROUND((ROUND(AT229*AG229,2)*1.2),6)</f>
        <v>0</v>
      </c>
      <c r="DD229" t="s">
        <v>3</v>
      </c>
      <c r="DE229" t="s">
        <v>3</v>
      </c>
      <c r="DF229">
        <f t="shared" ref="DF229:DF237" si="67">ROUND(ROUND(AE229,2)*CX229,2)</f>
        <v>0</v>
      </c>
      <c r="DG229">
        <f t="shared" si="57"/>
        <v>0</v>
      </c>
      <c r="DH229">
        <f t="shared" si="56"/>
        <v>0</v>
      </c>
      <c r="DI229">
        <f t="shared" si="55"/>
        <v>0</v>
      </c>
      <c r="DJ229">
        <f>DI229</f>
        <v>0</v>
      </c>
      <c r="DK229">
        <v>0</v>
      </c>
      <c r="DL229" t="s">
        <v>3</v>
      </c>
      <c r="DM229">
        <v>0</v>
      </c>
      <c r="DN229" t="s">
        <v>3</v>
      </c>
      <c r="DO229">
        <v>0</v>
      </c>
    </row>
    <row r="230" spans="1:119" x14ac:dyDescent="0.25">
      <c r="A230">
        <f>ROW(Source!A267)</f>
        <v>267</v>
      </c>
      <c r="B230">
        <v>57014138</v>
      </c>
      <c r="C230">
        <v>57014738</v>
      </c>
      <c r="D230">
        <v>55490263</v>
      </c>
      <c r="E230">
        <v>1</v>
      </c>
      <c r="F230">
        <v>1</v>
      </c>
      <c r="G230">
        <v>1081</v>
      </c>
      <c r="H230">
        <v>2</v>
      </c>
      <c r="I230" t="s">
        <v>445</v>
      </c>
      <c r="J230" t="s">
        <v>446</v>
      </c>
      <c r="K230" t="s">
        <v>447</v>
      </c>
      <c r="L230">
        <v>1368</v>
      </c>
      <c r="N230">
        <v>1011</v>
      </c>
      <c r="O230" t="s">
        <v>391</v>
      </c>
      <c r="P230" t="s">
        <v>391</v>
      </c>
      <c r="Q230">
        <v>1</v>
      </c>
      <c r="W230">
        <v>0</v>
      </c>
      <c r="X230">
        <v>-1895752648</v>
      </c>
      <c r="Y230">
        <f>(AT230*1.2)</f>
        <v>5.8440000000000003</v>
      </c>
      <c r="AA230">
        <v>0</v>
      </c>
      <c r="AB230">
        <v>0.81</v>
      </c>
      <c r="AC230">
        <v>0</v>
      </c>
      <c r="AD230">
        <v>0</v>
      </c>
      <c r="AE230">
        <v>0</v>
      </c>
      <c r="AF230">
        <v>0.77</v>
      </c>
      <c r="AG230">
        <v>0</v>
      </c>
      <c r="AH230">
        <v>0</v>
      </c>
      <c r="AI230">
        <v>1</v>
      </c>
      <c r="AJ230">
        <v>1</v>
      </c>
      <c r="AK230">
        <v>1</v>
      </c>
      <c r="AL230">
        <v>1</v>
      </c>
      <c r="AM230">
        <v>-2</v>
      </c>
      <c r="AN230">
        <v>0</v>
      </c>
      <c r="AO230">
        <v>1</v>
      </c>
      <c r="AP230">
        <v>1</v>
      </c>
      <c r="AQ230">
        <v>0</v>
      </c>
      <c r="AR230">
        <v>0</v>
      </c>
      <c r="AS230" t="s">
        <v>3</v>
      </c>
      <c r="AT230">
        <v>4.87</v>
      </c>
      <c r="AU230" t="s">
        <v>71</v>
      </c>
      <c r="AV230">
        <v>0</v>
      </c>
      <c r="AW230">
        <v>2</v>
      </c>
      <c r="AX230">
        <v>57015397</v>
      </c>
      <c r="AY230">
        <v>1</v>
      </c>
      <c r="AZ230">
        <v>0</v>
      </c>
      <c r="BA230">
        <v>292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0</v>
      </c>
      <c r="BP230">
        <v>0</v>
      </c>
      <c r="BQ230">
        <v>0</v>
      </c>
      <c r="BR230">
        <v>0</v>
      </c>
      <c r="BS230">
        <v>0</v>
      </c>
      <c r="BT230">
        <v>0</v>
      </c>
      <c r="BU230">
        <v>0</v>
      </c>
      <c r="BV230">
        <v>0</v>
      </c>
      <c r="BW230">
        <v>0</v>
      </c>
      <c r="CV230">
        <v>0</v>
      </c>
      <c r="CW230">
        <f>ROUND(Y230*Source!I267*DO230,9)</f>
        <v>0</v>
      </c>
      <c r="CX230">
        <f>ROUND(Y230*Source!I267,9)</f>
        <v>265.90199999999999</v>
      </c>
      <c r="CY230">
        <f>AB230</f>
        <v>0.81</v>
      </c>
      <c r="CZ230">
        <f>AF230</f>
        <v>0.77</v>
      </c>
      <c r="DA230">
        <f>AJ230</f>
        <v>1</v>
      </c>
      <c r="DB230">
        <f>ROUND((ROUND(AT230*CZ230,2)*1.2),6)</f>
        <v>4.5</v>
      </c>
      <c r="DC230">
        <f>ROUND((ROUND(AT230*AG230,2)*1.2),6)</f>
        <v>0</v>
      </c>
      <c r="DD230" t="s">
        <v>3</v>
      </c>
      <c r="DE230" t="s">
        <v>3</v>
      </c>
      <c r="DF230">
        <f t="shared" si="67"/>
        <v>0</v>
      </c>
      <c r="DG230">
        <f t="shared" si="57"/>
        <v>204.74</v>
      </c>
      <c r="DH230">
        <f t="shared" si="56"/>
        <v>0</v>
      </c>
      <c r="DI230">
        <f t="shared" si="55"/>
        <v>0</v>
      </c>
      <c r="DJ230">
        <f>DG230</f>
        <v>204.74</v>
      </c>
      <c r="DK230">
        <v>0</v>
      </c>
      <c r="DL230" t="s">
        <v>3</v>
      </c>
      <c r="DM230">
        <v>0</v>
      </c>
      <c r="DN230" t="s">
        <v>3</v>
      </c>
      <c r="DO230">
        <v>0</v>
      </c>
    </row>
    <row r="231" spans="1:119" x14ac:dyDescent="0.25">
      <c r="A231">
        <f>ROW(Source!A267)</f>
        <v>267</v>
      </c>
      <c r="B231">
        <v>57014138</v>
      </c>
      <c r="C231">
        <v>57014738</v>
      </c>
      <c r="D231">
        <v>55490296</v>
      </c>
      <c r="E231">
        <v>1</v>
      </c>
      <c r="F231">
        <v>1</v>
      </c>
      <c r="G231">
        <v>1081</v>
      </c>
      <c r="H231">
        <v>2</v>
      </c>
      <c r="I231" t="s">
        <v>415</v>
      </c>
      <c r="J231" t="s">
        <v>416</v>
      </c>
      <c r="K231" t="s">
        <v>417</v>
      </c>
      <c r="L231">
        <v>1368</v>
      </c>
      <c r="N231">
        <v>1011</v>
      </c>
      <c r="O231" t="s">
        <v>391</v>
      </c>
      <c r="P231" t="s">
        <v>391</v>
      </c>
      <c r="Q231">
        <v>1</v>
      </c>
      <c r="W231">
        <v>0</v>
      </c>
      <c r="X231">
        <v>-643591644</v>
      </c>
      <c r="Y231">
        <f>(AT231*1.2)</f>
        <v>8.2679999999999989</v>
      </c>
      <c r="AA231">
        <v>0</v>
      </c>
      <c r="AB231">
        <v>0.49</v>
      </c>
      <c r="AC231">
        <v>0</v>
      </c>
      <c r="AD231">
        <v>0</v>
      </c>
      <c r="AE231">
        <v>0</v>
      </c>
      <c r="AF231">
        <v>0.47</v>
      </c>
      <c r="AG231">
        <v>0</v>
      </c>
      <c r="AH231">
        <v>0</v>
      </c>
      <c r="AI231">
        <v>1</v>
      </c>
      <c r="AJ231">
        <v>1</v>
      </c>
      <c r="AK231">
        <v>1</v>
      </c>
      <c r="AL231">
        <v>1</v>
      </c>
      <c r="AM231">
        <v>-2</v>
      </c>
      <c r="AN231">
        <v>0</v>
      </c>
      <c r="AO231">
        <v>1</v>
      </c>
      <c r="AP231">
        <v>1</v>
      </c>
      <c r="AQ231">
        <v>0</v>
      </c>
      <c r="AR231">
        <v>0</v>
      </c>
      <c r="AS231" t="s">
        <v>3</v>
      </c>
      <c r="AT231">
        <v>6.89</v>
      </c>
      <c r="AU231" t="s">
        <v>71</v>
      </c>
      <c r="AV231">
        <v>0</v>
      </c>
      <c r="AW231">
        <v>2</v>
      </c>
      <c r="AX231">
        <v>57015398</v>
      </c>
      <c r="AY231">
        <v>1</v>
      </c>
      <c r="AZ231">
        <v>0</v>
      </c>
      <c r="BA231">
        <v>293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0</v>
      </c>
      <c r="BV231">
        <v>0</v>
      </c>
      <c r="BW231">
        <v>0</v>
      </c>
      <c r="CV231">
        <v>0</v>
      </c>
      <c r="CW231">
        <f>ROUND(Y231*Source!I267*DO231,9)</f>
        <v>0</v>
      </c>
      <c r="CX231">
        <f>ROUND(Y231*Source!I267,9)</f>
        <v>376.19400000000002</v>
      </c>
      <c r="CY231">
        <f>AB231</f>
        <v>0.49</v>
      </c>
      <c r="CZ231">
        <f>AF231</f>
        <v>0.47</v>
      </c>
      <c r="DA231">
        <f>AJ231</f>
        <v>1</v>
      </c>
      <c r="DB231">
        <f>ROUND((ROUND(AT231*CZ231,2)*1.2),6)</f>
        <v>3.8879999999999999</v>
      </c>
      <c r="DC231">
        <f>ROUND((ROUND(AT231*AG231,2)*1.2),6)</f>
        <v>0</v>
      </c>
      <c r="DD231" t="s">
        <v>3</v>
      </c>
      <c r="DE231" t="s">
        <v>3</v>
      </c>
      <c r="DF231">
        <f t="shared" si="67"/>
        <v>0</v>
      </c>
      <c r="DG231">
        <f t="shared" si="57"/>
        <v>176.81</v>
      </c>
      <c r="DH231">
        <f t="shared" si="56"/>
        <v>0</v>
      </c>
      <c r="DI231">
        <f t="shared" si="55"/>
        <v>0</v>
      </c>
      <c r="DJ231">
        <f>DG231</f>
        <v>176.81</v>
      </c>
      <c r="DK231">
        <v>0</v>
      </c>
      <c r="DL231" t="s">
        <v>3</v>
      </c>
      <c r="DM231">
        <v>0</v>
      </c>
      <c r="DN231" t="s">
        <v>3</v>
      </c>
      <c r="DO231">
        <v>0</v>
      </c>
    </row>
    <row r="232" spans="1:119" x14ac:dyDescent="0.25">
      <c r="A232">
        <f>ROW(Source!A267)</f>
        <v>267</v>
      </c>
      <c r="B232">
        <v>57014138</v>
      </c>
      <c r="C232">
        <v>57014738</v>
      </c>
      <c r="D232">
        <v>55482203</v>
      </c>
      <c r="E232">
        <v>1</v>
      </c>
      <c r="F232">
        <v>1</v>
      </c>
      <c r="G232">
        <v>1081</v>
      </c>
      <c r="H232">
        <v>3</v>
      </c>
      <c r="I232" t="s">
        <v>448</v>
      </c>
      <c r="J232" t="s">
        <v>449</v>
      </c>
      <c r="K232" t="s">
        <v>450</v>
      </c>
      <c r="L232">
        <v>1356</v>
      </c>
      <c r="N232">
        <v>1010</v>
      </c>
      <c r="O232" t="s">
        <v>451</v>
      </c>
      <c r="P232" t="s">
        <v>451</v>
      </c>
      <c r="Q232">
        <v>1000</v>
      </c>
      <c r="W232">
        <v>0</v>
      </c>
      <c r="X232">
        <v>474149623</v>
      </c>
      <c r="Y232">
        <f>(AT232*1)</f>
        <v>3.1E-2</v>
      </c>
      <c r="AA232">
        <v>226.66</v>
      </c>
      <c r="AB232">
        <v>0</v>
      </c>
      <c r="AC232">
        <v>0</v>
      </c>
      <c r="AD232">
        <v>0</v>
      </c>
      <c r="AE232">
        <v>226.66</v>
      </c>
      <c r="AF232">
        <v>0</v>
      </c>
      <c r="AG232">
        <v>0</v>
      </c>
      <c r="AH232">
        <v>0</v>
      </c>
      <c r="AI232">
        <v>1</v>
      </c>
      <c r="AJ232">
        <v>1</v>
      </c>
      <c r="AK232">
        <v>1</v>
      </c>
      <c r="AL232">
        <v>1</v>
      </c>
      <c r="AM232">
        <v>-2</v>
      </c>
      <c r="AN232">
        <v>0</v>
      </c>
      <c r="AO232">
        <v>1</v>
      </c>
      <c r="AP232">
        <v>1</v>
      </c>
      <c r="AQ232">
        <v>0</v>
      </c>
      <c r="AR232">
        <v>0</v>
      </c>
      <c r="AS232" t="s">
        <v>3</v>
      </c>
      <c r="AT232">
        <v>3.1E-2</v>
      </c>
      <c r="AU232" t="s">
        <v>70</v>
      </c>
      <c r="AV232">
        <v>0</v>
      </c>
      <c r="AW232">
        <v>2</v>
      </c>
      <c r="AX232">
        <v>57015399</v>
      </c>
      <c r="AY232">
        <v>1</v>
      </c>
      <c r="AZ232">
        <v>0</v>
      </c>
      <c r="BA232">
        <v>294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0</v>
      </c>
      <c r="BP232">
        <v>0</v>
      </c>
      <c r="BQ232">
        <v>0</v>
      </c>
      <c r="BR232">
        <v>0</v>
      </c>
      <c r="BS232">
        <v>0</v>
      </c>
      <c r="BT232">
        <v>0</v>
      </c>
      <c r="BU232">
        <v>0</v>
      </c>
      <c r="BV232">
        <v>0</v>
      </c>
      <c r="BW232">
        <v>0</v>
      </c>
      <c r="CV232">
        <v>0</v>
      </c>
      <c r="CW232">
        <v>0</v>
      </c>
      <c r="CX232">
        <f>ROUND(Y232*Source!I267,9)</f>
        <v>1.4105000000000001</v>
      </c>
      <c r="CY232">
        <f>AA232</f>
        <v>226.66</v>
      </c>
      <c r="CZ232">
        <f>AE232</f>
        <v>226.66</v>
      </c>
      <c r="DA232">
        <f>AI232</f>
        <v>1</v>
      </c>
      <c r="DB232">
        <f>ROUND((ROUND(AT232*CZ232,2)*1),6)</f>
        <v>7.03</v>
      </c>
      <c r="DC232">
        <f>ROUND((ROUND(AT232*AG232,2)*1),6)</f>
        <v>0</v>
      </c>
      <c r="DD232" t="s">
        <v>3</v>
      </c>
      <c r="DE232" t="s">
        <v>3</v>
      </c>
      <c r="DF232">
        <f t="shared" si="67"/>
        <v>319.7</v>
      </c>
      <c r="DG232">
        <f t="shared" si="57"/>
        <v>0</v>
      </c>
      <c r="DH232">
        <f t="shared" si="56"/>
        <v>0</v>
      </c>
      <c r="DI232">
        <f t="shared" si="55"/>
        <v>0</v>
      </c>
      <c r="DJ232">
        <f>DF232</f>
        <v>319.7</v>
      </c>
      <c r="DK232">
        <v>0</v>
      </c>
      <c r="DL232" t="s">
        <v>3</v>
      </c>
      <c r="DM232">
        <v>0</v>
      </c>
      <c r="DN232" t="s">
        <v>3</v>
      </c>
      <c r="DO232">
        <v>0</v>
      </c>
    </row>
    <row r="233" spans="1:119" x14ac:dyDescent="0.25">
      <c r="A233">
        <f>ROW(Source!A267)</f>
        <v>267</v>
      </c>
      <c r="B233">
        <v>57014138</v>
      </c>
      <c r="C233">
        <v>57014738</v>
      </c>
      <c r="D233">
        <v>55481977</v>
      </c>
      <c r="E233">
        <v>1</v>
      </c>
      <c r="F233">
        <v>1</v>
      </c>
      <c r="G233">
        <v>1081</v>
      </c>
      <c r="H233">
        <v>3</v>
      </c>
      <c r="I233" t="s">
        <v>452</v>
      </c>
      <c r="J233" t="s">
        <v>453</v>
      </c>
      <c r="K233" t="s">
        <v>454</v>
      </c>
      <c r="L233">
        <v>1355</v>
      </c>
      <c r="N233">
        <v>1010</v>
      </c>
      <c r="O233" t="s">
        <v>64</v>
      </c>
      <c r="P233" t="s">
        <v>64</v>
      </c>
      <c r="Q233">
        <v>100</v>
      </c>
      <c r="W233">
        <v>0</v>
      </c>
      <c r="X233">
        <v>1356827684</v>
      </c>
      <c r="Y233">
        <f>(AT233*1)</f>
        <v>0.315</v>
      </c>
      <c r="AA233">
        <v>26.71</v>
      </c>
      <c r="AB233">
        <v>0</v>
      </c>
      <c r="AC233">
        <v>0</v>
      </c>
      <c r="AD233">
        <v>0</v>
      </c>
      <c r="AE233">
        <v>26.71</v>
      </c>
      <c r="AF233">
        <v>0</v>
      </c>
      <c r="AG233">
        <v>0</v>
      </c>
      <c r="AH233">
        <v>0</v>
      </c>
      <c r="AI233">
        <v>1</v>
      </c>
      <c r="AJ233">
        <v>1</v>
      </c>
      <c r="AK233">
        <v>1</v>
      </c>
      <c r="AL233">
        <v>1</v>
      </c>
      <c r="AM233">
        <v>-2</v>
      </c>
      <c r="AN233">
        <v>0</v>
      </c>
      <c r="AO233">
        <v>1</v>
      </c>
      <c r="AP233">
        <v>1</v>
      </c>
      <c r="AQ233">
        <v>0</v>
      </c>
      <c r="AR233">
        <v>0</v>
      </c>
      <c r="AS233" t="s">
        <v>3</v>
      </c>
      <c r="AT233">
        <v>0.315</v>
      </c>
      <c r="AU233" t="s">
        <v>70</v>
      </c>
      <c r="AV233">
        <v>0</v>
      </c>
      <c r="AW233">
        <v>2</v>
      </c>
      <c r="AX233">
        <v>57015400</v>
      </c>
      <c r="AY233">
        <v>1</v>
      </c>
      <c r="AZ233">
        <v>0</v>
      </c>
      <c r="BA233">
        <v>295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0</v>
      </c>
      <c r="BP233">
        <v>0</v>
      </c>
      <c r="BQ233">
        <v>0</v>
      </c>
      <c r="BR233">
        <v>0</v>
      </c>
      <c r="BS233">
        <v>0</v>
      </c>
      <c r="BT233">
        <v>0</v>
      </c>
      <c r="BU233">
        <v>0</v>
      </c>
      <c r="BV233">
        <v>0</v>
      </c>
      <c r="BW233">
        <v>0</v>
      </c>
      <c r="CV233">
        <v>0</v>
      </c>
      <c r="CW233">
        <v>0</v>
      </c>
      <c r="CX233">
        <f>ROUND(Y233*Source!I267,9)</f>
        <v>14.3325</v>
      </c>
      <c r="CY233">
        <f>AA233</f>
        <v>26.71</v>
      </c>
      <c r="CZ233">
        <f>AE233</f>
        <v>26.71</v>
      </c>
      <c r="DA233">
        <f>AI233</f>
        <v>1</v>
      </c>
      <c r="DB233">
        <f>ROUND((ROUND(AT233*CZ233,2)*1),6)</f>
        <v>8.41</v>
      </c>
      <c r="DC233">
        <f>ROUND((ROUND(AT233*AG233,2)*1),6)</f>
        <v>0</v>
      </c>
      <c r="DD233" t="s">
        <v>3</v>
      </c>
      <c r="DE233" t="s">
        <v>3</v>
      </c>
      <c r="DF233">
        <f t="shared" si="67"/>
        <v>382.82</v>
      </c>
      <c r="DG233">
        <f t="shared" si="57"/>
        <v>0</v>
      </c>
      <c r="DH233">
        <f t="shared" si="56"/>
        <v>0</v>
      </c>
      <c r="DI233">
        <f t="shared" si="55"/>
        <v>0</v>
      </c>
      <c r="DJ233">
        <f>DF233</f>
        <v>382.82</v>
      </c>
      <c r="DK233">
        <v>0</v>
      </c>
      <c r="DL233" t="s">
        <v>3</v>
      </c>
      <c r="DM233">
        <v>0</v>
      </c>
      <c r="DN233" t="s">
        <v>3</v>
      </c>
      <c r="DO233">
        <v>0</v>
      </c>
    </row>
    <row r="234" spans="1:119" x14ac:dyDescent="0.25">
      <c r="A234">
        <f>ROW(Source!A267)</f>
        <v>267</v>
      </c>
      <c r="B234">
        <v>57014138</v>
      </c>
      <c r="C234">
        <v>57014738</v>
      </c>
      <c r="D234">
        <v>55469263</v>
      </c>
      <c r="E234">
        <v>1</v>
      </c>
      <c r="F234">
        <v>1</v>
      </c>
      <c r="G234">
        <v>1081</v>
      </c>
      <c r="H234">
        <v>3</v>
      </c>
      <c r="I234" t="s">
        <v>455</v>
      </c>
      <c r="J234" t="s">
        <v>456</v>
      </c>
      <c r="K234" t="s">
        <v>457</v>
      </c>
      <c r="L234">
        <v>1354</v>
      </c>
      <c r="N234">
        <v>1010</v>
      </c>
      <c r="O234" t="s">
        <v>251</v>
      </c>
      <c r="P234" t="s">
        <v>251</v>
      </c>
      <c r="Q234">
        <v>1</v>
      </c>
      <c r="W234">
        <v>0</v>
      </c>
      <c r="X234">
        <v>955560065</v>
      </c>
      <c r="Y234">
        <f>(AT234*1)</f>
        <v>0.55900000000000005</v>
      </c>
      <c r="AA234">
        <v>14.22</v>
      </c>
      <c r="AB234">
        <v>0</v>
      </c>
      <c r="AC234">
        <v>0</v>
      </c>
      <c r="AD234">
        <v>0</v>
      </c>
      <c r="AE234">
        <v>14.22</v>
      </c>
      <c r="AF234">
        <v>0</v>
      </c>
      <c r="AG234">
        <v>0</v>
      </c>
      <c r="AH234">
        <v>0</v>
      </c>
      <c r="AI234">
        <v>1</v>
      </c>
      <c r="AJ234">
        <v>1</v>
      </c>
      <c r="AK234">
        <v>1</v>
      </c>
      <c r="AL234">
        <v>1</v>
      </c>
      <c r="AM234">
        <v>-2</v>
      </c>
      <c r="AN234">
        <v>0</v>
      </c>
      <c r="AO234">
        <v>1</v>
      </c>
      <c r="AP234">
        <v>1</v>
      </c>
      <c r="AQ234">
        <v>0</v>
      </c>
      <c r="AR234">
        <v>0</v>
      </c>
      <c r="AS234" t="s">
        <v>3</v>
      </c>
      <c r="AT234">
        <v>0.55900000000000005</v>
      </c>
      <c r="AU234" t="s">
        <v>70</v>
      </c>
      <c r="AV234">
        <v>0</v>
      </c>
      <c r="AW234">
        <v>2</v>
      </c>
      <c r="AX234">
        <v>57015401</v>
      </c>
      <c r="AY234">
        <v>1</v>
      </c>
      <c r="AZ234">
        <v>0</v>
      </c>
      <c r="BA234">
        <v>296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</v>
      </c>
      <c r="BP234">
        <v>0</v>
      </c>
      <c r="BQ234">
        <v>0</v>
      </c>
      <c r="BR234">
        <v>0</v>
      </c>
      <c r="BS234">
        <v>0</v>
      </c>
      <c r="BT234">
        <v>0</v>
      </c>
      <c r="BU234">
        <v>0</v>
      </c>
      <c r="BV234">
        <v>0</v>
      </c>
      <c r="BW234">
        <v>0</v>
      </c>
      <c r="CV234">
        <v>0</v>
      </c>
      <c r="CW234">
        <v>0</v>
      </c>
      <c r="CX234">
        <f>ROUND(Y234*Source!I267,9)</f>
        <v>25.4345</v>
      </c>
      <c r="CY234">
        <f>AA234</f>
        <v>14.22</v>
      </c>
      <c r="CZ234">
        <f>AE234</f>
        <v>14.22</v>
      </c>
      <c r="DA234">
        <f>AI234</f>
        <v>1</v>
      </c>
      <c r="DB234">
        <f>ROUND((ROUND(AT234*CZ234,2)*1),6)</f>
        <v>7.95</v>
      </c>
      <c r="DC234">
        <f>ROUND((ROUND(AT234*AG234,2)*1),6)</f>
        <v>0</v>
      </c>
      <c r="DD234" t="s">
        <v>3</v>
      </c>
      <c r="DE234" t="s">
        <v>3</v>
      </c>
      <c r="DF234">
        <f t="shared" si="67"/>
        <v>361.68</v>
      </c>
      <c r="DG234">
        <f t="shared" si="57"/>
        <v>0</v>
      </c>
      <c r="DH234">
        <f t="shared" si="56"/>
        <v>0</v>
      </c>
      <c r="DI234">
        <f t="shared" si="55"/>
        <v>0</v>
      </c>
      <c r="DJ234">
        <f>DF234</f>
        <v>361.68</v>
      </c>
      <c r="DK234">
        <v>0</v>
      </c>
      <c r="DL234" t="s">
        <v>3</v>
      </c>
      <c r="DM234">
        <v>0</v>
      </c>
      <c r="DN234" t="s">
        <v>3</v>
      </c>
      <c r="DO234">
        <v>0</v>
      </c>
    </row>
    <row r="235" spans="1:119" x14ac:dyDescent="0.25">
      <c r="A235">
        <f>ROW(Source!A268)</f>
        <v>268</v>
      </c>
      <c r="B235">
        <v>57014140</v>
      </c>
      <c r="C235">
        <v>57014738</v>
      </c>
      <c r="D235">
        <v>55424304</v>
      </c>
      <c r="E235">
        <v>1081</v>
      </c>
      <c r="F235">
        <v>1</v>
      </c>
      <c r="G235">
        <v>1081</v>
      </c>
      <c r="H235">
        <v>1</v>
      </c>
      <c r="I235" t="s">
        <v>385</v>
      </c>
      <c r="J235" t="s">
        <v>3</v>
      </c>
      <c r="K235" t="s">
        <v>386</v>
      </c>
      <c r="L235">
        <v>1191</v>
      </c>
      <c r="N235">
        <v>1013</v>
      </c>
      <c r="O235" t="s">
        <v>387</v>
      </c>
      <c r="P235" t="s">
        <v>387</v>
      </c>
      <c r="Q235">
        <v>1</v>
      </c>
      <c r="W235">
        <v>0</v>
      </c>
      <c r="X235">
        <v>476480486</v>
      </c>
      <c r="Y235">
        <f>(AT235*1.2)</f>
        <v>41.531999999999996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1</v>
      </c>
      <c r="AJ235">
        <v>1</v>
      </c>
      <c r="AK235">
        <v>1</v>
      </c>
      <c r="AL235">
        <v>1</v>
      </c>
      <c r="AM235">
        <v>5</v>
      </c>
      <c r="AN235">
        <v>0</v>
      </c>
      <c r="AO235">
        <v>1</v>
      </c>
      <c r="AP235">
        <v>1</v>
      </c>
      <c r="AQ235">
        <v>0</v>
      </c>
      <c r="AR235">
        <v>0</v>
      </c>
      <c r="AS235" t="s">
        <v>3</v>
      </c>
      <c r="AT235">
        <v>34.61</v>
      </c>
      <c r="AU235" t="s">
        <v>71</v>
      </c>
      <c r="AV235">
        <v>1</v>
      </c>
      <c r="AW235">
        <v>2</v>
      </c>
      <c r="AX235">
        <v>57015396</v>
      </c>
      <c r="AY235">
        <v>1</v>
      </c>
      <c r="AZ235">
        <v>0</v>
      </c>
      <c r="BA235">
        <v>301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0</v>
      </c>
      <c r="BQ235">
        <v>0</v>
      </c>
      <c r="BR235">
        <v>0</v>
      </c>
      <c r="BS235">
        <v>0</v>
      </c>
      <c r="BT235">
        <v>0</v>
      </c>
      <c r="BU235">
        <v>0</v>
      </c>
      <c r="BV235">
        <v>0</v>
      </c>
      <c r="BW235">
        <v>0</v>
      </c>
      <c r="CU235">
        <f>ROUND(AT235*Source!I268*AH235*AL235,2)</f>
        <v>0</v>
      </c>
      <c r="CV235">
        <f>ROUND(Y235*Source!I268,9)</f>
        <v>1889.7059999999999</v>
      </c>
      <c r="CW235">
        <v>0</v>
      </c>
      <c r="CX235">
        <f>ROUND(Y235*Source!I268,9)</f>
        <v>1889.7059999999999</v>
      </c>
      <c r="CY235">
        <f>AD235</f>
        <v>0</v>
      </c>
      <c r="CZ235">
        <f>AH235</f>
        <v>0</v>
      </c>
      <c r="DA235">
        <f>AL235</f>
        <v>1</v>
      </c>
      <c r="DB235">
        <f>ROUND((ROUND(AT235*CZ235,2)*1.2),6)</f>
        <v>0</v>
      </c>
      <c r="DC235">
        <f>ROUND((ROUND(AT235*AG235,2)*1.2),6)</f>
        <v>0</v>
      </c>
      <c r="DD235" t="s">
        <v>3</v>
      </c>
      <c r="DE235" t="s">
        <v>3</v>
      </c>
      <c r="DF235">
        <f t="shared" si="67"/>
        <v>0</v>
      </c>
      <c r="DG235">
        <f t="shared" si="57"/>
        <v>0</v>
      </c>
      <c r="DH235">
        <f t="shared" si="56"/>
        <v>0</v>
      </c>
      <c r="DI235">
        <f t="shared" si="55"/>
        <v>0</v>
      </c>
      <c r="DJ235">
        <f>DI235</f>
        <v>0</v>
      </c>
      <c r="DK235">
        <v>0</v>
      </c>
      <c r="DL235" t="s">
        <v>3</v>
      </c>
      <c r="DM235">
        <v>0</v>
      </c>
      <c r="DN235" t="s">
        <v>3</v>
      </c>
      <c r="DO235">
        <v>0</v>
      </c>
    </row>
    <row r="236" spans="1:119" x14ac:dyDescent="0.25">
      <c r="A236">
        <f>ROW(Source!A268)</f>
        <v>268</v>
      </c>
      <c r="B236">
        <v>57014140</v>
      </c>
      <c r="C236">
        <v>57014738</v>
      </c>
      <c r="D236">
        <v>55490263</v>
      </c>
      <c r="E236">
        <v>1</v>
      </c>
      <c r="F236">
        <v>1</v>
      </c>
      <c r="G236">
        <v>1081</v>
      </c>
      <c r="H236">
        <v>2</v>
      </c>
      <c r="I236" t="s">
        <v>445</v>
      </c>
      <c r="J236" t="s">
        <v>446</v>
      </c>
      <c r="K236" t="s">
        <v>447</v>
      </c>
      <c r="L236">
        <v>1368</v>
      </c>
      <c r="N236">
        <v>1011</v>
      </c>
      <c r="O236" t="s">
        <v>391</v>
      </c>
      <c r="P236" t="s">
        <v>391</v>
      </c>
      <c r="Q236">
        <v>1</v>
      </c>
      <c r="W236">
        <v>0</v>
      </c>
      <c r="X236">
        <v>-1895752648</v>
      </c>
      <c r="Y236">
        <f>(AT236*1.2)</f>
        <v>5.8440000000000003</v>
      </c>
      <c r="AA236">
        <v>0</v>
      </c>
      <c r="AB236">
        <v>7.71</v>
      </c>
      <c r="AC236">
        <v>0</v>
      </c>
      <c r="AD236">
        <v>0</v>
      </c>
      <c r="AE236">
        <v>0</v>
      </c>
      <c r="AF236">
        <v>0.77</v>
      </c>
      <c r="AG236">
        <v>0</v>
      </c>
      <c r="AH236">
        <v>0</v>
      </c>
      <c r="AI236">
        <v>1</v>
      </c>
      <c r="AJ236">
        <v>9.56</v>
      </c>
      <c r="AK236">
        <v>1</v>
      </c>
      <c r="AL236">
        <v>1</v>
      </c>
      <c r="AM236">
        <v>2</v>
      </c>
      <c r="AN236">
        <v>0</v>
      </c>
      <c r="AO236">
        <v>1</v>
      </c>
      <c r="AP236">
        <v>1</v>
      </c>
      <c r="AQ236">
        <v>0</v>
      </c>
      <c r="AR236">
        <v>0</v>
      </c>
      <c r="AS236" t="s">
        <v>3</v>
      </c>
      <c r="AT236">
        <v>4.87</v>
      </c>
      <c r="AU236" t="s">
        <v>71</v>
      </c>
      <c r="AV236">
        <v>0</v>
      </c>
      <c r="AW236">
        <v>2</v>
      </c>
      <c r="AX236">
        <v>57015397</v>
      </c>
      <c r="AY236">
        <v>1</v>
      </c>
      <c r="AZ236">
        <v>0</v>
      </c>
      <c r="BA236">
        <v>302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0</v>
      </c>
      <c r="BQ236">
        <v>0</v>
      </c>
      <c r="BR236">
        <v>0</v>
      </c>
      <c r="BS236">
        <v>0</v>
      </c>
      <c r="BT236">
        <v>0</v>
      </c>
      <c r="BU236">
        <v>0</v>
      </c>
      <c r="BV236">
        <v>0</v>
      </c>
      <c r="BW236">
        <v>0</v>
      </c>
      <c r="CV236">
        <v>0</v>
      </c>
      <c r="CW236">
        <f>ROUND(Y236*Source!I268*DO236,9)</f>
        <v>0</v>
      </c>
      <c r="CX236">
        <f>ROUND(Y236*Source!I268,9)</f>
        <v>265.90199999999999</v>
      </c>
      <c r="CY236">
        <f>AB236</f>
        <v>7.71</v>
      </c>
      <c r="CZ236">
        <f>AF236</f>
        <v>0.77</v>
      </c>
      <c r="DA236">
        <f>AJ236</f>
        <v>9.56</v>
      </c>
      <c r="DB236">
        <f>ROUND((ROUND(AT236*CZ236,2)*1.2),6)</f>
        <v>4.5</v>
      </c>
      <c r="DC236">
        <f>ROUND((ROUND(AT236*AG236,2)*1.2),6)</f>
        <v>0</v>
      </c>
      <c r="DD236" t="s">
        <v>3</v>
      </c>
      <c r="DE236" t="s">
        <v>3</v>
      </c>
      <c r="DF236">
        <f t="shared" si="67"/>
        <v>0</v>
      </c>
      <c r="DG236">
        <f>ROUND(ROUND(AF236*AJ236,2)*CX236,2)</f>
        <v>1957.04</v>
      </c>
      <c r="DH236">
        <f t="shared" si="56"/>
        <v>0</v>
      </c>
      <c r="DI236">
        <f t="shared" si="55"/>
        <v>0</v>
      </c>
      <c r="DJ236">
        <f>DG236</f>
        <v>1957.04</v>
      </c>
      <c r="DK236">
        <v>0</v>
      </c>
      <c r="DL236" t="s">
        <v>3</v>
      </c>
      <c r="DM236">
        <v>0</v>
      </c>
      <c r="DN236" t="s">
        <v>3</v>
      </c>
      <c r="DO236">
        <v>0</v>
      </c>
    </row>
    <row r="237" spans="1:119" x14ac:dyDescent="0.25">
      <c r="A237">
        <f>ROW(Source!A268)</f>
        <v>268</v>
      </c>
      <c r="B237">
        <v>57014140</v>
      </c>
      <c r="C237">
        <v>57014738</v>
      </c>
      <c r="D237">
        <v>55490296</v>
      </c>
      <c r="E237">
        <v>1</v>
      </c>
      <c r="F237">
        <v>1</v>
      </c>
      <c r="G237">
        <v>1081</v>
      </c>
      <c r="H237">
        <v>2</v>
      </c>
      <c r="I237" t="s">
        <v>415</v>
      </c>
      <c r="J237" t="s">
        <v>416</v>
      </c>
      <c r="K237" t="s">
        <v>417</v>
      </c>
      <c r="L237">
        <v>1368</v>
      </c>
      <c r="N237">
        <v>1011</v>
      </c>
      <c r="O237" t="s">
        <v>391</v>
      </c>
      <c r="P237" t="s">
        <v>391</v>
      </c>
      <c r="Q237">
        <v>1</v>
      </c>
      <c r="W237">
        <v>0</v>
      </c>
      <c r="X237">
        <v>-643591644</v>
      </c>
      <c r="Y237">
        <f>(AT237*1.2)</f>
        <v>8.2679999999999989</v>
      </c>
      <c r="AA237">
        <v>0</v>
      </c>
      <c r="AB237">
        <v>4.75</v>
      </c>
      <c r="AC237">
        <v>0</v>
      </c>
      <c r="AD237">
        <v>0</v>
      </c>
      <c r="AE237">
        <v>0</v>
      </c>
      <c r="AF237">
        <v>0.47</v>
      </c>
      <c r="AG237">
        <v>0</v>
      </c>
      <c r="AH237">
        <v>0</v>
      </c>
      <c r="AI237">
        <v>1</v>
      </c>
      <c r="AJ237">
        <v>9.66</v>
      </c>
      <c r="AK237">
        <v>1</v>
      </c>
      <c r="AL237">
        <v>1</v>
      </c>
      <c r="AM237">
        <v>2</v>
      </c>
      <c r="AN237">
        <v>0</v>
      </c>
      <c r="AO237">
        <v>1</v>
      </c>
      <c r="AP237">
        <v>1</v>
      </c>
      <c r="AQ237">
        <v>0</v>
      </c>
      <c r="AR237">
        <v>0</v>
      </c>
      <c r="AS237" t="s">
        <v>3</v>
      </c>
      <c r="AT237">
        <v>6.89</v>
      </c>
      <c r="AU237" t="s">
        <v>71</v>
      </c>
      <c r="AV237">
        <v>0</v>
      </c>
      <c r="AW237">
        <v>2</v>
      </c>
      <c r="AX237">
        <v>57015398</v>
      </c>
      <c r="AY237">
        <v>1</v>
      </c>
      <c r="AZ237">
        <v>0</v>
      </c>
      <c r="BA237">
        <v>303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0</v>
      </c>
      <c r="BP237">
        <v>0</v>
      </c>
      <c r="BQ237">
        <v>0</v>
      </c>
      <c r="BR237">
        <v>0</v>
      </c>
      <c r="BS237">
        <v>0</v>
      </c>
      <c r="BT237">
        <v>0</v>
      </c>
      <c r="BU237">
        <v>0</v>
      </c>
      <c r="BV237">
        <v>0</v>
      </c>
      <c r="BW237">
        <v>0</v>
      </c>
      <c r="CV237">
        <v>0</v>
      </c>
      <c r="CW237">
        <f>ROUND(Y237*Source!I268*DO237,9)</f>
        <v>0</v>
      </c>
      <c r="CX237">
        <f>ROUND(Y237*Source!I268,9)</f>
        <v>376.19400000000002</v>
      </c>
      <c r="CY237">
        <f>AB237</f>
        <v>4.75</v>
      </c>
      <c r="CZ237">
        <f>AF237</f>
        <v>0.47</v>
      </c>
      <c r="DA237">
        <f>AJ237</f>
        <v>9.66</v>
      </c>
      <c r="DB237">
        <f>ROUND((ROUND(AT237*CZ237,2)*1.2),6)</f>
        <v>3.8879999999999999</v>
      </c>
      <c r="DC237">
        <f>ROUND((ROUND(AT237*AG237,2)*1.2),6)</f>
        <v>0</v>
      </c>
      <c r="DD237" t="s">
        <v>3</v>
      </c>
      <c r="DE237" t="s">
        <v>3</v>
      </c>
      <c r="DF237">
        <f t="shared" si="67"/>
        <v>0</v>
      </c>
      <c r="DG237">
        <f>ROUND(ROUND(AF237*AJ237,2)*CX237,2)</f>
        <v>1707.92</v>
      </c>
      <c r="DH237">
        <f t="shared" si="56"/>
        <v>0</v>
      </c>
      <c r="DI237">
        <f t="shared" si="55"/>
        <v>0</v>
      </c>
      <c r="DJ237">
        <f>DG237</f>
        <v>1707.92</v>
      </c>
      <c r="DK237">
        <v>0</v>
      </c>
      <c r="DL237" t="s">
        <v>3</v>
      </c>
      <c r="DM237">
        <v>0</v>
      </c>
      <c r="DN237" t="s">
        <v>3</v>
      </c>
      <c r="DO237">
        <v>0</v>
      </c>
    </row>
    <row r="238" spans="1:119" x14ac:dyDescent="0.25">
      <c r="A238">
        <f>ROW(Source!A268)</f>
        <v>268</v>
      </c>
      <c r="B238">
        <v>57014140</v>
      </c>
      <c r="C238">
        <v>57014738</v>
      </c>
      <c r="D238">
        <v>55482203</v>
      </c>
      <c r="E238">
        <v>1</v>
      </c>
      <c r="F238">
        <v>1</v>
      </c>
      <c r="G238">
        <v>1081</v>
      </c>
      <c r="H238">
        <v>3</v>
      </c>
      <c r="I238" t="s">
        <v>448</v>
      </c>
      <c r="J238" t="s">
        <v>449</v>
      </c>
      <c r="K238" t="s">
        <v>450</v>
      </c>
      <c r="L238">
        <v>1356</v>
      </c>
      <c r="N238">
        <v>1010</v>
      </c>
      <c r="O238" t="s">
        <v>451</v>
      </c>
      <c r="P238" t="s">
        <v>451</v>
      </c>
      <c r="Q238">
        <v>1000</v>
      </c>
      <c r="W238">
        <v>0</v>
      </c>
      <c r="X238">
        <v>474149623</v>
      </c>
      <c r="Y238">
        <f>(AT238*1)</f>
        <v>3.1E-2</v>
      </c>
      <c r="AA238">
        <v>1527.69</v>
      </c>
      <c r="AB238">
        <v>0</v>
      </c>
      <c r="AC238">
        <v>0</v>
      </c>
      <c r="AD238">
        <v>0</v>
      </c>
      <c r="AE238">
        <v>226.66</v>
      </c>
      <c r="AF238">
        <v>0</v>
      </c>
      <c r="AG238">
        <v>0</v>
      </c>
      <c r="AH238">
        <v>0</v>
      </c>
      <c r="AI238">
        <v>6.74</v>
      </c>
      <c r="AJ238">
        <v>1</v>
      </c>
      <c r="AK238">
        <v>1</v>
      </c>
      <c r="AL238">
        <v>1</v>
      </c>
      <c r="AM238">
        <v>2</v>
      </c>
      <c r="AN238">
        <v>0</v>
      </c>
      <c r="AO238">
        <v>1</v>
      </c>
      <c r="AP238">
        <v>1</v>
      </c>
      <c r="AQ238">
        <v>0</v>
      </c>
      <c r="AR238">
        <v>0</v>
      </c>
      <c r="AS238" t="s">
        <v>3</v>
      </c>
      <c r="AT238">
        <v>3.1E-2</v>
      </c>
      <c r="AU238" t="s">
        <v>70</v>
      </c>
      <c r="AV238">
        <v>0</v>
      </c>
      <c r="AW238">
        <v>2</v>
      </c>
      <c r="AX238">
        <v>57015399</v>
      </c>
      <c r="AY238">
        <v>1</v>
      </c>
      <c r="AZ238">
        <v>0</v>
      </c>
      <c r="BA238">
        <v>304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0</v>
      </c>
      <c r="BP238">
        <v>0</v>
      </c>
      <c r="BQ238">
        <v>0</v>
      </c>
      <c r="BR238">
        <v>0</v>
      </c>
      <c r="BS238">
        <v>0</v>
      </c>
      <c r="BT238">
        <v>0</v>
      </c>
      <c r="BU238">
        <v>0</v>
      </c>
      <c r="BV238">
        <v>0</v>
      </c>
      <c r="BW238">
        <v>0</v>
      </c>
      <c r="CV238">
        <v>0</v>
      </c>
      <c r="CW238">
        <v>0</v>
      </c>
      <c r="CX238">
        <f>ROUND(Y238*Source!I268,9)</f>
        <v>1.4105000000000001</v>
      </c>
      <c r="CY238">
        <f>AA238</f>
        <v>1527.69</v>
      </c>
      <c r="CZ238">
        <f>AE238</f>
        <v>226.66</v>
      </c>
      <c r="DA238">
        <f>AI238</f>
        <v>6.74</v>
      </c>
      <c r="DB238">
        <f>ROUND((ROUND(AT238*CZ238,2)*1),6)</f>
        <v>7.03</v>
      </c>
      <c r="DC238">
        <f>ROUND((ROUND(AT238*AG238,2)*1),6)</f>
        <v>0</v>
      </c>
      <c r="DD238" t="s">
        <v>3</v>
      </c>
      <c r="DE238" t="s">
        <v>3</v>
      </c>
      <c r="DF238">
        <f>ROUND(ROUND(AE238*AI238,2)*CX238,2)</f>
        <v>2154.81</v>
      </c>
      <c r="DG238">
        <f t="shared" ref="DG238:DG244" si="68">ROUND(ROUND(AF238,2)*CX238,2)</f>
        <v>0</v>
      </c>
      <c r="DH238">
        <f t="shared" si="56"/>
        <v>0</v>
      </c>
      <c r="DI238">
        <f t="shared" si="55"/>
        <v>0</v>
      </c>
      <c r="DJ238">
        <f>DF238</f>
        <v>2154.81</v>
      </c>
      <c r="DK238">
        <v>0</v>
      </c>
      <c r="DL238" t="s">
        <v>3</v>
      </c>
      <c r="DM238">
        <v>0</v>
      </c>
      <c r="DN238" t="s">
        <v>3</v>
      </c>
      <c r="DO238">
        <v>0</v>
      </c>
    </row>
    <row r="239" spans="1:119" x14ac:dyDescent="0.25">
      <c r="A239">
        <f>ROW(Source!A268)</f>
        <v>268</v>
      </c>
      <c r="B239">
        <v>57014140</v>
      </c>
      <c r="C239">
        <v>57014738</v>
      </c>
      <c r="D239">
        <v>55481977</v>
      </c>
      <c r="E239">
        <v>1</v>
      </c>
      <c r="F239">
        <v>1</v>
      </c>
      <c r="G239">
        <v>1081</v>
      </c>
      <c r="H239">
        <v>3</v>
      </c>
      <c r="I239" t="s">
        <v>452</v>
      </c>
      <c r="J239" t="s">
        <v>453</v>
      </c>
      <c r="K239" t="s">
        <v>454</v>
      </c>
      <c r="L239">
        <v>1355</v>
      </c>
      <c r="N239">
        <v>1010</v>
      </c>
      <c r="O239" t="s">
        <v>64</v>
      </c>
      <c r="P239" t="s">
        <v>64</v>
      </c>
      <c r="Q239">
        <v>100</v>
      </c>
      <c r="W239">
        <v>0</v>
      </c>
      <c r="X239">
        <v>1356827684</v>
      </c>
      <c r="Y239">
        <f>(AT239*1)</f>
        <v>0.315</v>
      </c>
      <c r="AA239">
        <v>105.5</v>
      </c>
      <c r="AB239">
        <v>0</v>
      </c>
      <c r="AC239">
        <v>0</v>
      </c>
      <c r="AD239">
        <v>0</v>
      </c>
      <c r="AE239">
        <v>26.71</v>
      </c>
      <c r="AF239">
        <v>0</v>
      </c>
      <c r="AG239">
        <v>0</v>
      </c>
      <c r="AH239">
        <v>0</v>
      </c>
      <c r="AI239">
        <v>3.95</v>
      </c>
      <c r="AJ239">
        <v>1</v>
      </c>
      <c r="AK239">
        <v>1</v>
      </c>
      <c r="AL239">
        <v>1</v>
      </c>
      <c r="AM239">
        <v>2</v>
      </c>
      <c r="AN239">
        <v>0</v>
      </c>
      <c r="AO239">
        <v>1</v>
      </c>
      <c r="AP239">
        <v>1</v>
      </c>
      <c r="AQ239">
        <v>0</v>
      </c>
      <c r="AR239">
        <v>0</v>
      </c>
      <c r="AS239" t="s">
        <v>3</v>
      </c>
      <c r="AT239">
        <v>0.315</v>
      </c>
      <c r="AU239" t="s">
        <v>70</v>
      </c>
      <c r="AV239">
        <v>0</v>
      </c>
      <c r="AW239">
        <v>2</v>
      </c>
      <c r="AX239">
        <v>57015400</v>
      </c>
      <c r="AY239">
        <v>1</v>
      </c>
      <c r="AZ239">
        <v>0</v>
      </c>
      <c r="BA239">
        <v>305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0</v>
      </c>
      <c r="BP239">
        <v>0</v>
      </c>
      <c r="BQ239">
        <v>0</v>
      </c>
      <c r="BR239">
        <v>0</v>
      </c>
      <c r="BS239">
        <v>0</v>
      </c>
      <c r="BT239">
        <v>0</v>
      </c>
      <c r="BU239">
        <v>0</v>
      </c>
      <c r="BV239">
        <v>0</v>
      </c>
      <c r="BW239">
        <v>0</v>
      </c>
      <c r="CV239">
        <v>0</v>
      </c>
      <c r="CW239">
        <v>0</v>
      </c>
      <c r="CX239">
        <f>ROUND(Y239*Source!I268,9)</f>
        <v>14.3325</v>
      </c>
      <c r="CY239">
        <f>AA239</f>
        <v>105.5</v>
      </c>
      <c r="CZ239">
        <f>AE239</f>
        <v>26.71</v>
      </c>
      <c r="DA239">
        <f>AI239</f>
        <v>3.95</v>
      </c>
      <c r="DB239">
        <f>ROUND((ROUND(AT239*CZ239,2)*1),6)</f>
        <v>8.41</v>
      </c>
      <c r="DC239">
        <f>ROUND((ROUND(AT239*AG239,2)*1),6)</f>
        <v>0</v>
      </c>
      <c r="DD239" t="s">
        <v>3</v>
      </c>
      <c r="DE239" t="s">
        <v>3</v>
      </c>
      <c r="DF239">
        <f>ROUND(ROUND(AE239*AI239,2)*CX239,2)</f>
        <v>1512.08</v>
      </c>
      <c r="DG239">
        <f t="shared" si="68"/>
        <v>0</v>
      </c>
      <c r="DH239">
        <f t="shared" si="56"/>
        <v>0</v>
      </c>
      <c r="DI239">
        <f t="shared" si="55"/>
        <v>0</v>
      </c>
      <c r="DJ239">
        <f>DF239</f>
        <v>1512.08</v>
      </c>
      <c r="DK239">
        <v>0</v>
      </c>
      <c r="DL239" t="s">
        <v>3</v>
      </c>
      <c r="DM239">
        <v>0</v>
      </c>
      <c r="DN239" t="s">
        <v>3</v>
      </c>
      <c r="DO239">
        <v>0</v>
      </c>
    </row>
    <row r="240" spans="1:119" x14ac:dyDescent="0.25">
      <c r="A240">
        <f>ROW(Source!A268)</f>
        <v>268</v>
      </c>
      <c r="B240">
        <v>57014140</v>
      </c>
      <c r="C240">
        <v>57014738</v>
      </c>
      <c r="D240">
        <v>55469263</v>
      </c>
      <c r="E240">
        <v>1</v>
      </c>
      <c r="F240">
        <v>1</v>
      </c>
      <c r="G240">
        <v>1081</v>
      </c>
      <c r="H240">
        <v>3</v>
      </c>
      <c r="I240" t="s">
        <v>455</v>
      </c>
      <c r="J240" t="s">
        <v>456</v>
      </c>
      <c r="K240" t="s">
        <v>457</v>
      </c>
      <c r="L240">
        <v>1354</v>
      </c>
      <c r="N240">
        <v>1010</v>
      </c>
      <c r="O240" t="s">
        <v>251</v>
      </c>
      <c r="P240" t="s">
        <v>251</v>
      </c>
      <c r="Q240">
        <v>1</v>
      </c>
      <c r="W240">
        <v>0</v>
      </c>
      <c r="X240">
        <v>955560065</v>
      </c>
      <c r="Y240">
        <f>(AT240*1)</f>
        <v>0.55900000000000005</v>
      </c>
      <c r="AA240">
        <v>165.81</v>
      </c>
      <c r="AB240">
        <v>0</v>
      </c>
      <c r="AC240">
        <v>0</v>
      </c>
      <c r="AD240">
        <v>0</v>
      </c>
      <c r="AE240">
        <v>14.22</v>
      </c>
      <c r="AF240">
        <v>0</v>
      </c>
      <c r="AG240">
        <v>0</v>
      </c>
      <c r="AH240">
        <v>0</v>
      </c>
      <c r="AI240">
        <v>11.66</v>
      </c>
      <c r="AJ240">
        <v>1</v>
      </c>
      <c r="AK240">
        <v>1</v>
      </c>
      <c r="AL240">
        <v>1</v>
      </c>
      <c r="AM240">
        <v>2</v>
      </c>
      <c r="AN240">
        <v>0</v>
      </c>
      <c r="AO240">
        <v>1</v>
      </c>
      <c r="AP240">
        <v>1</v>
      </c>
      <c r="AQ240">
        <v>0</v>
      </c>
      <c r="AR240">
        <v>0</v>
      </c>
      <c r="AS240" t="s">
        <v>3</v>
      </c>
      <c r="AT240">
        <v>0.55900000000000005</v>
      </c>
      <c r="AU240" t="s">
        <v>70</v>
      </c>
      <c r="AV240">
        <v>0</v>
      </c>
      <c r="AW240">
        <v>2</v>
      </c>
      <c r="AX240">
        <v>57015401</v>
      </c>
      <c r="AY240">
        <v>1</v>
      </c>
      <c r="AZ240">
        <v>0</v>
      </c>
      <c r="BA240">
        <v>306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0</v>
      </c>
      <c r="BP240">
        <v>0</v>
      </c>
      <c r="BQ240">
        <v>0</v>
      </c>
      <c r="BR240">
        <v>0</v>
      </c>
      <c r="BS240">
        <v>0</v>
      </c>
      <c r="BT240">
        <v>0</v>
      </c>
      <c r="BU240">
        <v>0</v>
      </c>
      <c r="BV240">
        <v>0</v>
      </c>
      <c r="BW240">
        <v>0</v>
      </c>
      <c r="CV240">
        <v>0</v>
      </c>
      <c r="CW240">
        <v>0</v>
      </c>
      <c r="CX240">
        <f>ROUND(Y240*Source!I268,9)</f>
        <v>25.4345</v>
      </c>
      <c r="CY240">
        <f>AA240</f>
        <v>165.81</v>
      </c>
      <c r="CZ240">
        <f>AE240</f>
        <v>14.22</v>
      </c>
      <c r="DA240">
        <f>AI240</f>
        <v>11.66</v>
      </c>
      <c r="DB240">
        <f>ROUND((ROUND(AT240*CZ240,2)*1),6)</f>
        <v>7.95</v>
      </c>
      <c r="DC240">
        <f>ROUND((ROUND(AT240*AG240,2)*1),6)</f>
        <v>0</v>
      </c>
      <c r="DD240" t="s">
        <v>3</v>
      </c>
      <c r="DE240" t="s">
        <v>3</v>
      </c>
      <c r="DF240">
        <f>ROUND(ROUND(AE240*AI240,2)*CX240,2)</f>
        <v>4217.29</v>
      </c>
      <c r="DG240">
        <f t="shared" si="68"/>
        <v>0</v>
      </c>
      <c r="DH240">
        <f t="shared" si="56"/>
        <v>0</v>
      </c>
      <c r="DI240">
        <f t="shared" si="55"/>
        <v>0</v>
      </c>
      <c r="DJ240">
        <f>DF240</f>
        <v>4217.29</v>
      </c>
      <c r="DK240">
        <v>0</v>
      </c>
      <c r="DL240" t="s">
        <v>3</v>
      </c>
      <c r="DM240">
        <v>0</v>
      </c>
      <c r="DN240" t="s">
        <v>3</v>
      </c>
      <c r="DO240">
        <v>0</v>
      </c>
    </row>
    <row r="241" spans="1:119" x14ac:dyDescent="0.25">
      <c r="A241">
        <f>ROW(Source!A314)</f>
        <v>314</v>
      </c>
      <c r="B241">
        <v>57014138</v>
      </c>
      <c r="C241">
        <v>57015382</v>
      </c>
      <c r="D241">
        <v>55424304</v>
      </c>
      <c r="E241">
        <v>1081</v>
      </c>
      <c r="F241">
        <v>1</v>
      </c>
      <c r="G241">
        <v>1081</v>
      </c>
      <c r="H241">
        <v>1</v>
      </c>
      <c r="I241" t="s">
        <v>385</v>
      </c>
      <c r="J241" t="s">
        <v>3</v>
      </c>
      <c r="K241" t="s">
        <v>386</v>
      </c>
      <c r="L241">
        <v>1191</v>
      </c>
      <c r="N241">
        <v>1013</v>
      </c>
      <c r="O241" t="s">
        <v>387</v>
      </c>
      <c r="P241" t="s">
        <v>387</v>
      </c>
      <c r="Q241">
        <v>1</v>
      </c>
      <c r="W241">
        <v>0</v>
      </c>
      <c r="X241">
        <v>476480486</v>
      </c>
      <c r="Y241">
        <f>(AT241*1.2)</f>
        <v>0.42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1</v>
      </c>
      <c r="AJ241">
        <v>1</v>
      </c>
      <c r="AK241">
        <v>1</v>
      </c>
      <c r="AL241">
        <v>1</v>
      </c>
      <c r="AM241">
        <v>-2</v>
      </c>
      <c r="AN241">
        <v>0</v>
      </c>
      <c r="AO241">
        <v>1</v>
      </c>
      <c r="AP241">
        <v>1</v>
      </c>
      <c r="AQ241">
        <v>0</v>
      </c>
      <c r="AR241">
        <v>0</v>
      </c>
      <c r="AS241" t="s">
        <v>3</v>
      </c>
      <c r="AT241">
        <v>0.35</v>
      </c>
      <c r="AU241" t="s">
        <v>71</v>
      </c>
      <c r="AV241">
        <v>1</v>
      </c>
      <c r="AW241">
        <v>2</v>
      </c>
      <c r="AX241">
        <v>57015383</v>
      </c>
      <c r="AY241">
        <v>1</v>
      </c>
      <c r="AZ241">
        <v>0</v>
      </c>
      <c r="BA241">
        <v>311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0</v>
      </c>
      <c r="BP241">
        <v>0</v>
      </c>
      <c r="BQ241">
        <v>0</v>
      </c>
      <c r="BR241">
        <v>0</v>
      </c>
      <c r="BS241">
        <v>0</v>
      </c>
      <c r="BT241">
        <v>0</v>
      </c>
      <c r="BU241">
        <v>0</v>
      </c>
      <c r="BV241">
        <v>0</v>
      </c>
      <c r="BW241">
        <v>0</v>
      </c>
      <c r="CU241">
        <f>ROUND(AT241*Source!I314*AH241*AL241,2)</f>
        <v>0</v>
      </c>
      <c r="CV241">
        <f>ROUND(Y241*Source!I314,9)</f>
        <v>4.62</v>
      </c>
      <c r="CW241">
        <v>0</v>
      </c>
      <c r="CX241">
        <f>ROUND(Y241*Source!I314,9)</f>
        <v>4.62</v>
      </c>
      <c r="CY241">
        <f>AD241</f>
        <v>0</v>
      </c>
      <c r="CZ241">
        <f>AH241</f>
        <v>0</v>
      </c>
      <c r="DA241">
        <f>AL241</f>
        <v>1</v>
      </c>
      <c r="DB241">
        <f>ROUND((ROUND(AT241*CZ241,2)*1.2),6)</f>
        <v>0</v>
      </c>
      <c r="DC241">
        <f>ROUND((ROUND(AT241*AG241,2)*1.2),6)</f>
        <v>0</v>
      </c>
      <c r="DD241" t="s">
        <v>3</v>
      </c>
      <c r="DE241" t="s">
        <v>3</v>
      </c>
      <c r="DF241">
        <f>ROUND(ROUND(AE241,2)*CX241,2)</f>
        <v>0</v>
      </c>
      <c r="DG241">
        <f t="shared" si="68"/>
        <v>0</v>
      </c>
      <c r="DH241">
        <f t="shared" si="56"/>
        <v>0</v>
      </c>
      <c r="DI241">
        <f t="shared" si="55"/>
        <v>0</v>
      </c>
      <c r="DJ241">
        <f>DI241</f>
        <v>0</v>
      </c>
      <c r="DK241">
        <v>0</v>
      </c>
      <c r="DL241" t="s">
        <v>3</v>
      </c>
      <c r="DM241">
        <v>0</v>
      </c>
      <c r="DN241" t="s">
        <v>3</v>
      </c>
      <c r="DO241">
        <v>0</v>
      </c>
    </row>
    <row r="242" spans="1:119" x14ac:dyDescent="0.25">
      <c r="A242">
        <f>ROW(Source!A315)</f>
        <v>315</v>
      </c>
      <c r="B242">
        <v>57014140</v>
      </c>
      <c r="C242">
        <v>57015382</v>
      </c>
      <c r="D242">
        <v>55424304</v>
      </c>
      <c r="E242">
        <v>1081</v>
      </c>
      <c r="F242">
        <v>1</v>
      </c>
      <c r="G242">
        <v>1081</v>
      </c>
      <c r="H242">
        <v>1</v>
      </c>
      <c r="I242" t="s">
        <v>385</v>
      </c>
      <c r="J242" t="s">
        <v>3</v>
      </c>
      <c r="K242" t="s">
        <v>386</v>
      </c>
      <c r="L242">
        <v>1191</v>
      </c>
      <c r="N242">
        <v>1013</v>
      </c>
      <c r="O242" t="s">
        <v>387</v>
      </c>
      <c r="P242" t="s">
        <v>387</v>
      </c>
      <c r="Q242">
        <v>1</v>
      </c>
      <c r="W242">
        <v>0</v>
      </c>
      <c r="X242">
        <v>476480486</v>
      </c>
      <c r="Y242">
        <f>(AT242*1.2)</f>
        <v>0.42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1</v>
      </c>
      <c r="AJ242">
        <v>1</v>
      </c>
      <c r="AK242">
        <v>1</v>
      </c>
      <c r="AL242">
        <v>1</v>
      </c>
      <c r="AM242">
        <v>5</v>
      </c>
      <c r="AN242">
        <v>0</v>
      </c>
      <c r="AO242">
        <v>1</v>
      </c>
      <c r="AP242">
        <v>1</v>
      </c>
      <c r="AQ242">
        <v>0</v>
      </c>
      <c r="AR242">
        <v>0</v>
      </c>
      <c r="AS242" t="s">
        <v>3</v>
      </c>
      <c r="AT242">
        <v>0.35</v>
      </c>
      <c r="AU242" t="s">
        <v>71</v>
      </c>
      <c r="AV242">
        <v>1</v>
      </c>
      <c r="AW242">
        <v>2</v>
      </c>
      <c r="AX242">
        <v>57015383</v>
      </c>
      <c r="AY242">
        <v>1</v>
      </c>
      <c r="AZ242">
        <v>0</v>
      </c>
      <c r="BA242">
        <v>312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0</v>
      </c>
      <c r="BP242">
        <v>0</v>
      </c>
      <c r="BQ242">
        <v>0</v>
      </c>
      <c r="BR242">
        <v>0</v>
      </c>
      <c r="BS242">
        <v>0</v>
      </c>
      <c r="BT242">
        <v>0</v>
      </c>
      <c r="BU242">
        <v>0</v>
      </c>
      <c r="BV242">
        <v>0</v>
      </c>
      <c r="BW242">
        <v>0</v>
      </c>
      <c r="CU242">
        <f>ROUND(AT242*Source!I315*AH242*AL242,2)</f>
        <v>0</v>
      </c>
      <c r="CV242">
        <f>ROUND(Y242*Source!I315,9)</f>
        <v>4.62</v>
      </c>
      <c r="CW242">
        <v>0</v>
      </c>
      <c r="CX242">
        <f>ROUND(Y242*Source!I315,9)</f>
        <v>4.62</v>
      </c>
      <c r="CY242">
        <f>AD242</f>
        <v>0</v>
      </c>
      <c r="CZ242">
        <f>AH242</f>
        <v>0</v>
      </c>
      <c r="DA242">
        <f>AL242</f>
        <v>1</v>
      </c>
      <c r="DB242">
        <f>ROUND((ROUND(AT242*CZ242,2)*1.2),6)</f>
        <v>0</v>
      </c>
      <c r="DC242">
        <f>ROUND((ROUND(AT242*AG242,2)*1.2),6)</f>
        <v>0</v>
      </c>
      <c r="DD242" t="s">
        <v>3</v>
      </c>
      <c r="DE242" t="s">
        <v>3</v>
      </c>
      <c r="DF242">
        <f>ROUND(ROUND(AE242,2)*CX242,2)</f>
        <v>0</v>
      </c>
      <c r="DG242">
        <f t="shared" si="68"/>
        <v>0</v>
      </c>
      <c r="DH242">
        <f t="shared" si="56"/>
        <v>0</v>
      </c>
      <c r="DI242">
        <f t="shared" si="55"/>
        <v>0</v>
      </c>
      <c r="DJ242">
        <f>DI242</f>
        <v>0</v>
      </c>
      <c r="DK242">
        <v>0</v>
      </c>
      <c r="DL242" t="s">
        <v>3</v>
      </c>
      <c r="DM242">
        <v>0</v>
      </c>
      <c r="DN242" t="s">
        <v>3</v>
      </c>
      <c r="DO242">
        <v>0</v>
      </c>
    </row>
    <row r="243" spans="1:119" x14ac:dyDescent="0.25">
      <c r="A243">
        <f>ROW(Source!A322)</f>
        <v>322</v>
      </c>
      <c r="B243">
        <v>57014138</v>
      </c>
      <c r="C243">
        <v>57014810</v>
      </c>
      <c r="D243">
        <v>55424304</v>
      </c>
      <c r="E243">
        <v>1081</v>
      </c>
      <c r="F243">
        <v>1</v>
      </c>
      <c r="G243">
        <v>1081</v>
      </c>
      <c r="H243">
        <v>1</v>
      </c>
      <c r="I243" t="s">
        <v>385</v>
      </c>
      <c r="J243" t="s">
        <v>3</v>
      </c>
      <c r="K243" t="s">
        <v>386</v>
      </c>
      <c r="L243">
        <v>1191</v>
      </c>
      <c r="N243">
        <v>1013</v>
      </c>
      <c r="O243" t="s">
        <v>387</v>
      </c>
      <c r="P243" t="s">
        <v>387</v>
      </c>
      <c r="Q243">
        <v>1</v>
      </c>
      <c r="W243">
        <v>0</v>
      </c>
      <c r="X243">
        <v>476480486</v>
      </c>
      <c r="Y243">
        <f>(AT243*1.2)</f>
        <v>1.512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1</v>
      </c>
      <c r="AJ243">
        <v>1</v>
      </c>
      <c r="AK243">
        <v>1</v>
      </c>
      <c r="AL243">
        <v>1</v>
      </c>
      <c r="AM243">
        <v>-2</v>
      </c>
      <c r="AN243">
        <v>0</v>
      </c>
      <c r="AO243">
        <v>1</v>
      </c>
      <c r="AP243">
        <v>1</v>
      </c>
      <c r="AQ243">
        <v>0</v>
      </c>
      <c r="AR243">
        <v>0</v>
      </c>
      <c r="AS243" t="s">
        <v>3</v>
      </c>
      <c r="AT243">
        <v>1.26</v>
      </c>
      <c r="AU243" t="s">
        <v>71</v>
      </c>
      <c r="AV243">
        <v>1</v>
      </c>
      <c r="AW243">
        <v>2</v>
      </c>
      <c r="AX243">
        <v>57014812</v>
      </c>
      <c r="AY243">
        <v>1</v>
      </c>
      <c r="AZ243">
        <v>0</v>
      </c>
      <c r="BA243">
        <v>313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0</v>
      </c>
      <c r="BQ243">
        <v>0</v>
      </c>
      <c r="BR243">
        <v>0</v>
      </c>
      <c r="BS243">
        <v>0</v>
      </c>
      <c r="BT243">
        <v>0</v>
      </c>
      <c r="BU243">
        <v>0</v>
      </c>
      <c r="BV243">
        <v>0</v>
      </c>
      <c r="BW243">
        <v>0</v>
      </c>
      <c r="CU243">
        <f>ROUND(AT243*Source!I322*AH243*AL243,2)</f>
        <v>0</v>
      </c>
      <c r="CV243">
        <f>ROUND(Y243*Source!I322,9)</f>
        <v>68.796000000000006</v>
      </c>
      <c r="CW243">
        <v>0</v>
      </c>
      <c r="CX243">
        <f>ROUND(Y243*Source!I322,9)</f>
        <v>68.796000000000006</v>
      </c>
      <c r="CY243">
        <f>AD243</f>
        <v>0</v>
      </c>
      <c r="CZ243">
        <f>AH243</f>
        <v>0</v>
      </c>
      <c r="DA243">
        <f>AL243</f>
        <v>1</v>
      </c>
      <c r="DB243">
        <f>ROUND((ROUND(AT243*CZ243,2)*1.2),6)</f>
        <v>0</v>
      </c>
      <c r="DC243">
        <f>ROUND((ROUND(AT243*AG243,2)*1.2),6)</f>
        <v>0</v>
      </c>
      <c r="DD243" t="s">
        <v>3</v>
      </c>
      <c r="DE243" t="s">
        <v>3</v>
      </c>
      <c r="DF243">
        <f>ROUND(ROUND(AE243,2)*CX243,2)</f>
        <v>0</v>
      </c>
      <c r="DG243">
        <f t="shared" si="68"/>
        <v>0</v>
      </c>
      <c r="DH243">
        <f t="shared" si="56"/>
        <v>0</v>
      </c>
      <c r="DI243">
        <f t="shared" si="55"/>
        <v>0</v>
      </c>
      <c r="DJ243">
        <f>DI243</f>
        <v>0</v>
      </c>
      <c r="DK243">
        <v>0</v>
      </c>
      <c r="DL243" t="s">
        <v>3</v>
      </c>
      <c r="DM243">
        <v>0</v>
      </c>
      <c r="DN243" t="s">
        <v>3</v>
      </c>
      <c r="DO243">
        <v>0</v>
      </c>
    </row>
    <row r="244" spans="1:119" x14ac:dyDescent="0.25">
      <c r="A244">
        <f>ROW(Source!A323)</f>
        <v>323</v>
      </c>
      <c r="B244">
        <v>57014140</v>
      </c>
      <c r="C244">
        <v>57014810</v>
      </c>
      <c r="D244">
        <v>55424304</v>
      </c>
      <c r="E244">
        <v>1081</v>
      </c>
      <c r="F244">
        <v>1</v>
      </c>
      <c r="G244">
        <v>1081</v>
      </c>
      <c r="H244">
        <v>1</v>
      </c>
      <c r="I244" t="s">
        <v>385</v>
      </c>
      <c r="J244" t="s">
        <v>3</v>
      </c>
      <c r="K244" t="s">
        <v>386</v>
      </c>
      <c r="L244">
        <v>1191</v>
      </c>
      <c r="N244">
        <v>1013</v>
      </c>
      <c r="O244" t="s">
        <v>387</v>
      </c>
      <c r="P244" t="s">
        <v>387</v>
      </c>
      <c r="Q244">
        <v>1</v>
      </c>
      <c r="W244">
        <v>0</v>
      </c>
      <c r="X244">
        <v>476480486</v>
      </c>
      <c r="Y244">
        <f>(AT244*1.2)</f>
        <v>1.512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1</v>
      </c>
      <c r="AJ244">
        <v>1</v>
      </c>
      <c r="AK244">
        <v>1</v>
      </c>
      <c r="AL244">
        <v>1</v>
      </c>
      <c r="AM244">
        <v>5</v>
      </c>
      <c r="AN244">
        <v>0</v>
      </c>
      <c r="AO244">
        <v>1</v>
      </c>
      <c r="AP244">
        <v>1</v>
      </c>
      <c r="AQ244">
        <v>0</v>
      </c>
      <c r="AR244">
        <v>0</v>
      </c>
      <c r="AS244" t="s">
        <v>3</v>
      </c>
      <c r="AT244">
        <v>1.26</v>
      </c>
      <c r="AU244" t="s">
        <v>71</v>
      </c>
      <c r="AV244">
        <v>1</v>
      </c>
      <c r="AW244">
        <v>2</v>
      </c>
      <c r="AX244">
        <v>57014812</v>
      </c>
      <c r="AY244">
        <v>1</v>
      </c>
      <c r="AZ244">
        <v>0</v>
      </c>
      <c r="BA244">
        <v>315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0</v>
      </c>
      <c r="BQ244">
        <v>0</v>
      </c>
      <c r="BR244">
        <v>0</v>
      </c>
      <c r="BS244">
        <v>0</v>
      </c>
      <c r="BT244">
        <v>0</v>
      </c>
      <c r="BU244">
        <v>0</v>
      </c>
      <c r="BV244">
        <v>0</v>
      </c>
      <c r="BW244">
        <v>0</v>
      </c>
      <c r="CU244">
        <f>ROUND(AT244*Source!I323*AH244*AL244,2)</f>
        <v>0</v>
      </c>
      <c r="CV244">
        <f>ROUND(Y244*Source!I323,9)</f>
        <v>68.796000000000006</v>
      </c>
      <c r="CW244">
        <v>0</v>
      </c>
      <c r="CX244">
        <f>ROUND(Y244*Source!I323,9)</f>
        <v>68.796000000000006</v>
      </c>
      <c r="CY244">
        <f>AD244</f>
        <v>0</v>
      </c>
      <c r="CZ244">
        <f>AH244</f>
        <v>0</v>
      </c>
      <c r="DA244">
        <f>AL244</f>
        <v>1</v>
      </c>
      <c r="DB244">
        <f>ROUND((ROUND(AT244*CZ244,2)*1.2),6)</f>
        <v>0</v>
      </c>
      <c r="DC244">
        <f>ROUND((ROUND(AT244*AG244,2)*1.2),6)</f>
        <v>0</v>
      </c>
      <c r="DD244" t="s">
        <v>3</v>
      </c>
      <c r="DE244" t="s">
        <v>3</v>
      </c>
      <c r="DF244">
        <f>ROUND(ROUND(AE244,2)*CX244,2)</f>
        <v>0</v>
      </c>
      <c r="DG244">
        <f t="shared" si="68"/>
        <v>0</v>
      </c>
      <c r="DH244">
        <f t="shared" si="56"/>
        <v>0</v>
      </c>
      <c r="DI244">
        <f t="shared" si="55"/>
        <v>0</v>
      </c>
      <c r="DJ244">
        <f>DI244</f>
        <v>0</v>
      </c>
      <c r="DK244">
        <v>0</v>
      </c>
      <c r="DL244" t="s">
        <v>3</v>
      </c>
      <c r="DM244">
        <v>0</v>
      </c>
      <c r="DN244" t="s">
        <v>3</v>
      </c>
      <c r="DO244">
        <v>0</v>
      </c>
    </row>
  </sheetData>
  <printOptions gridLines="1"/>
  <pageMargins left="0.75" right="0.75" top="1" bottom="1" header="0.5" footer="0.5"/>
  <headerFooter alignWithMargins="0">
    <oddHeader>&amp;A</oddHeader>
    <oddFooter>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R316"/>
  <sheetViews>
    <sheetView workbookViewId="0"/>
  </sheetViews>
  <sheetFormatPr defaultColWidth="9.1796875" defaultRowHeight="12.5" x14ac:dyDescent="0.25"/>
  <cols>
    <col min="1" max="256" width="9.1796875" customWidth="1"/>
  </cols>
  <sheetData>
    <row r="1" spans="1:44" x14ac:dyDescent="0.25">
      <c r="A1">
        <f>ROW(Source!A28)</f>
        <v>28</v>
      </c>
      <c r="B1">
        <v>57014822</v>
      </c>
      <c r="C1">
        <v>57014816</v>
      </c>
      <c r="D1">
        <v>55424304</v>
      </c>
      <c r="E1">
        <v>1081</v>
      </c>
      <c r="F1">
        <v>1</v>
      </c>
      <c r="G1">
        <v>1081</v>
      </c>
      <c r="H1">
        <v>1</v>
      </c>
      <c r="I1" t="s">
        <v>385</v>
      </c>
      <c r="J1" t="s">
        <v>3</v>
      </c>
      <c r="K1" t="s">
        <v>386</v>
      </c>
      <c r="L1">
        <v>1191</v>
      </c>
      <c r="N1">
        <v>1013</v>
      </c>
      <c r="O1" t="s">
        <v>387</v>
      </c>
      <c r="P1" t="s">
        <v>387</v>
      </c>
      <c r="Q1">
        <v>1</v>
      </c>
      <c r="X1">
        <v>13.4</v>
      </c>
      <c r="Y1">
        <v>0</v>
      </c>
      <c r="Z1">
        <v>0</v>
      </c>
      <c r="AA1">
        <v>0</v>
      </c>
      <c r="AB1">
        <v>0</v>
      </c>
      <c r="AC1">
        <v>0</v>
      </c>
      <c r="AD1">
        <v>1</v>
      </c>
      <c r="AE1">
        <v>1</v>
      </c>
      <c r="AF1" t="s">
        <v>30</v>
      </c>
      <c r="AG1">
        <v>4.823999999999999</v>
      </c>
      <c r="AH1">
        <v>2</v>
      </c>
      <c r="AI1">
        <v>57014817</v>
      </c>
      <c r="AJ1">
        <v>1</v>
      </c>
      <c r="AK1">
        <v>0</v>
      </c>
      <c r="AL1">
        <v>0</v>
      </c>
      <c r="AM1">
        <v>0</v>
      </c>
      <c r="AN1">
        <v>0</v>
      </c>
      <c r="AO1">
        <v>0</v>
      </c>
      <c r="AP1">
        <v>0</v>
      </c>
      <c r="AQ1">
        <v>0</v>
      </c>
      <c r="AR1">
        <v>0</v>
      </c>
    </row>
    <row r="2" spans="1:44" x14ac:dyDescent="0.25">
      <c r="A2">
        <f>ROW(Source!A28)</f>
        <v>28</v>
      </c>
      <c r="B2">
        <v>57014823</v>
      </c>
      <c r="C2">
        <v>57014816</v>
      </c>
      <c r="D2">
        <v>55489513</v>
      </c>
      <c r="E2">
        <v>1</v>
      </c>
      <c r="F2">
        <v>1</v>
      </c>
      <c r="G2">
        <v>1081</v>
      </c>
      <c r="H2">
        <v>2</v>
      </c>
      <c r="I2" t="s">
        <v>388</v>
      </c>
      <c r="J2" t="s">
        <v>389</v>
      </c>
      <c r="K2" t="s">
        <v>390</v>
      </c>
      <c r="L2">
        <v>1368</v>
      </c>
      <c r="N2">
        <v>1011</v>
      </c>
      <c r="O2" t="s">
        <v>391</v>
      </c>
      <c r="P2" t="s">
        <v>391</v>
      </c>
      <c r="Q2">
        <v>1</v>
      </c>
      <c r="X2">
        <v>0.54</v>
      </c>
      <c r="Y2">
        <v>0</v>
      </c>
      <c r="Z2">
        <v>114.83</v>
      </c>
      <c r="AA2">
        <v>12.62</v>
      </c>
      <c r="AB2">
        <v>0</v>
      </c>
      <c r="AC2">
        <v>0</v>
      </c>
      <c r="AD2">
        <v>1</v>
      </c>
      <c r="AE2">
        <v>0</v>
      </c>
      <c r="AF2" t="s">
        <v>30</v>
      </c>
      <c r="AG2">
        <v>0.19439999999999999</v>
      </c>
      <c r="AH2">
        <v>2</v>
      </c>
      <c r="AI2">
        <v>57014818</v>
      </c>
      <c r="AJ2">
        <v>2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</row>
    <row r="3" spans="1:44" x14ac:dyDescent="0.25">
      <c r="A3">
        <f>ROW(Source!A28)</f>
        <v>28</v>
      </c>
      <c r="B3">
        <v>57014824</v>
      </c>
      <c r="C3">
        <v>57014816</v>
      </c>
      <c r="D3">
        <v>55489525</v>
      </c>
      <c r="E3">
        <v>1</v>
      </c>
      <c r="F3">
        <v>1</v>
      </c>
      <c r="G3">
        <v>1081</v>
      </c>
      <c r="H3">
        <v>2</v>
      </c>
      <c r="I3" t="s">
        <v>393</v>
      </c>
      <c r="J3" t="s">
        <v>394</v>
      </c>
      <c r="K3" t="s">
        <v>395</v>
      </c>
      <c r="L3">
        <v>1368</v>
      </c>
      <c r="N3">
        <v>1011</v>
      </c>
      <c r="O3" t="s">
        <v>391</v>
      </c>
      <c r="P3" t="s">
        <v>391</v>
      </c>
      <c r="Q3">
        <v>1</v>
      </c>
      <c r="X3">
        <v>1.6</v>
      </c>
      <c r="Y3">
        <v>0</v>
      </c>
      <c r="Z3">
        <v>0.77</v>
      </c>
      <c r="AA3">
        <v>0</v>
      </c>
      <c r="AB3">
        <v>0</v>
      </c>
      <c r="AC3">
        <v>0</v>
      </c>
      <c r="AD3">
        <v>1</v>
      </c>
      <c r="AE3">
        <v>0</v>
      </c>
      <c r="AF3" t="s">
        <v>30</v>
      </c>
      <c r="AG3">
        <v>0.57599999999999996</v>
      </c>
      <c r="AH3">
        <v>2</v>
      </c>
      <c r="AI3">
        <v>57014819</v>
      </c>
      <c r="AJ3">
        <v>3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</row>
    <row r="4" spans="1:44" x14ac:dyDescent="0.25">
      <c r="A4">
        <f>ROW(Source!A28)</f>
        <v>28</v>
      </c>
      <c r="B4">
        <v>57014825</v>
      </c>
      <c r="C4">
        <v>57014816</v>
      </c>
      <c r="D4">
        <v>55459457</v>
      </c>
      <c r="E4">
        <v>1</v>
      </c>
      <c r="F4">
        <v>1</v>
      </c>
      <c r="G4">
        <v>1081</v>
      </c>
      <c r="H4">
        <v>3</v>
      </c>
      <c r="I4" t="s">
        <v>396</v>
      </c>
      <c r="J4" t="s">
        <v>397</v>
      </c>
      <c r="K4" t="s">
        <v>398</v>
      </c>
      <c r="L4">
        <v>1346</v>
      </c>
      <c r="N4">
        <v>1009</v>
      </c>
      <c r="O4" t="s">
        <v>365</v>
      </c>
      <c r="P4" t="s">
        <v>365</v>
      </c>
      <c r="Q4">
        <v>1</v>
      </c>
      <c r="X4">
        <v>2.5000000000000001E-2</v>
      </c>
      <c r="Y4">
        <v>23.87</v>
      </c>
      <c r="Z4">
        <v>0</v>
      </c>
      <c r="AA4">
        <v>0</v>
      </c>
      <c r="AB4">
        <v>0</v>
      </c>
      <c r="AC4">
        <v>0</v>
      </c>
      <c r="AD4">
        <v>1</v>
      </c>
      <c r="AE4">
        <v>0</v>
      </c>
      <c r="AF4" t="s">
        <v>29</v>
      </c>
      <c r="AG4">
        <v>0</v>
      </c>
      <c r="AH4">
        <v>2</v>
      </c>
      <c r="AI4">
        <v>57014820</v>
      </c>
      <c r="AJ4">
        <v>4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</row>
    <row r="5" spans="1:44" x14ac:dyDescent="0.25">
      <c r="A5">
        <f>ROW(Source!A28)</f>
        <v>28</v>
      </c>
      <c r="B5">
        <v>57014826</v>
      </c>
      <c r="C5">
        <v>57014816</v>
      </c>
      <c r="D5">
        <v>55459641</v>
      </c>
      <c r="E5">
        <v>1</v>
      </c>
      <c r="F5">
        <v>1</v>
      </c>
      <c r="G5">
        <v>1081</v>
      </c>
      <c r="H5">
        <v>3</v>
      </c>
      <c r="I5" t="s">
        <v>399</v>
      </c>
      <c r="J5" t="s">
        <v>400</v>
      </c>
      <c r="K5" t="s">
        <v>401</v>
      </c>
      <c r="L5">
        <v>1327</v>
      </c>
      <c r="N5">
        <v>1005</v>
      </c>
      <c r="O5" t="s">
        <v>402</v>
      </c>
      <c r="P5" t="s">
        <v>402</v>
      </c>
      <c r="Q5">
        <v>1</v>
      </c>
      <c r="X5">
        <v>0.45</v>
      </c>
      <c r="Y5">
        <v>7.39</v>
      </c>
      <c r="Z5">
        <v>0</v>
      </c>
      <c r="AA5">
        <v>0</v>
      </c>
      <c r="AB5">
        <v>0</v>
      </c>
      <c r="AC5">
        <v>0</v>
      </c>
      <c r="AD5">
        <v>1</v>
      </c>
      <c r="AE5">
        <v>0</v>
      </c>
      <c r="AF5" t="s">
        <v>29</v>
      </c>
      <c r="AG5">
        <v>0</v>
      </c>
      <c r="AH5">
        <v>2</v>
      </c>
      <c r="AI5">
        <v>57014821</v>
      </c>
      <c r="AJ5">
        <v>5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</row>
    <row r="6" spans="1:44" x14ac:dyDescent="0.25">
      <c r="A6">
        <f>ROW(Source!A28)</f>
        <v>28</v>
      </c>
      <c r="B6">
        <v>57014827</v>
      </c>
      <c r="C6">
        <v>57014816</v>
      </c>
      <c r="D6">
        <v>55448129</v>
      </c>
      <c r="E6">
        <v>1081</v>
      </c>
      <c r="F6">
        <v>1</v>
      </c>
      <c r="G6">
        <v>1081</v>
      </c>
      <c r="H6">
        <v>3</v>
      </c>
      <c r="I6" t="s">
        <v>479</v>
      </c>
      <c r="J6" t="s">
        <v>3</v>
      </c>
      <c r="K6" t="s">
        <v>480</v>
      </c>
      <c r="L6">
        <v>1354</v>
      </c>
      <c r="N6">
        <v>1010</v>
      </c>
      <c r="O6" t="s">
        <v>251</v>
      </c>
      <c r="P6" t="s">
        <v>251</v>
      </c>
      <c r="Q6">
        <v>1</v>
      </c>
      <c r="X6">
        <v>1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 t="s">
        <v>29</v>
      </c>
      <c r="AG6">
        <v>0</v>
      </c>
      <c r="AH6">
        <v>3</v>
      </c>
      <c r="AI6">
        <v>-1</v>
      </c>
      <c r="AJ6" t="s">
        <v>3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</row>
    <row r="7" spans="1:44" x14ac:dyDescent="0.25">
      <c r="A7">
        <f>ROW(Source!A29)</f>
        <v>29</v>
      </c>
      <c r="B7">
        <v>57014822</v>
      </c>
      <c r="C7">
        <v>57014816</v>
      </c>
      <c r="D7">
        <v>55424304</v>
      </c>
      <c r="E7">
        <v>1081</v>
      </c>
      <c r="F7">
        <v>1</v>
      </c>
      <c r="G7">
        <v>1081</v>
      </c>
      <c r="H7">
        <v>1</v>
      </c>
      <c r="I7" t="s">
        <v>385</v>
      </c>
      <c r="J7" t="s">
        <v>3</v>
      </c>
      <c r="K7" t="s">
        <v>386</v>
      </c>
      <c r="L7">
        <v>1191</v>
      </c>
      <c r="N7">
        <v>1013</v>
      </c>
      <c r="O7" t="s">
        <v>387</v>
      </c>
      <c r="P7" t="s">
        <v>387</v>
      </c>
      <c r="Q7">
        <v>1</v>
      </c>
      <c r="X7">
        <v>13.4</v>
      </c>
      <c r="Y7">
        <v>0</v>
      </c>
      <c r="Z7">
        <v>0</v>
      </c>
      <c r="AA7">
        <v>0</v>
      </c>
      <c r="AB7">
        <v>0</v>
      </c>
      <c r="AC7">
        <v>0</v>
      </c>
      <c r="AD7">
        <v>1</v>
      </c>
      <c r="AE7">
        <v>1</v>
      </c>
      <c r="AF7" t="s">
        <v>30</v>
      </c>
      <c r="AG7">
        <v>4.823999999999999</v>
      </c>
      <c r="AH7">
        <v>2</v>
      </c>
      <c r="AI7">
        <v>57014817</v>
      </c>
      <c r="AJ7">
        <v>6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</row>
    <row r="8" spans="1:44" x14ac:dyDescent="0.25">
      <c r="A8">
        <f>ROW(Source!A29)</f>
        <v>29</v>
      </c>
      <c r="B8">
        <v>57014823</v>
      </c>
      <c r="C8">
        <v>57014816</v>
      </c>
      <c r="D8">
        <v>55489513</v>
      </c>
      <c r="E8">
        <v>1</v>
      </c>
      <c r="F8">
        <v>1</v>
      </c>
      <c r="G8">
        <v>1081</v>
      </c>
      <c r="H8">
        <v>2</v>
      </c>
      <c r="I8" t="s">
        <v>388</v>
      </c>
      <c r="J8" t="s">
        <v>389</v>
      </c>
      <c r="K8" t="s">
        <v>390</v>
      </c>
      <c r="L8">
        <v>1368</v>
      </c>
      <c r="N8">
        <v>1011</v>
      </c>
      <c r="O8" t="s">
        <v>391</v>
      </c>
      <c r="P8" t="s">
        <v>391</v>
      </c>
      <c r="Q8">
        <v>1</v>
      </c>
      <c r="X8">
        <v>0.54</v>
      </c>
      <c r="Y8">
        <v>0</v>
      </c>
      <c r="Z8">
        <v>114.83</v>
      </c>
      <c r="AA8">
        <v>12.62</v>
      </c>
      <c r="AB8">
        <v>0</v>
      </c>
      <c r="AC8">
        <v>0</v>
      </c>
      <c r="AD8">
        <v>1</v>
      </c>
      <c r="AE8">
        <v>0</v>
      </c>
      <c r="AF8" t="s">
        <v>30</v>
      </c>
      <c r="AG8">
        <v>0.19439999999999999</v>
      </c>
      <c r="AH8">
        <v>2</v>
      </c>
      <c r="AI8">
        <v>57014818</v>
      </c>
      <c r="AJ8">
        <v>7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</row>
    <row r="9" spans="1:44" x14ac:dyDescent="0.25">
      <c r="A9">
        <f>ROW(Source!A29)</f>
        <v>29</v>
      </c>
      <c r="B9">
        <v>57014824</v>
      </c>
      <c r="C9">
        <v>57014816</v>
      </c>
      <c r="D9">
        <v>55489525</v>
      </c>
      <c r="E9">
        <v>1</v>
      </c>
      <c r="F9">
        <v>1</v>
      </c>
      <c r="G9">
        <v>1081</v>
      </c>
      <c r="H9">
        <v>2</v>
      </c>
      <c r="I9" t="s">
        <v>393</v>
      </c>
      <c r="J9" t="s">
        <v>394</v>
      </c>
      <c r="K9" t="s">
        <v>395</v>
      </c>
      <c r="L9">
        <v>1368</v>
      </c>
      <c r="N9">
        <v>1011</v>
      </c>
      <c r="O9" t="s">
        <v>391</v>
      </c>
      <c r="P9" t="s">
        <v>391</v>
      </c>
      <c r="Q9">
        <v>1</v>
      </c>
      <c r="X9">
        <v>1.6</v>
      </c>
      <c r="Y9">
        <v>0</v>
      </c>
      <c r="Z9">
        <v>0.77</v>
      </c>
      <c r="AA9">
        <v>0</v>
      </c>
      <c r="AB9">
        <v>0</v>
      </c>
      <c r="AC9">
        <v>0</v>
      </c>
      <c r="AD9">
        <v>1</v>
      </c>
      <c r="AE9">
        <v>0</v>
      </c>
      <c r="AF9" t="s">
        <v>30</v>
      </c>
      <c r="AG9">
        <v>0.57599999999999996</v>
      </c>
      <c r="AH9">
        <v>2</v>
      </c>
      <c r="AI9">
        <v>57014819</v>
      </c>
      <c r="AJ9">
        <v>8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</row>
    <row r="10" spans="1:44" x14ac:dyDescent="0.25">
      <c r="A10">
        <f>ROW(Source!A29)</f>
        <v>29</v>
      </c>
      <c r="B10">
        <v>57014825</v>
      </c>
      <c r="C10">
        <v>57014816</v>
      </c>
      <c r="D10">
        <v>55459457</v>
      </c>
      <c r="E10">
        <v>1</v>
      </c>
      <c r="F10">
        <v>1</v>
      </c>
      <c r="G10">
        <v>1081</v>
      </c>
      <c r="H10">
        <v>3</v>
      </c>
      <c r="I10" t="s">
        <v>396</v>
      </c>
      <c r="J10" t="s">
        <v>397</v>
      </c>
      <c r="K10" t="s">
        <v>398</v>
      </c>
      <c r="L10">
        <v>1346</v>
      </c>
      <c r="N10">
        <v>1009</v>
      </c>
      <c r="O10" t="s">
        <v>365</v>
      </c>
      <c r="P10" t="s">
        <v>365</v>
      </c>
      <c r="Q10">
        <v>1</v>
      </c>
      <c r="X10">
        <v>2.5000000000000001E-2</v>
      </c>
      <c r="Y10">
        <v>23.87</v>
      </c>
      <c r="Z10">
        <v>0</v>
      </c>
      <c r="AA10">
        <v>0</v>
      </c>
      <c r="AB10">
        <v>0</v>
      </c>
      <c r="AC10">
        <v>0</v>
      </c>
      <c r="AD10">
        <v>1</v>
      </c>
      <c r="AE10">
        <v>0</v>
      </c>
      <c r="AF10" t="s">
        <v>29</v>
      </c>
      <c r="AG10">
        <v>0</v>
      </c>
      <c r="AH10">
        <v>2</v>
      </c>
      <c r="AI10">
        <v>57014820</v>
      </c>
      <c r="AJ10">
        <v>9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</row>
    <row r="11" spans="1:44" x14ac:dyDescent="0.25">
      <c r="A11">
        <f>ROW(Source!A29)</f>
        <v>29</v>
      </c>
      <c r="B11">
        <v>57014826</v>
      </c>
      <c r="C11">
        <v>57014816</v>
      </c>
      <c r="D11">
        <v>55459641</v>
      </c>
      <c r="E11">
        <v>1</v>
      </c>
      <c r="F11">
        <v>1</v>
      </c>
      <c r="G11">
        <v>1081</v>
      </c>
      <c r="H11">
        <v>3</v>
      </c>
      <c r="I11" t="s">
        <v>399</v>
      </c>
      <c r="J11" t="s">
        <v>400</v>
      </c>
      <c r="K11" t="s">
        <v>401</v>
      </c>
      <c r="L11">
        <v>1327</v>
      </c>
      <c r="N11">
        <v>1005</v>
      </c>
      <c r="O11" t="s">
        <v>402</v>
      </c>
      <c r="P11" t="s">
        <v>402</v>
      </c>
      <c r="Q11">
        <v>1</v>
      </c>
      <c r="X11">
        <v>0.45</v>
      </c>
      <c r="Y11">
        <v>7.39</v>
      </c>
      <c r="Z11">
        <v>0</v>
      </c>
      <c r="AA11">
        <v>0</v>
      </c>
      <c r="AB11">
        <v>0</v>
      </c>
      <c r="AC11">
        <v>0</v>
      </c>
      <c r="AD11">
        <v>1</v>
      </c>
      <c r="AE11">
        <v>0</v>
      </c>
      <c r="AF11" t="s">
        <v>29</v>
      </c>
      <c r="AG11">
        <v>0</v>
      </c>
      <c r="AH11">
        <v>2</v>
      </c>
      <c r="AI11">
        <v>57014821</v>
      </c>
      <c r="AJ11">
        <v>10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</row>
    <row r="12" spans="1:44" x14ac:dyDescent="0.25">
      <c r="A12">
        <f>ROW(Source!A29)</f>
        <v>29</v>
      </c>
      <c r="B12">
        <v>57014827</v>
      </c>
      <c r="C12">
        <v>57014816</v>
      </c>
      <c r="D12">
        <v>55448129</v>
      </c>
      <c r="E12">
        <v>1081</v>
      </c>
      <c r="F12">
        <v>1</v>
      </c>
      <c r="G12">
        <v>1081</v>
      </c>
      <c r="H12">
        <v>3</v>
      </c>
      <c r="I12" t="s">
        <v>479</v>
      </c>
      <c r="J12" t="s">
        <v>3</v>
      </c>
      <c r="K12" t="s">
        <v>480</v>
      </c>
      <c r="L12">
        <v>1354</v>
      </c>
      <c r="N12">
        <v>1010</v>
      </c>
      <c r="O12" t="s">
        <v>251</v>
      </c>
      <c r="P12" t="s">
        <v>251</v>
      </c>
      <c r="Q12">
        <v>1</v>
      </c>
      <c r="X12">
        <v>1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 t="s">
        <v>29</v>
      </c>
      <c r="AG12">
        <v>0</v>
      </c>
      <c r="AH12">
        <v>3</v>
      </c>
      <c r="AI12">
        <v>-1</v>
      </c>
      <c r="AJ12" t="s">
        <v>3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</row>
    <row r="13" spans="1:44" x14ac:dyDescent="0.25">
      <c r="A13">
        <f>ROW(Source!A30)</f>
        <v>30</v>
      </c>
      <c r="B13">
        <v>57014832</v>
      </c>
      <c r="C13">
        <v>57014828</v>
      </c>
      <c r="D13">
        <v>55424304</v>
      </c>
      <c r="E13">
        <v>1081</v>
      </c>
      <c r="F13">
        <v>1</v>
      </c>
      <c r="G13">
        <v>1081</v>
      </c>
      <c r="H13">
        <v>1</v>
      </c>
      <c r="I13" t="s">
        <v>385</v>
      </c>
      <c r="J13" t="s">
        <v>3</v>
      </c>
      <c r="K13" t="s">
        <v>386</v>
      </c>
      <c r="L13">
        <v>1191</v>
      </c>
      <c r="N13">
        <v>1013</v>
      </c>
      <c r="O13" t="s">
        <v>387</v>
      </c>
      <c r="P13" t="s">
        <v>387</v>
      </c>
      <c r="Q13">
        <v>1</v>
      </c>
      <c r="X13">
        <v>9</v>
      </c>
      <c r="Y13">
        <v>0</v>
      </c>
      <c r="Z13">
        <v>0</v>
      </c>
      <c r="AA13">
        <v>0</v>
      </c>
      <c r="AB13">
        <v>0</v>
      </c>
      <c r="AC13">
        <v>0</v>
      </c>
      <c r="AD13">
        <v>1</v>
      </c>
      <c r="AE13">
        <v>1</v>
      </c>
      <c r="AF13" t="s">
        <v>30</v>
      </c>
      <c r="AG13">
        <v>3.2399999999999998</v>
      </c>
      <c r="AH13">
        <v>2</v>
      </c>
      <c r="AI13">
        <v>57014829</v>
      </c>
      <c r="AJ13">
        <v>11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</row>
    <row r="14" spans="1:44" x14ac:dyDescent="0.25">
      <c r="A14">
        <f>ROW(Source!A30)</f>
        <v>30</v>
      </c>
      <c r="B14">
        <v>57014833</v>
      </c>
      <c r="C14">
        <v>57014828</v>
      </c>
      <c r="D14">
        <v>55490330</v>
      </c>
      <c r="E14">
        <v>1</v>
      </c>
      <c r="F14">
        <v>1</v>
      </c>
      <c r="G14">
        <v>1081</v>
      </c>
      <c r="H14">
        <v>2</v>
      </c>
      <c r="I14" t="s">
        <v>403</v>
      </c>
      <c r="J14" t="s">
        <v>404</v>
      </c>
      <c r="K14" t="s">
        <v>405</v>
      </c>
      <c r="L14">
        <v>1368</v>
      </c>
      <c r="N14">
        <v>1011</v>
      </c>
      <c r="O14" t="s">
        <v>391</v>
      </c>
      <c r="P14" t="s">
        <v>391</v>
      </c>
      <c r="Q14">
        <v>1</v>
      </c>
      <c r="X14">
        <v>0.22</v>
      </c>
      <c r="Y14">
        <v>0</v>
      </c>
      <c r="Z14">
        <v>0.8</v>
      </c>
      <c r="AA14">
        <v>0</v>
      </c>
      <c r="AB14">
        <v>0</v>
      </c>
      <c r="AC14">
        <v>0</v>
      </c>
      <c r="AD14">
        <v>1</v>
      </c>
      <c r="AE14">
        <v>0</v>
      </c>
      <c r="AF14" t="s">
        <v>30</v>
      </c>
      <c r="AG14">
        <v>7.9200000000000007E-2</v>
      </c>
      <c r="AH14">
        <v>2</v>
      </c>
      <c r="AI14">
        <v>57014830</v>
      </c>
      <c r="AJ14">
        <v>12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</row>
    <row r="15" spans="1:44" x14ac:dyDescent="0.25">
      <c r="A15">
        <f>ROW(Source!A30)</f>
        <v>30</v>
      </c>
      <c r="B15">
        <v>57014834</v>
      </c>
      <c r="C15">
        <v>57014828</v>
      </c>
      <c r="D15">
        <v>55459340</v>
      </c>
      <c r="E15">
        <v>1</v>
      </c>
      <c r="F15">
        <v>1</v>
      </c>
      <c r="G15">
        <v>1081</v>
      </c>
      <c r="H15">
        <v>3</v>
      </c>
      <c r="I15" t="s">
        <v>406</v>
      </c>
      <c r="J15" t="s">
        <v>407</v>
      </c>
      <c r="K15" t="s">
        <v>408</v>
      </c>
      <c r="L15">
        <v>1354</v>
      </c>
      <c r="N15">
        <v>1010</v>
      </c>
      <c r="O15" t="s">
        <v>251</v>
      </c>
      <c r="P15" t="s">
        <v>251</v>
      </c>
      <c r="Q15">
        <v>1</v>
      </c>
      <c r="X15">
        <v>5</v>
      </c>
      <c r="Y15">
        <v>0.89</v>
      </c>
      <c r="Z15">
        <v>0</v>
      </c>
      <c r="AA15">
        <v>0</v>
      </c>
      <c r="AB15">
        <v>0</v>
      </c>
      <c r="AC15">
        <v>0</v>
      </c>
      <c r="AD15">
        <v>1</v>
      </c>
      <c r="AE15">
        <v>0</v>
      </c>
      <c r="AF15" t="s">
        <v>29</v>
      </c>
      <c r="AG15">
        <v>0</v>
      </c>
      <c r="AH15">
        <v>2</v>
      </c>
      <c r="AI15">
        <v>57014831</v>
      </c>
      <c r="AJ15">
        <v>13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</row>
    <row r="16" spans="1:44" x14ac:dyDescent="0.25">
      <c r="A16">
        <f>ROW(Source!A30)</f>
        <v>30</v>
      </c>
      <c r="B16">
        <v>57014835</v>
      </c>
      <c r="C16">
        <v>57014828</v>
      </c>
      <c r="D16">
        <v>55455624</v>
      </c>
      <c r="E16">
        <v>1081</v>
      </c>
      <c r="F16">
        <v>1</v>
      </c>
      <c r="G16">
        <v>1081</v>
      </c>
      <c r="H16">
        <v>3</v>
      </c>
      <c r="I16" t="s">
        <v>481</v>
      </c>
      <c r="J16" t="s">
        <v>3</v>
      </c>
      <c r="K16" t="s">
        <v>482</v>
      </c>
      <c r="L16">
        <v>1354</v>
      </c>
      <c r="N16">
        <v>1010</v>
      </c>
      <c r="O16" t="s">
        <v>251</v>
      </c>
      <c r="P16" t="s">
        <v>251</v>
      </c>
      <c r="Q16">
        <v>1</v>
      </c>
      <c r="X16">
        <v>1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 t="s">
        <v>29</v>
      </c>
      <c r="AG16">
        <v>0</v>
      </c>
      <c r="AH16">
        <v>3</v>
      </c>
      <c r="AI16">
        <v>-1</v>
      </c>
      <c r="AJ16" t="s">
        <v>3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</row>
    <row r="17" spans="1:44" x14ac:dyDescent="0.25">
      <c r="A17">
        <f>ROW(Source!A31)</f>
        <v>31</v>
      </c>
      <c r="B17">
        <v>57014832</v>
      </c>
      <c r="C17">
        <v>57014828</v>
      </c>
      <c r="D17">
        <v>55424304</v>
      </c>
      <c r="E17">
        <v>1081</v>
      </c>
      <c r="F17">
        <v>1</v>
      </c>
      <c r="G17">
        <v>1081</v>
      </c>
      <c r="H17">
        <v>1</v>
      </c>
      <c r="I17" t="s">
        <v>385</v>
      </c>
      <c r="J17" t="s">
        <v>3</v>
      </c>
      <c r="K17" t="s">
        <v>386</v>
      </c>
      <c r="L17">
        <v>1191</v>
      </c>
      <c r="N17">
        <v>1013</v>
      </c>
      <c r="O17" t="s">
        <v>387</v>
      </c>
      <c r="P17" t="s">
        <v>387</v>
      </c>
      <c r="Q17">
        <v>1</v>
      </c>
      <c r="X17">
        <v>9</v>
      </c>
      <c r="Y17">
        <v>0</v>
      </c>
      <c r="Z17">
        <v>0</v>
      </c>
      <c r="AA17">
        <v>0</v>
      </c>
      <c r="AB17">
        <v>0</v>
      </c>
      <c r="AC17">
        <v>0</v>
      </c>
      <c r="AD17">
        <v>1</v>
      </c>
      <c r="AE17">
        <v>1</v>
      </c>
      <c r="AF17" t="s">
        <v>30</v>
      </c>
      <c r="AG17">
        <v>3.2399999999999998</v>
      </c>
      <c r="AH17">
        <v>2</v>
      </c>
      <c r="AI17">
        <v>57014829</v>
      </c>
      <c r="AJ17">
        <v>14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</row>
    <row r="18" spans="1:44" x14ac:dyDescent="0.25">
      <c r="A18">
        <f>ROW(Source!A31)</f>
        <v>31</v>
      </c>
      <c r="B18">
        <v>57014833</v>
      </c>
      <c r="C18">
        <v>57014828</v>
      </c>
      <c r="D18">
        <v>55490330</v>
      </c>
      <c r="E18">
        <v>1</v>
      </c>
      <c r="F18">
        <v>1</v>
      </c>
      <c r="G18">
        <v>1081</v>
      </c>
      <c r="H18">
        <v>2</v>
      </c>
      <c r="I18" t="s">
        <v>403</v>
      </c>
      <c r="J18" t="s">
        <v>404</v>
      </c>
      <c r="K18" t="s">
        <v>405</v>
      </c>
      <c r="L18">
        <v>1368</v>
      </c>
      <c r="N18">
        <v>1011</v>
      </c>
      <c r="O18" t="s">
        <v>391</v>
      </c>
      <c r="P18" t="s">
        <v>391</v>
      </c>
      <c r="Q18">
        <v>1</v>
      </c>
      <c r="X18">
        <v>0.22</v>
      </c>
      <c r="Y18">
        <v>0</v>
      </c>
      <c r="Z18">
        <v>0.8</v>
      </c>
      <c r="AA18">
        <v>0</v>
      </c>
      <c r="AB18">
        <v>0</v>
      </c>
      <c r="AC18">
        <v>0</v>
      </c>
      <c r="AD18">
        <v>1</v>
      </c>
      <c r="AE18">
        <v>0</v>
      </c>
      <c r="AF18" t="s">
        <v>30</v>
      </c>
      <c r="AG18">
        <v>7.9200000000000007E-2</v>
      </c>
      <c r="AH18">
        <v>2</v>
      </c>
      <c r="AI18">
        <v>57014830</v>
      </c>
      <c r="AJ18">
        <v>15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</row>
    <row r="19" spans="1:44" x14ac:dyDescent="0.25">
      <c r="A19">
        <f>ROW(Source!A31)</f>
        <v>31</v>
      </c>
      <c r="B19">
        <v>57014834</v>
      </c>
      <c r="C19">
        <v>57014828</v>
      </c>
      <c r="D19">
        <v>55459340</v>
      </c>
      <c r="E19">
        <v>1</v>
      </c>
      <c r="F19">
        <v>1</v>
      </c>
      <c r="G19">
        <v>1081</v>
      </c>
      <c r="H19">
        <v>3</v>
      </c>
      <c r="I19" t="s">
        <v>406</v>
      </c>
      <c r="J19" t="s">
        <v>407</v>
      </c>
      <c r="K19" t="s">
        <v>408</v>
      </c>
      <c r="L19">
        <v>1354</v>
      </c>
      <c r="N19">
        <v>1010</v>
      </c>
      <c r="O19" t="s">
        <v>251</v>
      </c>
      <c r="P19" t="s">
        <v>251</v>
      </c>
      <c r="Q19">
        <v>1</v>
      </c>
      <c r="X19">
        <v>5</v>
      </c>
      <c r="Y19">
        <v>0.89</v>
      </c>
      <c r="Z19">
        <v>0</v>
      </c>
      <c r="AA19">
        <v>0</v>
      </c>
      <c r="AB19">
        <v>0</v>
      </c>
      <c r="AC19">
        <v>0</v>
      </c>
      <c r="AD19">
        <v>1</v>
      </c>
      <c r="AE19">
        <v>0</v>
      </c>
      <c r="AF19" t="s">
        <v>29</v>
      </c>
      <c r="AG19">
        <v>0</v>
      </c>
      <c r="AH19">
        <v>2</v>
      </c>
      <c r="AI19">
        <v>57014831</v>
      </c>
      <c r="AJ19">
        <v>16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</row>
    <row r="20" spans="1:44" x14ac:dyDescent="0.25">
      <c r="A20">
        <f>ROW(Source!A31)</f>
        <v>31</v>
      </c>
      <c r="B20">
        <v>57014835</v>
      </c>
      <c r="C20">
        <v>57014828</v>
      </c>
      <c r="D20">
        <v>55455624</v>
      </c>
      <c r="E20">
        <v>1081</v>
      </c>
      <c r="F20">
        <v>1</v>
      </c>
      <c r="G20">
        <v>1081</v>
      </c>
      <c r="H20">
        <v>3</v>
      </c>
      <c r="I20" t="s">
        <v>481</v>
      </c>
      <c r="J20" t="s">
        <v>3</v>
      </c>
      <c r="K20" t="s">
        <v>482</v>
      </c>
      <c r="L20">
        <v>1354</v>
      </c>
      <c r="N20">
        <v>1010</v>
      </c>
      <c r="O20" t="s">
        <v>251</v>
      </c>
      <c r="P20" t="s">
        <v>251</v>
      </c>
      <c r="Q20">
        <v>1</v>
      </c>
      <c r="X20">
        <v>1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 t="s">
        <v>29</v>
      </c>
      <c r="AG20">
        <v>0</v>
      </c>
      <c r="AH20">
        <v>3</v>
      </c>
      <c r="AI20">
        <v>-1</v>
      </c>
      <c r="AJ20" t="s">
        <v>3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</row>
    <row r="21" spans="1:44" x14ac:dyDescent="0.25">
      <c r="A21">
        <f>ROW(Source!A32)</f>
        <v>32</v>
      </c>
      <c r="B21">
        <v>57014838</v>
      </c>
      <c r="C21">
        <v>57014836</v>
      </c>
      <c r="D21">
        <v>55424304</v>
      </c>
      <c r="E21">
        <v>1081</v>
      </c>
      <c r="F21">
        <v>1</v>
      </c>
      <c r="G21">
        <v>1081</v>
      </c>
      <c r="H21">
        <v>1</v>
      </c>
      <c r="I21" t="s">
        <v>385</v>
      </c>
      <c r="J21" t="s">
        <v>3</v>
      </c>
      <c r="K21" t="s">
        <v>386</v>
      </c>
      <c r="L21">
        <v>1191</v>
      </c>
      <c r="N21">
        <v>1013</v>
      </c>
      <c r="O21" t="s">
        <v>387</v>
      </c>
      <c r="P21" t="s">
        <v>387</v>
      </c>
      <c r="Q21">
        <v>1</v>
      </c>
      <c r="X21">
        <v>11.7</v>
      </c>
      <c r="Y21">
        <v>0</v>
      </c>
      <c r="Z21">
        <v>0</v>
      </c>
      <c r="AA21">
        <v>0</v>
      </c>
      <c r="AB21">
        <v>0</v>
      </c>
      <c r="AC21">
        <v>0</v>
      </c>
      <c r="AD21">
        <v>1</v>
      </c>
      <c r="AE21">
        <v>1</v>
      </c>
      <c r="AF21" t="s">
        <v>30</v>
      </c>
      <c r="AG21">
        <v>4.2119999999999997</v>
      </c>
      <c r="AH21">
        <v>2</v>
      </c>
      <c r="AI21">
        <v>57014837</v>
      </c>
      <c r="AJ21">
        <v>17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</row>
    <row r="22" spans="1:44" x14ac:dyDescent="0.25">
      <c r="A22">
        <f>ROW(Source!A33)</f>
        <v>33</v>
      </c>
      <c r="B22">
        <v>57014838</v>
      </c>
      <c r="C22">
        <v>57014836</v>
      </c>
      <c r="D22">
        <v>55424304</v>
      </c>
      <c r="E22">
        <v>1081</v>
      </c>
      <c r="F22">
        <v>1</v>
      </c>
      <c r="G22">
        <v>1081</v>
      </c>
      <c r="H22">
        <v>1</v>
      </c>
      <c r="I22" t="s">
        <v>385</v>
      </c>
      <c r="J22" t="s">
        <v>3</v>
      </c>
      <c r="K22" t="s">
        <v>386</v>
      </c>
      <c r="L22">
        <v>1191</v>
      </c>
      <c r="N22">
        <v>1013</v>
      </c>
      <c r="O22" t="s">
        <v>387</v>
      </c>
      <c r="P22" t="s">
        <v>387</v>
      </c>
      <c r="Q22">
        <v>1</v>
      </c>
      <c r="X22">
        <v>11.7</v>
      </c>
      <c r="Y22">
        <v>0</v>
      </c>
      <c r="Z22">
        <v>0</v>
      </c>
      <c r="AA22">
        <v>0</v>
      </c>
      <c r="AB22">
        <v>0</v>
      </c>
      <c r="AC22">
        <v>0</v>
      </c>
      <c r="AD22">
        <v>1</v>
      </c>
      <c r="AE22">
        <v>1</v>
      </c>
      <c r="AF22" t="s">
        <v>30</v>
      </c>
      <c r="AG22">
        <v>4.2119999999999997</v>
      </c>
      <c r="AH22">
        <v>2</v>
      </c>
      <c r="AI22">
        <v>57014837</v>
      </c>
      <c r="AJ22">
        <v>18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</row>
    <row r="23" spans="1:44" x14ac:dyDescent="0.25">
      <c r="A23">
        <f>ROW(Source!A34)</f>
        <v>34</v>
      </c>
      <c r="B23">
        <v>57014844</v>
      </c>
      <c r="C23">
        <v>57014839</v>
      </c>
      <c r="D23">
        <v>55424304</v>
      </c>
      <c r="E23">
        <v>1081</v>
      </c>
      <c r="F23">
        <v>1</v>
      </c>
      <c r="G23">
        <v>1081</v>
      </c>
      <c r="H23">
        <v>1</v>
      </c>
      <c r="I23" t="s">
        <v>385</v>
      </c>
      <c r="J23" t="s">
        <v>3</v>
      </c>
      <c r="K23" t="s">
        <v>386</v>
      </c>
      <c r="L23">
        <v>1191</v>
      </c>
      <c r="N23">
        <v>1013</v>
      </c>
      <c r="O23" t="s">
        <v>387</v>
      </c>
      <c r="P23" t="s">
        <v>387</v>
      </c>
      <c r="Q23">
        <v>1</v>
      </c>
      <c r="X23">
        <v>6.2</v>
      </c>
      <c r="Y23">
        <v>0</v>
      </c>
      <c r="Z23">
        <v>0</v>
      </c>
      <c r="AA23">
        <v>0</v>
      </c>
      <c r="AB23">
        <v>0</v>
      </c>
      <c r="AC23">
        <v>0</v>
      </c>
      <c r="AD23">
        <v>1</v>
      </c>
      <c r="AE23">
        <v>1</v>
      </c>
      <c r="AF23" t="s">
        <v>30</v>
      </c>
      <c r="AG23">
        <v>2.2319999999999998</v>
      </c>
      <c r="AH23">
        <v>2</v>
      </c>
      <c r="AI23">
        <v>57014840</v>
      </c>
      <c r="AJ23">
        <v>19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</row>
    <row r="24" spans="1:44" x14ac:dyDescent="0.25">
      <c r="A24">
        <f>ROW(Source!A34)</f>
        <v>34</v>
      </c>
      <c r="B24">
        <v>57014845</v>
      </c>
      <c r="C24">
        <v>57014839</v>
      </c>
      <c r="D24">
        <v>55489513</v>
      </c>
      <c r="E24">
        <v>1</v>
      </c>
      <c r="F24">
        <v>1</v>
      </c>
      <c r="G24">
        <v>1081</v>
      </c>
      <c r="H24">
        <v>2</v>
      </c>
      <c r="I24" t="s">
        <v>388</v>
      </c>
      <c r="J24" t="s">
        <v>389</v>
      </c>
      <c r="K24" t="s">
        <v>390</v>
      </c>
      <c r="L24">
        <v>1368</v>
      </c>
      <c r="N24">
        <v>1011</v>
      </c>
      <c r="O24" t="s">
        <v>391</v>
      </c>
      <c r="P24" t="s">
        <v>391</v>
      </c>
      <c r="Q24">
        <v>1</v>
      </c>
      <c r="X24">
        <v>0.25</v>
      </c>
      <c r="Y24">
        <v>0</v>
      </c>
      <c r="Z24">
        <v>114.83</v>
      </c>
      <c r="AA24">
        <v>12.62</v>
      </c>
      <c r="AB24">
        <v>0</v>
      </c>
      <c r="AC24">
        <v>0</v>
      </c>
      <c r="AD24">
        <v>1</v>
      </c>
      <c r="AE24">
        <v>0</v>
      </c>
      <c r="AF24" t="s">
        <v>30</v>
      </c>
      <c r="AG24">
        <v>0.09</v>
      </c>
      <c r="AH24">
        <v>2</v>
      </c>
      <c r="AI24">
        <v>57014841</v>
      </c>
      <c r="AJ24">
        <v>20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</row>
    <row r="25" spans="1:44" x14ac:dyDescent="0.25">
      <c r="A25">
        <f>ROW(Source!A34)</f>
        <v>34</v>
      </c>
      <c r="B25">
        <v>57014846</v>
      </c>
      <c r="C25">
        <v>57014839</v>
      </c>
      <c r="D25">
        <v>55461719</v>
      </c>
      <c r="E25">
        <v>1</v>
      </c>
      <c r="F25">
        <v>1</v>
      </c>
      <c r="G25">
        <v>1081</v>
      </c>
      <c r="H25">
        <v>3</v>
      </c>
      <c r="I25" t="s">
        <v>409</v>
      </c>
      <c r="J25" t="s">
        <v>410</v>
      </c>
      <c r="K25" t="s">
        <v>411</v>
      </c>
      <c r="L25">
        <v>1348</v>
      </c>
      <c r="N25">
        <v>1009</v>
      </c>
      <c r="O25" t="s">
        <v>361</v>
      </c>
      <c r="P25" t="s">
        <v>361</v>
      </c>
      <c r="Q25">
        <v>1000</v>
      </c>
      <c r="X25">
        <v>1.1000000000000001E-3</v>
      </c>
      <c r="Y25">
        <v>10643.18</v>
      </c>
      <c r="Z25">
        <v>0</v>
      </c>
      <c r="AA25">
        <v>0</v>
      </c>
      <c r="AB25">
        <v>0</v>
      </c>
      <c r="AC25">
        <v>0</v>
      </c>
      <c r="AD25">
        <v>1</v>
      </c>
      <c r="AE25">
        <v>0</v>
      </c>
      <c r="AF25" t="s">
        <v>29</v>
      </c>
      <c r="AG25">
        <v>0</v>
      </c>
      <c r="AH25">
        <v>2</v>
      </c>
      <c r="AI25">
        <v>57014842</v>
      </c>
      <c r="AJ25">
        <v>21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</row>
    <row r="26" spans="1:44" x14ac:dyDescent="0.25">
      <c r="A26">
        <f>ROW(Source!A34)</f>
        <v>34</v>
      </c>
      <c r="B26">
        <v>57014847</v>
      </c>
      <c r="C26">
        <v>57014839</v>
      </c>
      <c r="D26">
        <v>55459793</v>
      </c>
      <c r="E26">
        <v>1</v>
      </c>
      <c r="F26">
        <v>1</v>
      </c>
      <c r="G26">
        <v>1081</v>
      </c>
      <c r="H26">
        <v>3</v>
      </c>
      <c r="I26" t="s">
        <v>412</v>
      </c>
      <c r="J26" t="s">
        <v>413</v>
      </c>
      <c r="K26" t="s">
        <v>414</v>
      </c>
      <c r="L26">
        <v>1348</v>
      </c>
      <c r="N26">
        <v>1009</v>
      </c>
      <c r="O26" t="s">
        <v>361</v>
      </c>
      <c r="P26" t="s">
        <v>361</v>
      </c>
      <c r="Q26">
        <v>1000</v>
      </c>
      <c r="X26">
        <v>1.0000000000000001E-5</v>
      </c>
      <c r="Y26">
        <v>64123.05</v>
      </c>
      <c r="Z26">
        <v>0</v>
      </c>
      <c r="AA26">
        <v>0</v>
      </c>
      <c r="AB26">
        <v>0</v>
      </c>
      <c r="AC26">
        <v>0</v>
      </c>
      <c r="AD26">
        <v>1</v>
      </c>
      <c r="AE26">
        <v>0</v>
      </c>
      <c r="AF26" t="s">
        <v>29</v>
      </c>
      <c r="AG26">
        <v>0</v>
      </c>
      <c r="AH26">
        <v>2</v>
      </c>
      <c r="AI26">
        <v>57014843</v>
      </c>
      <c r="AJ26">
        <v>22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</row>
    <row r="27" spans="1:44" x14ac:dyDescent="0.25">
      <c r="A27">
        <f>ROW(Source!A34)</f>
        <v>34</v>
      </c>
      <c r="B27">
        <v>57014848</v>
      </c>
      <c r="C27">
        <v>57014839</v>
      </c>
      <c r="D27">
        <v>55448109</v>
      </c>
      <c r="E27">
        <v>1081</v>
      </c>
      <c r="F27">
        <v>1</v>
      </c>
      <c r="G27">
        <v>1081</v>
      </c>
      <c r="H27">
        <v>3</v>
      </c>
      <c r="I27" t="s">
        <v>483</v>
      </c>
      <c r="J27" t="s">
        <v>3</v>
      </c>
      <c r="K27" t="s">
        <v>484</v>
      </c>
      <c r="L27">
        <v>1354</v>
      </c>
      <c r="N27">
        <v>1010</v>
      </c>
      <c r="O27" t="s">
        <v>251</v>
      </c>
      <c r="P27" t="s">
        <v>251</v>
      </c>
      <c r="Q27">
        <v>1</v>
      </c>
      <c r="X27">
        <v>1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 t="s">
        <v>29</v>
      </c>
      <c r="AG27">
        <v>0</v>
      </c>
      <c r="AH27">
        <v>3</v>
      </c>
      <c r="AI27">
        <v>-1</v>
      </c>
      <c r="AJ27" t="s">
        <v>3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</row>
    <row r="28" spans="1:44" x14ac:dyDescent="0.25">
      <c r="A28">
        <f>ROW(Source!A35)</f>
        <v>35</v>
      </c>
      <c r="B28">
        <v>57014844</v>
      </c>
      <c r="C28">
        <v>57014839</v>
      </c>
      <c r="D28">
        <v>55424304</v>
      </c>
      <c r="E28">
        <v>1081</v>
      </c>
      <c r="F28">
        <v>1</v>
      </c>
      <c r="G28">
        <v>1081</v>
      </c>
      <c r="H28">
        <v>1</v>
      </c>
      <c r="I28" t="s">
        <v>385</v>
      </c>
      <c r="J28" t="s">
        <v>3</v>
      </c>
      <c r="K28" t="s">
        <v>386</v>
      </c>
      <c r="L28">
        <v>1191</v>
      </c>
      <c r="N28">
        <v>1013</v>
      </c>
      <c r="O28" t="s">
        <v>387</v>
      </c>
      <c r="P28" t="s">
        <v>387</v>
      </c>
      <c r="Q28">
        <v>1</v>
      </c>
      <c r="X28">
        <v>6.2</v>
      </c>
      <c r="Y28">
        <v>0</v>
      </c>
      <c r="Z28">
        <v>0</v>
      </c>
      <c r="AA28">
        <v>0</v>
      </c>
      <c r="AB28">
        <v>0</v>
      </c>
      <c r="AC28">
        <v>0</v>
      </c>
      <c r="AD28">
        <v>1</v>
      </c>
      <c r="AE28">
        <v>1</v>
      </c>
      <c r="AF28" t="s">
        <v>30</v>
      </c>
      <c r="AG28">
        <v>2.2319999999999998</v>
      </c>
      <c r="AH28">
        <v>2</v>
      </c>
      <c r="AI28">
        <v>57014840</v>
      </c>
      <c r="AJ28">
        <v>23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</row>
    <row r="29" spans="1:44" x14ac:dyDescent="0.25">
      <c r="A29">
        <f>ROW(Source!A35)</f>
        <v>35</v>
      </c>
      <c r="B29">
        <v>57014845</v>
      </c>
      <c r="C29">
        <v>57014839</v>
      </c>
      <c r="D29">
        <v>55489513</v>
      </c>
      <c r="E29">
        <v>1</v>
      </c>
      <c r="F29">
        <v>1</v>
      </c>
      <c r="G29">
        <v>1081</v>
      </c>
      <c r="H29">
        <v>2</v>
      </c>
      <c r="I29" t="s">
        <v>388</v>
      </c>
      <c r="J29" t="s">
        <v>389</v>
      </c>
      <c r="K29" t="s">
        <v>390</v>
      </c>
      <c r="L29">
        <v>1368</v>
      </c>
      <c r="N29">
        <v>1011</v>
      </c>
      <c r="O29" t="s">
        <v>391</v>
      </c>
      <c r="P29" t="s">
        <v>391</v>
      </c>
      <c r="Q29">
        <v>1</v>
      </c>
      <c r="X29">
        <v>0.25</v>
      </c>
      <c r="Y29">
        <v>0</v>
      </c>
      <c r="Z29">
        <v>114.83</v>
      </c>
      <c r="AA29">
        <v>12.62</v>
      </c>
      <c r="AB29">
        <v>0</v>
      </c>
      <c r="AC29">
        <v>0</v>
      </c>
      <c r="AD29">
        <v>1</v>
      </c>
      <c r="AE29">
        <v>0</v>
      </c>
      <c r="AF29" t="s">
        <v>30</v>
      </c>
      <c r="AG29">
        <v>0.09</v>
      </c>
      <c r="AH29">
        <v>2</v>
      </c>
      <c r="AI29">
        <v>57014841</v>
      </c>
      <c r="AJ29">
        <v>24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</row>
    <row r="30" spans="1:44" x14ac:dyDescent="0.25">
      <c r="A30">
        <f>ROW(Source!A35)</f>
        <v>35</v>
      </c>
      <c r="B30">
        <v>57014846</v>
      </c>
      <c r="C30">
        <v>57014839</v>
      </c>
      <c r="D30">
        <v>55461719</v>
      </c>
      <c r="E30">
        <v>1</v>
      </c>
      <c r="F30">
        <v>1</v>
      </c>
      <c r="G30">
        <v>1081</v>
      </c>
      <c r="H30">
        <v>3</v>
      </c>
      <c r="I30" t="s">
        <v>409</v>
      </c>
      <c r="J30" t="s">
        <v>410</v>
      </c>
      <c r="K30" t="s">
        <v>411</v>
      </c>
      <c r="L30">
        <v>1348</v>
      </c>
      <c r="N30">
        <v>1009</v>
      </c>
      <c r="O30" t="s">
        <v>361</v>
      </c>
      <c r="P30" t="s">
        <v>361</v>
      </c>
      <c r="Q30">
        <v>1000</v>
      </c>
      <c r="X30">
        <v>1.1000000000000001E-3</v>
      </c>
      <c r="Y30">
        <v>10643.18</v>
      </c>
      <c r="Z30">
        <v>0</v>
      </c>
      <c r="AA30">
        <v>0</v>
      </c>
      <c r="AB30">
        <v>0</v>
      </c>
      <c r="AC30">
        <v>0</v>
      </c>
      <c r="AD30">
        <v>1</v>
      </c>
      <c r="AE30">
        <v>0</v>
      </c>
      <c r="AF30" t="s">
        <v>29</v>
      </c>
      <c r="AG30">
        <v>0</v>
      </c>
      <c r="AH30">
        <v>2</v>
      </c>
      <c r="AI30">
        <v>57014842</v>
      </c>
      <c r="AJ30">
        <v>25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</row>
    <row r="31" spans="1:44" x14ac:dyDescent="0.25">
      <c r="A31">
        <f>ROW(Source!A35)</f>
        <v>35</v>
      </c>
      <c r="B31">
        <v>57014847</v>
      </c>
      <c r="C31">
        <v>57014839</v>
      </c>
      <c r="D31">
        <v>55459793</v>
      </c>
      <c r="E31">
        <v>1</v>
      </c>
      <c r="F31">
        <v>1</v>
      </c>
      <c r="G31">
        <v>1081</v>
      </c>
      <c r="H31">
        <v>3</v>
      </c>
      <c r="I31" t="s">
        <v>412</v>
      </c>
      <c r="J31" t="s">
        <v>413</v>
      </c>
      <c r="K31" t="s">
        <v>414</v>
      </c>
      <c r="L31">
        <v>1348</v>
      </c>
      <c r="N31">
        <v>1009</v>
      </c>
      <c r="O31" t="s">
        <v>361</v>
      </c>
      <c r="P31" t="s">
        <v>361</v>
      </c>
      <c r="Q31">
        <v>1000</v>
      </c>
      <c r="X31">
        <v>1.0000000000000001E-5</v>
      </c>
      <c r="Y31">
        <v>64123.05</v>
      </c>
      <c r="Z31">
        <v>0</v>
      </c>
      <c r="AA31">
        <v>0</v>
      </c>
      <c r="AB31">
        <v>0</v>
      </c>
      <c r="AC31">
        <v>0</v>
      </c>
      <c r="AD31">
        <v>1</v>
      </c>
      <c r="AE31">
        <v>0</v>
      </c>
      <c r="AF31" t="s">
        <v>29</v>
      </c>
      <c r="AG31">
        <v>0</v>
      </c>
      <c r="AH31">
        <v>2</v>
      </c>
      <c r="AI31">
        <v>57014843</v>
      </c>
      <c r="AJ31">
        <v>26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</row>
    <row r="32" spans="1:44" x14ac:dyDescent="0.25">
      <c r="A32">
        <f>ROW(Source!A35)</f>
        <v>35</v>
      </c>
      <c r="B32">
        <v>57014848</v>
      </c>
      <c r="C32">
        <v>57014839</v>
      </c>
      <c r="D32">
        <v>55448109</v>
      </c>
      <c r="E32">
        <v>1081</v>
      </c>
      <c r="F32">
        <v>1</v>
      </c>
      <c r="G32">
        <v>1081</v>
      </c>
      <c r="H32">
        <v>3</v>
      </c>
      <c r="I32" t="s">
        <v>483</v>
      </c>
      <c r="J32" t="s">
        <v>3</v>
      </c>
      <c r="K32" t="s">
        <v>484</v>
      </c>
      <c r="L32">
        <v>1354</v>
      </c>
      <c r="N32">
        <v>1010</v>
      </c>
      <c r="O32" t="s">
        <v>251</v>
      </c>
      <c r="P32" t="s">
        <v>251</v>
      </c>
      <c r="Q32">
        <v>1</v>
      </c>
      <c r="X32">
        <v>1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 t="s">
        <v>29</v>
      </c>
      <c r="AG32">
        <v>0</v>
      </c>
      <c r="AH32">
        <v>3</v>
      </c>
      <c r="AI32">
        <v>-1</v>
      </c>
      <c r="AJ32" t="s">
        <v>3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</row>
    <row r="33" spans="1:44" x14ac:dyDescent="0.25">
      <c r="A33">
        <f>ROW(Source!A36)</f>
        <v>36</v>
      </c>
      <c r="B33">
        <v>57014856</v>
      </c>
      <c r="C33">
        <v>57014849</v>
      </c>
      <c r="D33">
        <v>55424304</v>
      </c>
      <c r="E33">
        <v>1081</v>
      </c>
      <c r="F33">
        <v>1</v>
      </c>
      <c r="G33">
        <v>1081</v>
      </c>
      <c r="H33">
        <v>1</v>
      </c>
      <c r="I33" t="s">
        <v>385</v>
      </c>
      <c r="J33" t="s">
        <v>3</v>
      </c>
      <c r="K33" t="s">
        <v>386</v>
      </c>
      <c r="L33">
        <v>1191</v>
      </c>
      <c r="N33">
        <v>1013</v>
      </c>
      <c r="O33" t="s">
        <v>387</v>
      </c>
      <c r="P33" t="s">
        <v>387</v>
      </c>
      <c r="Q33">
        <v>1</v>
      </c>
      <c r="X33">
        <v>1.36</v>
      </c>
      <c r="Y33">
        <v>0</v>
      </c>
      <c r="Z33">
        <v>0</v>
      </c>
      <c r="AA33">
        <v>0</v>
      </c>
      <c r="AB33">
        <v>0</v>
      </c>
      <c r="AC33">
        <v>0</v>
      </c>
      <c r="AD33">
        <v>1</v>
      </c>
      <c r="AE33">
        <v>1</v>
      </c>
      <c r="AF33" t="s">
        <v>30</v>
      </c>
      <c r="AG33">
        <v>0.48960000000000004</v>
      </c>
      <c r="AH33">
        <v>2</v>
      </c>
      <c r="AI33">
        <v>57014850</v>
      </c>
      <c r="AJ33">
        <v>27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</row>
    <row r="34" spans="1:44" x14ac:dyDescent="0.25">
      <c r="A34">
        <f>ROW(Source!A36)</f>
        <v>36</v>
      </c>
      <c r="B34">
        <v>57014857</v>
      </c>
      <c r="C34">
        <v>57014849</v>
      </c>
      <c r="D34">
        <v>55490330</v>
      </c>
      <c r="E34">
        <v>1</v>
      </c>
      <c r="F34">
        <v>1</v>
      </c>
      <c r="G34">
        <v>1081</v>
      </c>
      <c r="H34">
        <v>2</v>
      </c>
      <c r="I34" t="s">
        <v>403</v>
      </c>
      <c r="J34" t="s">
        <v>404</v>
      </c>
      <c r="K34" t="s">
        <v>405</v>
      </c>
      <c r="L34">
        <v>1368</v>
      </c>
      <c r="N34">
        <v>1011</v>
      </c>
      <c r="O34" t="s">
        <v>391</v>
      </c>
      <c r="P34" t="s">
        <v>391</v>
      </c>
      <c r="Q34">
        <v>1</v>
      </c>
      <c r="X34">
        <v>1.7000000000000001E-2</v>
      </c>
      <c r="Y34">
        <v>0</v>
      </c>
      <c r="Z34">
        <v>0.8</v>
      </c>
      <c r="AA34">
        <v>0</v>
      </c>
      <c r="AB34">
        <v>0</v>
      </c>
      <c r="AC34">
        <v>0</v>
      </c>
      <c r="AD34">
        <v>1</v>
      </c>
      <c r="AE34">
        <v>0</v>
      </c>
      <c r="AF34" t="s">
        <v>30</v>
      </c>
      <c r="AG34">
        <v>6.1200000000000004E-3</v>
      </c>
      <c r="AH34">
        <v>2</v>
      </c>
      <c r="AI34">
        <v>57014851</v>
      </c>
      <c r="AJ34">
        <v>28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</row>
    <row r="35" spans="1:44" x14ac:dyDescent="0.25">
      <c r="A35">
        <f>ROW(Source!A36)</f>
        <v>36</v>
      </c>
      <c r="B35">
        <v>57014858</v>
      </c>
      <c r="C35">
        <v>57014849</v>
      </c>
      <c r="D35">
        <v>55490296</v>
      </c>
      <c r="E35">
        <v>1</v>
      </c>
      <c r="F35">
        <v>1</v>
      </c>
      <c r="G35">
        <v>1081</v>
      </c>
      <c r="H35">
        <v>2</v>
      </c>
      <c r="I35" t="s">
        <v>415</v>
      </c>
      <c r="J35" t="s">
        <v>416</v>
      </c>
      <c r="K35" t="s">
        <v>417</v>
      </c>
      <c r="L35">
        <v>1368</v>
      </c>
      <c r="N35">
        <v>1011</v>
      </c>
      <c r="O35" t="s">
        <v>391</v>
      </c>
      <c r="P35" t="s">
        <v>391</v>
      </c>
      <c r="Q35">
        <v>1</v>
      </c>
      <c r="X35">
        <v>0.02</v>
      </c>
      <c r="Y35">
        <v>0</v>
      </c>
      <c r="Z35">
        <v>0.47</v>
      </c>
      <c r="AA35">
        <v>0</v>
      </c>
      <c r="AB35">
        <v>0</v>
      </c>
      <c r="AC35">
        <v>0</v>
      </c>
      <c r="AD35">
        <v>1</v>
      </c>
      <c r="AE35">
        <v>0</v>
      </c>
      <c r="AF35" t="s">
        <v>30</v>
      </c>
      <c r="AG35">
        <v>7.1999999999999998E-3</v>
      </c>
      <c r="AH35">
        <v>2</v>
      </c>
      <c r="AI35">
        <v>57014852</v>
      </c>
      <c r="AJ35">
        <v>29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</row>
    <row r="36" spans="1:44" x14ac:dyDescent="0.25">
      <c r="A36">
        <f>ROW(Source!A36)</f>
        <v>36</v>
      </c>
      <c r="B36">
        <v>57014859</v>
      </c>
      <c r="C36">
        <v>57014849</v>
      </c>
      <c r="D36">
        <v>55461074</v>
      </c>
      <c r="E36">
        <v>1</v>
      </c>
      <c r="F36">
        <v>1</v>
      </c>
      <c r="G36">
        <v>1081</v>
      </c>
      <c r="H36">
        <v>3</v>
      </c>
      <c r="I36" t="s">
        <v>418</v>
      </c>
      <c r="J36" t="s">
        <v>419</v>
      </c>
      <c r="K36" t="s">
        <v>420</v>
      </c>
      <c r="L36">
        <v>1346</v>
      </c>
      <c r="N36">
        <v>1009</v>
      </c>
      <c r="O36" t="s">
        <v>365</v>
      </c>
      <c r="P36" t="s">
        <v>365</v>
      </c>
      <c r="Q36">
        <v>1</v>
      </c>
      <c r="X36">
        <v>6.2700000000000004E-3</v>
      </c>
      <c r="Y36">
        <v>27.62</v>
      </c>
      <c r="Z36">
        <v>0</v>
      </c>
      <c r="AA36">
        <v>0</v>
      </c>
      <c r="AB36">
        <v>0</v>
      </c>
      <c r="AC36">
        <v>0</v>
      </c>
      <c r="AD36">
        <v>1</v>
      </c>
      <c r="AE36">
        <v>0</v>
      </c>
      <c r="AF36" t="s">
        <v>29</v>
      </c>
      <c r="AG36">
        <v>0</v>
      </c>
      <c r="AH36">
        <v>2</v>
      </c>
      <c r="AI36">
        <v>57014853</v>
      </c>
      <c r="AJ36">
        <v>30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</row>
    <row r="37" spans="1:44" x14ac:dyDescent="0.25">
      <c r="A37">
        <f>ROW(Source!A36)</f>
        <v>36</v>
      </c>
      <c r="B37">
        <v>57014860</v>
      </c>
      <c r="C37">
        <v>57014849</v>
      </c>
      <c r="D37">
        <v>55459793</v>
      </c>
      <c r="E37">
        <v>1</v>
      </c>
      <c r="F37">
        <v>1</v>
      </c>
      <c r="G37">
        <v>1081</v>
      </c>
      <c r="H37">
        <v>3</v>
      </c>
      <c r="I37" t="s">
        <v>412</v>
      </c>
      <c r="J37" t="s">
        <v>413</v>
      </c>
      <c r="K37" t="s">
        <v>414</v>
      </c>
      <c r="L37">
        <v>1348</v>
      </c>
      <c r="N37">
        <v>1009</v>
      </c>
      <c r="O37" t="s">
        <v>361</v>
      </c>
      <c r="P37" t="s">
        <v>361</v>
      </c>
      <c r="Q37">
        <v>1000</v>
      </c>
      <c r="X37">
        <v>1.0000000000000001E-5</v>
      </c>
      <c r="Y37">
        <v>64123.05</v>
      </c>
      <c r="Z37">
        <v>0</v>
      </c>
      <c r="AA37">
        <v>0</v>
      </c>
      <c r="AB37">
        <v>0</v>
      </c>
      <c r="AC37">
        <v>0</v>
      </c>
      <c r="AD37">
        <v>1</v>
      </c>
      <c r="AE37">
        <v>0</v>
      </c>
      <c r="AF37" t="s">
        <v>29</v>
      </c>
      <c r="AG37">
        <v>0</v>
      </c>
      <c r="AH37">
        <v>2</v>
      </c>
      <c r="AI37">
        <v>57014854</v>
      </c>
      <c r="AJ37">
        <v>31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</row>
    <row r="38" spans="1:44" x14ac:dyDescent="0.25">
      <c r="A38">
        <f>ROW(Source!A36)</f>
        <v>36</v>
      </c>
      <c r="B38">
        <v>57014861</v>
      </c>
      <c r="C38">
        <v>57014849</v>
      </c>
      <c r="D38">
        <v>55469253</v>
      </c>
      <c r="E38">
        <v>1</v>
      </c>
      <c r="F38">
        <v>1</v>
      </c>
      <c r="G38">
        <v>1081</v>
      </c>
      <c r="H38">
        <v>3</v>
      </c>
      <c r="I38" t="s">
        <v>421</v>
      </c>
      <c r="J38" t="s">
        <v>422</v>
      </c>
      <c r="K38" t="s">
        <v>423</v>
      </c>
      <c r="L38">
        <v>1354</v>
      </c>
      <c r="N38">
        <v>1010</v>
      </c>
      <c r="O38" t="s">
        <v>251</v>
      </c>
      <c r="P38" t="s">
        <v>251</v>
      </c>
      <c r="Q38">
        <v>1</v>
      </c>
      <c r="X38">
        <v>0.1</v>
      </c>
      <c r="Y38">
        <v>15.25</v>
      </c>
      <c r="Z38">
        <v>0</v>
      </c>
      <c r="AA38">
        <v>0</v>
      </c>
      <c r="AB38">
        <v>0</v>
      </c>
      <c r="AC38">
        <v>0</v>
      </c>
      <c r="AD38">
        <v>1</v>
      </c>
      <c r="AE38">
        <v>0</v>
      </c>
      <c r="AF38" t="s">
        <v>29</v>
      </c>
      <c r="AG38">
        <v>0</v>
      </c>
      <c r="AH38">
        <v>2</v>
      </c>
      <c r="AI38">
        <v>57014855</v>
      </c>
      <c r="AJ38">
        <v>32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</row>
    <row r="39" spans="1:44" x14ac:dyDescent="0.25">
      <c r="A39">
        <f>ROW(Source!A36)</f>
        <v>36</v>
      </c>
      <c r="B39">
        <v>57014862</v>
      </c>
      <c r="C39">
        <v>57014849</v>
      </c>
      <c r="D39">
        <v>55441128</v>
      </c>
      <c r="E39">
        <v>1081</v>
      </c>
      <c r="F39">
        <v>1</v>
      </c>
      <c r="G39">
        <v>1081</v>
      </c>
      <c r="H39">
        <v>3</v>
      </c>
      <c r="I39" t="s">
        <v>485</v>
      </c>
      <c r="J39" t="s">
        <v>3</v>
      </c>
      <c r="K39" t="s">
        <v>486</v>
      </c>
      <c r="L39">
        <v>1354</v>
      </c>
      <c r="N39">
        <v>1010</v>
      </c>
      <c r="O39" t="s">
        <v>251</v>
      </c>
      <c r="P39" t="s">
        <v>251</v>
      </c>
      <c r="Q39">
        <v>1</v>
      </c>
      <c r="X39">
        <v>1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 t="s">
        <v>29</v>
      </c>
      <c r="AG39">
        <v>0</v>
      </c>
      <c r="AH39">
        <v>3</v>
      </c>
      <c r="AI39">
        <v>-1</v>
      </c>
      <c r="AJ39" t="s">
        <v>3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</row>
    <row r="40" spans="1:44" x14ac:dyDescent="0.25">
      <c r="A40">
        <f>ROW(Source!A37)</f>
        <v>37</v>
      </c>
      <c r="B40">
        <v>57014856</v>
      </c>
      <c r="C40">
        <v>57014849</v>
      </c>
      <c r="D40">
        <v>55424304</v>
      </c>
      <c r="E40">
        <v>1081</v>
      </c>
      <c r="F40">
        <v>1</v>
      </c>
      <c r="G40">
        <v>1081</v>
      </c>
      <c r="H40">
        <v>1</v>
      </c>
      <c r="I40" t="s">
        <v>385</v>
      </c>
      <c r="J40" t="s">
        <v>3</v>
      </c>
      <c r="K40" t="s">
        <v>386</v>
      </c>
      <c r="L40">
        <v>1191</v>
      </c>
      <c r="N40">
        <v>1013</v>
      </c>
      <c r="O40" t="s">
        <v>387</v>
      </c>
      <c r="P40" t="s">
        <v>387</v>
      </c>
      <c r="Q40">
        <v>1</v>
      </c>
      <c r="X40">
        <v>1.36</v>
      </c>
      <c r="Y40">
        <v>0</v>
      </c>
      <c r="Z40">
        <v>0</v>
      </c>
      <c r="AA40">
        <v>0</v>
      </c>
      <c r="AB40">
        <v>0</v>
      </c>
      <c r="AC40">
        <v>0</v>
      </c>
      <c r="AD40">
        <v>1</v>
      </c>
      <c r="AE40">
        <v>1</v>
      </c>
      <c r="AF40" t="s">
        <v>30</v>
      </c>
      <c r="AG40">
        <v>0.48960000000000004</v>
      </c>
      <c r="AH40">
        <v>2</v>
      </c>
      <c r="AI40">
        <v>57014850</v>
      </c>
      <c r="AJ40">
        <v>33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</row>
    <row r="41" spans="1:44" x14ac:dyDescent="0.25">
      <c r="A41">
        <f>ROW(Source!A37)</f>
        <v>37</v>
      </c>
      <c r="B41">
        <v>57014857</v>
      </c>
      <c r="C41">
        <v>57014849</v>
      </c>
      <c r="D41">
        <v>55490330</v>
      </c>
      <c r="E41">
        <v>1</v>
      </c>
      <c r="F41">
        <v>1</v>
      </c>
      <c r="G41">
        <v>1081</v>
      </c>
      <c r="H41">
        <v>2</v>
      </c>
      <c r="I41" t="s">
        <v>403</v>
      </c>
      <c r="J41" t="s">
        <v>404</v>
      </c>
      <c r="K41" t="s">
        <v>405</v>
      </c>
      <c r="L41">
        <v>1368</v>
      </c>
      <c r="N41">
        <v>1011</v>
      </c>
      <c r="O41" t="s">
        <v>391</v>
      </c>
      <c r="P41" t="s">
        <v>391</v>
      </c>
      <c r="Q41">
        <v>1</v>
      </c>
      <c r="X41">
        <v>1.7000000000000001E-2</v>
      </c>
      <c r="Y41">
        <v>0</v>
      </c>
      <c r="Z41">
        <v>0.8</v>
      </c>
      <c r="AA41">
        <v>0</v>
      </c>
      <c r="AB41">
        <v>0</v>
      </c>
      <c r="AC41">
        <v>0</v>
      </c>
      <c r="AD41">
        <v>1</v>
      </c>
      <c r="AE41">
        <v>0</v>
      </c>
      <c r="AF41" t="s">
        <v>30</v>
      </c>
      <c r="AG41">
        <v>6.1200000000000004E-3</v>
      </c>
      <c r="AH41">
        <v>2</v>
      </c>
      <c r="AI41">
        <v>57014851</v>
      </c>
      <c r="AJ41">
        <v>34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</row>
    <row r="42" spans="1:44" x14ac:dyDescent="0.25">
      <c r="A42">
        <f>ROW(Source!A37)</f>
        <v>37</v>
      </c>
      <c r="B42">
        <v>57014858</v>
      </c>
      <c r="C42">
        <v>57014849</v>
      </c>
      <c r="D42">
        <v>55490296</v>
      </c>
      <c r="E42">
        <v>1</v>
      </c>
      <c r="F42">
        <v>1</v>
      </c>
      <c r="G42">
        <v>1081</v>
      </c>
      <c r="H42">
        <v>2</v>
      </c>
      <c r="I42" t="s">
        <v>415</v>
      </c>
      <c r="J42" t="s">
        <v>416</v>
      </c>
      <c r="K42" t="s">
        <v>417</v>
      </c>
      <c r="L42">
        <v>1368</v>
      </c>
      <c r="N42">
        <v>1011</v>
      </c>
      <c r="O42" t="s">
        <v>391</v>
      </c>
      <c r="P42" t="s">
        <v>391</v>
      </c>
      <c r="Q42">
        <v>1</v>
      </c>
      <c r="X42">
        <v>0.02</v>
      </c>
      <c r="Y42">
        <v>0</v>
      </c>
      <c r="Z42">
        <v>0.47</v>
      </c>
      <c r="AA42">
        <v>0</v>
      </c>
      <c r="AB42">
        <v>0</v>
      </c>
      <c r="AC42">
        <v>0</v>
      </c>
      <c r="AD42">
        <v>1</v>
      </c>
      <c r="AE42">
        <v>0</v>
      </c>
      <c r="AF42" t="s">
        <v>30</v>
      </c>
      <c r="AG42">
        <v>7.1999999999999998E-3</v>
      </c>
      <c r="AH42">
        <v>2</v>
      </c>
      <c r="AI42">
        <v>57014852</v>
      </c>
      <c r="AJ42">
        <v>35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</row>
    <row r="43" spans="1:44" x14ac:dyDescent="0.25">
      <c r="A43">
        <f>ROW(Source!A37)</f>
        <v>37</v>
      </c>
      <c r="B43">
        <v>57014859</v>
      </c>
      <c r="C43">
        <v>57014849</v>
      </c>
      <c r="D43">
        <v>55461074</v>
      </c>
      <c r="E43">
        <v>1</v>
      </c>
      <c r="F43">
        <v>1</v>
      </c>
      <c r="G43">
        <v>1081</v>
      </c>
      <c r="H43">
        <v>3</v>
      </c>
      <c r="I43" t="s">
        <v>418</v>
      </c>
      <c r="J43" t="s">
        <v>419</v>
      </c>
      <c r="K43" t="s">
        <v>420</v>
      </c>
      <c r="L43">
        <v>1346</v>
      </c>
      <c r="N43">
        <v>1009</v>
      </c>
      <c r="O43" t="s">
        <v>365</v>
      </c>
      <c r="P43" t="s">
        <v>365</v>
      </c>
      <c r="Q43">
        <v>1</v>
      </c>
      <c r="X43">
        <v>6.2700000000000004E-3</v>
      </c>
      <c r="Y43">
        <v>27.62</v>
      </c>
      <c r="Z43">
        <v>0</v>
      </c>
      <c r="AA43">
        <v>0</v>
      </c>
      <c r="AB43">
        <v>0</v>
      </c>
      <c r="AC43">
        <v>0</v>
      </c>
      <c r="AD43">
        <v>1</v>
      </c>
      <c r="AE43">
        <v>0</v>
      </c>
      <c r="AF43" t="s">
        <v>29</v>
      </c>
      <c r="AG43">
        <v>0</v>
      </c>
      <c r="AH43">
        <v>2</v>
      </c>
      <c r="AI43">
        <v>57014853</v>
      </c>
      <c r="AJ43">
        <v>36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</row>
    <row r="44" spans="1:44" x14ac:dyDescent="0.25">
      <c r="A44">
        <f>ROW(Source!A37)</f>
        <v>37</v>
      </c>
      <c r="B44">
        <v>57014860</v>
      </c>
      <c r="C44">
        <v>57014849</v>
      </c>
      <c r="D44">
        <v>55459793</v>
      </c>
      <c r="E44">
        <v>1</v>
      </c>
      <c r="F44">
        <v>1</v>
      </c>
      <c r="G44">
        <v>1081</v>
      </c>
      <c r="H44">
        <v>3</v>
      </c>
      <c r="I44" t="s">
        <v>412</v>
      </c>
      <c r="J44" t="s">
        <v>413</v>
      </c>
      <c r="K44" t="s">
        <v>414</v>
      </c>
      <c r="L44">
        <v>1348</v>
      </c>
      <c r="N44">
        <v>1009</v>
      </c>
      <c r="O44" t="s">
        <v>361</v>
      </c>
      <c r="P44" t="s">
        <v>361</v>
      </c>
      <c r="Q44">
        <v>1000</v>
      </c>
      <c r="X44">
        <v>1.0000000000000001E-5</v>
      </c>
      <c r="Y44">
        <v>64123.05</v>
      </c>
      <c r="Z44">
        <v>0</v>
      </c>
      <c r="AA44">
        <v>0</v>
      </c>
      <c r="AB44">
        <v>0</v>
      </c>
      <c r="AC44">
        <v>0</v>
      </c>
      <c r="AD44">
        <v>1</v>
      </c>
      <c r="AE44">
        <v>0</v>
      </c>
      <c r="AF44" t="s">
        <v>29</v>
      </c>
      <c r="AG44">
        <v>0</v>
      </c>
      <c r="AH44">
        <v>2</v>
      </c>
      <c r="AI44">
        <v>57014854</v>
      </c>
      <c r="AJ44">
        <v>37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</row>
    <row r="45" spans="1:44" x14ac:dyDescent="0.25">
      <c r="A45">
        <f>ROW(Source!A37)</f>
        <v>37</v>
      </c>
      <c r="B45">
        <v>57014861</v>
      </c>
      <c r="C45">
        <v>57014849</v>
      </c>
      <c r="D45">
        <v>55469253</v>
      </c>
      <c r="E45">
        <v>1</v>
      </c>
      <c r="F45">
        <v>1</v>
      </c>
      <c r="G45">
        <v>1081</v>
      </c>
      <c r="H45">
        <v>3</v>
      </c>
      <c r="I45" t="s">
        <v>421</v>
      </c>
      <c r="J45" t="s">
        <v>422</v>
      </c>
      <c r="K45" t="s">
        <v>423</v>
      </c>
      <c r="L45">
        <v>1354</v>
      </c>
      <c r="N45">
        <v>1010</v>
      </c>
      <c r="O45" t="s">
        <v>251</v>
      </c>
      <c r="P45" t="s">
        <v>251</v>
      </c>
      <c r="Q45">
        <v>1</v>
      </c>
      <c r="X45">
        <v>0.1</v>
      </c>
      <c r="Y45">
        <v>15.25</v>
      </c>
      <c r="Z45">
        <v>0</v>
      </c>
      <c r="AA45">
        <v>0</v>
      </c>
      <c r="AB45">
        <v>0</v>
      </c>
      <c r="AC45">
        <v>0</v>
      </c>
      <c r="AD45">
        <v>1</v>
      </c>
      <c r="AE45">
        <v>0</v>
      </c>
      <c r="AF45" t="s">
        <v>29</v>
      </c>
      <c r="AG45">
        <v>0</v>
      </c>
      <c r="AH45">
        <v>2</v>
      </c>
      <c r="AI45">
        <v>57014855</v>
      </c>
      <c r="AJ45">
        <v>38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</row>
    <row r="46" spans="1:44" x14ac:dyDescent="0.25">
      <c r="A46">
        <f>ROW(Source!A37)</f>
        <v>37</v>
      </c>
      <c r="B46">
        <v>57014862</v>
      </c>
      <c r="C46">
        <v>57014849</v>
      </c>
      <c r="D46">
        <v>55441128</v>
      </c>
      <c r="E46">
        <v>1081</v>
      </c>
      <c r="F46">
        <v>1</v>
      </c>
      <c r="G46">
        <v>1081</v>
      </c>
      <c r="H46">
        <v>3</v>
      </c>
      <c r="I46" t="s">
        <v>485</v>
      </c>
      <c r="J46" t="s">
        <v>3</v>
      </c>
      <c r="K46" t="s">
        <v>486</v>
      </c>
      <c r="L46">
        <v>1354</v>
      </c>
      <c r="N46">
        <v>1010</v>
      </c>
      <c r="O46" t="s">
        <v>251</v>
      </c>
      <c r="P46" t="s">
        <v>251</v>
      </c>
      <c r="Q46">
        <v>1</v>
      </c>
      <c r="X46">
        <v>1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 t="s">
        <v>29</v>
      </c>
      <c r="AG46">
        <v>0</v>
      </c>
      <c r="AH46">
        <v>3</v>
      </c>
      <c r="AI46">
        <v>-1</v>
      </c>
      <c r="AJ46" t="s">
        <v>3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</row>
    <row r="47" spans="1:44" x14ac:dyDescent="0.25">
      <c r="A47">
        <f>ROW(Source!A38)</f>
        <v>38</v>
      </c>
      <c r="B47">
        <v>57014865</v>
      </c>
      <c r="C47">
        <v>57014863</v>
      </c>
      <c r="D47">
        <v>55424304</v>
      </c>
      <c r="E47">
        <v>1081</v>
      </c>
      <c r="F47">
        <v>1</v>
      </c>
      <c r="G47">
        <v>1081</v>
      </c>
      <c r="H47">
        <v>1</v>
      </c>
      <c r="I47" t="s">
        <v>385</v>
      </c>
      <c r="J47" t="s">
        <v>3</v>
      </c>
      <c r="K47" t="s">
        <v>386</v>
      </c>
      <c r="L47">
        <v>1191</v>
      </c>
      <c r="N47">
        <v>1013</v>
      </c>
      <c r="O47" t="s">
        <v>387</v>
      </c>
      <c r="P47" t="s">
        <v>387</v>
      </c>
      <c r="Q47">
        <v>1</v>
      </c>
      <c r="X47">
        <v>1.68</v>
      </c>
      <c r="Y47">
        <v>0</v>
      </c>
      <c r="Z47">
        <v>0</v>
      </c>
      <c r="AA47">
        <v>0</v>
      </c>
      <c r="AB47">
        <v>0</v>
      </c>
      <c r="AC47">
        <v>0</v>
      </c>
      <c r="AD47">
        <v>1</v>
      </c>
      <c r="AE47">
        <v>1</v>
      </c>
      <c r="AF47" t="s">
        <v>30</v>
      </c>
      <c r="AG47">
        <v>0.6048</v>
      </c>
      <c r="AH47">
        <v>2</v>
      </c>
      <c r="AI47">
        <v>57014864</v>
      </c>
      <c r="AJ47">
        <v>39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</row>
    <row r="48" spans="1:44" x14ac:dyDescent="0.25">
      <c r="A48">
        <f>ROW(Source!A39)</f>
        <v>39</v>
      </c>
      <c r="B48">
        <v>57014865</v>
      </c>
      <c r="C48">
        <v>57014863</v>
      </c>
      <c r="D48">
        <v>55424304</v>
      </c>
      <c r="E48">
        <v>1081</v>
      </c>
      <c r="F48">
        <v>1</v>
      </c>
      <c r="G48">
        <v>1081</v>
      </c>
      <c r="H48">
        <v>1</v>
      </c>
      <c r="I48" t="s">
        <v>385</v>
      </c>
      <c r="J48" t="s">
        <v>3</v>
      </c>
      <c r="K48" t="s">
        <v>386</v>
      </c>
      <c r="L48">
        <v>1191</v>
      </c>
      <c r="N48">
        <v>1013</v>
      </c>
      <c r="O48" t="s">
        <v>387</v>
      </c>
      <c r="P48" t="s">
        <v>387</v>
      </c>
      <c r="Q48">
        <v>1</v>
      </c>
      <c r="X48">
        <v>1.68</v>
      </c>
      <c r="Y48">
        <v>0</v>
      </c>
      <c r="Z48">
        <v>0</v>
      </c>
      <c r="AA48">
        <v>0</v>
      </c>
      <c r="AB48">
        <v>0</v>
      </c>
      <c r="AC48">
        <v>0</v>
      </c>
      <c r="AD48">
        <v>1</v>
      </c>
      <c r="AE48">
        <v>1</v>
      </c>
      <c r="AF48" t="s">
        <v>30</v>
      </c>
      <c r="AG48">
        <v>0.6048</v>
      </c>
      <c r="AH48">
        <v>2</v>
      </c>
      <c r="AI48">
        <v>57014864</v>
      </c>
      <c r="AJ48">
        <v>40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</row>
    <row r="49" spans="1:44" x14ac:dyDescent="0.25">
      <c r="A49">
        <f>ROW(Source!A40)</f>
        <v>40</v>
      </c>
      <c r="B49">
        <v>57014871</v>
      </c>
      <c r="C49">
        <v>57014866</v>
      </c>
      <c r="D49">
        <v>55424304</v>
      </c>
      <c r="E49">
        <v>1081</v>
      </c>
      <c r="F49">
        <v>1</v>
      </c>
      <c r="G49">
        <v>1081</v>
      </c>
      <c r="H49">
        <v>1</v>
      </c>
      <c r="I49" t="s">
        <v>385</v>
      </c>
      <c r="J49" t="s">
        <v>3</v>
      </c>
      <c r="K49" t="s">
        <v>386</v>
      </c>
      <c r="L49">
        <v>1191</v>
      </c>
      <c r="N49">
        <v>1013</v>
      </c>
      <c r="O49" t="s">
        <v>387</v>
      </c>
      <c r="P49" t="s">
        <v>387</v>
      </c>
      <c r="Q49">
        <v>1</v>
      </c>
      <c r="X49">
        <v>2</v>
      </c>
      <c r="Y49">
        <v>0</v>
      </c>
      <c r="Z49">
        <v>0</v>
      </c>
      <c r="AA49">
        <v>0</v>
      </c>
      <c r="AB49">
        <v>0</v>
      </c>
      <c r="AC49">
        <v>0</v>
      </c>
      <c r="AD49">
        <v>1</v>
      </c>
      <c r="AE49">
        <v>1</v>
      </c>
      <c r="AF49" t="s">
        <v>30</v>
      </c>
      <c r="AG49">
        <v>0.72</v>
      </c>
      <c r="AH49">
        <v>2</v>
      </c>
      <c r="AI49">
        <v>57014867</v>
      </c>
      <c r="AJ49">
        <v>41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</row>
    <row r="50" spans="1:44" x14ac:dyDescent="0.25">
      <c r="A50">
        <f>ROW(Source!A40)</f>
        <v>40</v>
      </c>
      <c r="B50">
        <v>57014872</v>
      </c>
      <c r="C50">
        <v>57014866</v>
      </c>
      <c r="D50">
        <v>55460240</v>
      </c>
      <c r="E50">
        <v>1</v>
      </c>
      <c r="F50">
        <v>1</v>
      </c>
      <c r="G50">
        <v>1081</v>
      </c>
      <c r="H50">
        <v>3</v>
      </c>
      <c r="I50" t="s">
        <v>424</v>
      </c>
      <c r="J50" t="s">
        <v>425</v>
      </c>
      <c r="K50" t="s">
        <v>426</v>
      </c>
      <c r="L50">
        <v>1348</v>
      </c>
      <c r="N50">
        <v>1009</v>
      </c>
      <c r="O50" t="s">
        <v>361</v>
      </c>
      <c r="P50" t="s">
        <v>361</v>
      </c>
      <c r="Q50">
        <v>1000</v>
      </c>
      <c r="X50">
        <v>1.4999999999999999E-4</v>
      </c>
      <c r="Y50">
        <v>17742.23</v>
      </c>
      <c r="Z50">
        <v>0</v>
      </c>
      <c r="AA50">
        <v>0</v>
      </c>
      <c r="AB50">
        <v>0</v>
      </c>
      <c r="AC50">
        <v>0</v>
      </c>
      <c r="AD50">
        <v>1</v>
      </c>
      <c r="AE50">
        <v>0</v>
      </c>
      <c r="AF50" t="s">
        <v>29</v>
      </c>
      <c r="AG50">
        <v>0</v>
      </c>
      <c r="AH50">
        <v>2</v>
      </c>
      <c r="AI50">
        <v>57014868</v>
      </c>
      <c r="AJ50">
        <v>42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</row>
    <row r="51" spans="1:44" x14ac:dyDescent="0.25">
      <c r="A51">
        <f>ROW(Source!A40)</f>
        <v>40</v>
      </c>
      <c r="B51">
        <v>57014873</v>
      </c>
      <c r="C51">
        <v>57014866</v>
      </c>
      <c r="D51">
        <v>55482233</v>
      </c>
      <c r="E51">
        <v>1</v>
      </c>
      <c r="F51">
        <v>1</v>
      </c>
      <c r="G51">
        <v>1081</v>
      </c>
      <c r="H51">
        <v>3</v>
      </c>
      <c r="I51" t="s">
        <v>427</v>
      </c>
      <c r="J51" t="s">
        <v>428</v>
      </c>
      <c r="K51" t="s">
        <v>429</v>
      </c>
      <c r="L51">
        <v>1346</v>
      </c>
      <c r="N51">
        <v>1009</v>
      </c>
      <c r="O51" t="s">
        <v>365</v>
      </c>
      <c r="P51" t="s">
        <v>365</v>
      </c>
      <c r="Q51">
        <v>1</v>
      </c>
      <c r="X51">
        <v>1.4999999999999999E-2</v>
      </c>
      <c r="Y51">
        <v>493.08</v>
      </c>
      <c r="Z51">
        <v>0</v>
      </c>
      <c r="AA51">
        <v>0</v>
      </c>
      <c r="AB51">
        <v>0</v>
      </c>
      <c r="AC51">
        <v>0</v>
      </c>
      <c r="AD51">
        <v>1</v>
      </c>
      <c r="AE51">
        <v>0</v>
      </c>
      <c r="AF51" t="s">
        <v>29</v>
      </c>
      <c r="AG51">
        <v>0</v>
      </c>
      <c r="AH51">
        <v>2</v>
      </c>
      <c r="AI51">
        <v>57014869</v>
      </c>
      <c r="AJ51">
        <v>43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</row>
    <row r="52" spans="1:44" x14ac:dyDescent="0.25">
      <c r="A52">
        <f>ROW(Source!A40)</f>
        <v>40</v>
      </c>
      <c r="B52">
        <v>57014874</v>
      </c>
      <c r="C52">
        <v>57014866</v>
      </c>
      <c r="D52">
        <v>55488138</v>
      </c>
      <c r="E52">
        <v>1</v>
      </c>
      <c r="F52">
        <v>1</v>
      </c>
      <c r="G52">
        <v>1081</v>
      </c>
      <c r="H52">
        <v>3</v>
      </c>
      <c r="I52" t="s">
        <v>430</v>
      </c>
      <c r="J52" t="s">
        <v>431</v>
      </c>
      <c r="K52" t="s">
        <v>432</v>
      </c>
      <c r="L52">
        <v>1303</v>
      </c>
      <c r="N52">
        <v>1003</v>
      </c>
      <c r="O52" t="s">
        <v>433</v>
      </c>
      <c r="P52" t="s">
        <v>433</v>
      </c>
      <c r="Q52">
        <v>1000</v>
      </c>
      <c r="X52">
        <v>5.0000000000000001E-3</v>
      </c>
      <c r="Y52">
        <v>2880.4</v>
      </c>
      <c r="Z52">
        <v>0</v>
      </c>
      <c r="AA52">
        <v>0</v>
      </c>
      <c r="AB52">
        <v>0</v>
      </c>
      <c r="AC52">
        <v>0</v>
      </c>
      <c r="AD52">
        <v>1</v>
      </c>
      <c r="AE52">
        <v>0</v>
      </c>
      <c r="AF52" t="s">
        <v>29</v>
      </c>
      <c r="AG52">
        <v>0</v>
      </c>
      <c r="AH52">
        <v>2</v>
      </c>
      <c r="AI52">
        <v>57014870</v>
      </c>
      <c r="AJ52">
        <v>44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</row>
    <row r="53" spans="1:44" x14ac:dyDescent="0.25">
      <c r="A53">
        <f>ROW(Source!A40)</f>
        <v>40</v>
      </c>
      <c r="B53">
        <v>57014875</v>
      </c>
      <c r="C53">
        <v>57014866</v>
      </c>
      <c r="D53">
        <v>55455625</v>
      </c>
      <c r="E53">
        <v>1081</v>
      </c>
      <c r="F53">
        <v>1</v>
      </c>
      <c r="G53">
        <v>1081</v>
      </c>
      <c r="H53">
        <v>3</v>
      </c>
      <c r="I53" t="s">
        <v>487</v>
      </c>
      <c r="J53" t="s">
        <v>3</v>
      </c>
      <c r="K53" t="s">
        <v>488</v>
      </c>
      <c r="L53">
        <v>1354</v>
      </c>
      <c r="N53">
        <v>1010</v>
      </c>
      <c r="O53" t="s">
        <v>251</v>
      </c>
      <c r="P53" t="s">
        <v>251</v>
      </c>
      <c r="Q53">
        <v>1</v>
      </c>
      <c r="X53">
        <v>1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 t="s">
        <v>29</v>
      </c>
      <c r="AG53">
        <v>0</v>
      </c>
      <c r="AH53">
        <v>3</v>
      </c>
      <c r="AI53">
        <v>-1</v>
      </c>
      <c r="AJ53" t="s">
        <v>3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</row>
    <row r="54" spans="1:44" x14ac:dyDescent="0.25">
      <c r="A54">
        <f>ROW(Source!A41)</f>
        <v>41</v>
      </c>
      <c r="B54">
        <v>57014871</v>
      </c>
      <c r="C54">
        <v>57014866</v>
      </c>
      <c r="D54">
        <v>55424304</v>
      </c>
      <c r="E54">
        <v>1081</v>
      </c>
      <c r="F54">
        <v>1</v>
      </c>
      <c r="G54">
        <v>1081</v>
      </c>
      <c r="H54">
        <v>1</v>
      </c>
      <c r="I54" t="s">
        <v>385</v>
      </c>
      <c r="J54" t="s">
        <v>3</v>
      </c>
      <c r="K54" t="s">
        <v>386</v>
      </c>
      <c r="L54">
        <v>1191</v>
      </c>
      <c r="N54">
        <v>1013</v>
      </c>
      <c r="O54" t="s">
        <v>387</v>
      </c>
      <c r="P54" t="s">
        <v>387</v>
      </c>
      <c r="Q54">
        <v>1</v>
      </c>
      <c r="X54">
        <v>2</v>
      </c>
      <c r="Y54">
        <v>0</v>
      </c>
      <c r="Z54">
        <v>0</v>
      </c>
      <c r="AA54">
        <v>0</v>
      </c>
      <c r="AB54">
        <v>0</v>
      </c>
      <c r="AC54">
        <v>0</v>
      </c>
      <c r="AD54">
        <v>1</v>
      </c>
      <c r="AE54">
        <v>1</v>
      </c>
      <c r="AF54" t="s">
        <v>30</v>
      </c>
      <c r="AG54">
        <v>0.72</v>
      </c>
      <c r="AH54">
        <v>2</v>
      </c>
      <c r="AI54">
        <v>57014867</v>
      </c>
      <c r="AJ54">
        <v>45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</row>
    <row r="55" spans="1:44" x14ac:dyDescent="0.25">
      <c r="A55">
        <f>ROW(Source!A41)</f>
        <v>41</v>
      </c>
      <c r="B55">
        <v>57014872</v>
      </c>
      <c r="C55">
        <v>57014866</v>
      </c>
      <c r="D55">
        <v>55460240</v>
      </c>
      <c r="E55">
        <v>1</v>
      </c>
      <c r="F55">
        <v>1</v>
      </c>
      <c r="G55">
        <v>1081</v>
      </c>
      <c r="H55">
        <v>3</v>
      </c>
      <c r="I55" t="s">
        <v>424</v>
      </c>
      <c r="J55" t="s">
        <v>425</v>
      </c>
      <c r="K55" t="s">
        <v>426</v>
      </c>
      <c r="L55">
        <v>1348</v>
      </c>
      <c r="N55">
        <v>1009</v>
      </c>
      <c r="O55" t="s">
        <v>361</v>
      </c>
      <c r="P55" t="s">
        <v>361</v>
      </c>
      <c r="Q55">
        <v>1000</v>
      </c>
      <c r="X55">
        <v>1.4999999999999999E-4</v>
      </c>
      <c r="Y55">
        <v>17742.23</v>
      </c>
      <c r="Z55">
        <v>0</v>
      </c>
      <c r="AA55">
        <v>0</v>
      </c>
      <c r="AB55">
        <v>0</v>
      </c>
      <c r="AC55">
        <v>0</v>
      </c>
      <c r="AD55">
        <v>1</v>
      </c>
      <c r="AE55">
        <v>0</v>
      </c>
      <c r="AF55" t="s">
        <v>29</v>
      </c>
      <c r="AG55">
        <v>0</v>
      </c>
      <c r="AH55">
        <v>2</v>
      </c>
      <c r="AI55">
        <v>57014868</v>
      </c>
      <c r="AJ55">
        <v>46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</row>
    <row r="56" spans="1:44" x14ac:dyDescent="0.25">
      <c r="A56">
        <f>ROW(Source!A41)</f>
        <v>41</v>
      </c>
      <c r="B56">
        <v>57014873</v>
      </c>
      <c r="C56">
        <v>57014866</v>
      </c>
      <c r="D56">
        <v>55482233</v>
      </c>
      <c r="E56">
        <v>1</v>
      </c>
      <c r="F56">
        <v>1</v>
      </c>
      <c r="G56">
        <v>1081</v>
      </c>
      <c r="H56">
        <v>3</v>
      </c>
      <c r="I56" t="s">
        <v>427</v>
      </c>
      <c r="J56" t="s">
        <v>428</v>
      </c>
      <c r="K56" t="s">
        <v>429</v>
      </c>
      <c r="L56">
        <v>1346</v>
      </c>
      <c r="N56">
        <v>1009</v>
      </c>
      <c r="O56" t="s">
        <v>365</v>
      </c>
      <c r="P56" t="s">
        <v>365</v>
      </c>
      <c r="Q56">
        <v>1</v>
      </c>
      <c r="X56">
        <v>1.4999999999999999E-2</v>
      </c>
      <c r="Y56">
        <v>493.08</v>
      </c>
      <c r="Z56">
        <v>0</v>
      </c>
      <c r="AA56">
        <v>0</v>
      </c>
      <c r="AB56">
        <v>0</v>
      </c>
      <c r="AC56">
        <v>0</v>
      </c>
      <c r="AD56">
        <v>1</v>
      </c>
      <c r="AE56">
        <v>0</v>
      </c>
      <c r="AF56" t="s">
        <v>29</v>
      </c>
      <c r="AG56">
        <v>0</v>
      </c>
      <c r="AH56">
        <v>2</v>
      </c>
      <c r="AI56">
        <v>57014869</v>
      </c>
      <c r="AJ56">
        <v>47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</row>
    <row r="57" spans="1:44" x14ac:dyDescent="0.25">
      <c r="A57">
        <f>ROW(Source!A41)</f>
        <v>41</v>
      </c>
      <c r="B57">
        <v>57014874</v>
      </c>
      <c r="C57">
        <v>57014866</v>
      </c>
      <c r="D57">
        <v>55488138</v>
      </c>
      <c r="E57">
        <v>1</v>
      </c>
      <c r="F57">
        <v>1</v>
      </c>
      <c r="G57">
        <v>1081</v>
      </c>
      <c r="H57">
        <v>3</v>
      </c>
      <c r="I57" t="s">
        <v>430</v>
      </c>
      <c r="J57" t="s">
        <v>431</v>
      </c>
      <c r="K57" t="s">
        <v>432</v>
      </c>
      <c r="L57">
        <v>1303</v>
      </c>
      <c r="N57">
        <v>1003</v>
      </c>
      <c r="O57" t="s">
        <v>433</v>
      </c>
      <c r="P57" t="s">
        <v>433</v>
      </c>
      <c r="Q57">
        <v>1000</v>
      </c>
      <c r="X57">
        <v>5.0000000000000001E-3</v>
      </c>
      <c r="Y57">
        <v>2880.4</v>
      </c>
      <c r="Z57">
        <v>0</v>
      </c>
      <c r="AA57">
        <v>0</v>
      </c>
      <c r="AB57">
        <v>0</v>
      </c>
      <c r="AC57">
        <v>0</v>
      </c>
      <c r="AD57">
        <v>1</v>
      </c>
      <c r="AE57">
        <v>0</v>
      </c>
      <c r="AF57" t="s">
        <v>29</v>
      </c>
      <c r="AG57">
        <v>0</v>
      </c>
      <c r="AH57">
        <v>2</v>
      </c>
      <c r="AI57">
        <v>57014870</v>
      </c>
      <c r="AJ57">
        <v>48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</row>
    <row r="58" spans="1:44" x14ac:dyDescent="0.25">
      <c r="A58">
        <f>ROW(Source!A41)</f>
        <v>41</v>
      </c>
      <c r="B58">
        <v>57014875</v>
      </c>
      <c r="C58">
        <v>57014866</v>
      </c>
      <c r="D58">
        <v>55455625</v>
      </c>
      <c r="E58">
        <v>1081</v>
      </c>
      <c r="F58">
        <v>1</v>
      </c>
      <c r="G58">
        <v>1081</v>
      </c>
      <c r="H58">
        <v>3</v>
      </c>
      <c r="I58" t="s">
        <v>487</v>
      </c>
      <c r="J58" t="s">
        <v>3</v>
      </c>
      <c r="K58" t="s">
        <v>488</v>
      </c>
      <c r="L58">
        <v>1354</v>
      </c>
      <c r="N58">
        <v>1010</v>
      </c>
      <c r="O58" t="s">
        <v>251</v>
      </c>
      <c r="P58" t="s">
        <v>251</v>
      </c>
      <c r="Q58">
        <v>1</v>
      </c>
      <c r="X58">
        <v>1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 t="s">
        <v>29</v>
      </c>
      <c r="AG58">
        <v>0</v>
      </c>
      <c r="AH58">
        <v>3</v>
      </c>
      <c r="AI58">
        <v>-1</v>
      </c>
      <c r="AJ58" t="s">
        <v>3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</row>
    <row r="59" spans="1:44" x14ac:dyDescent="0.25">
      <c r="A59">
        <f>ROW(Source!A42)</f>
        <v>42</v>
      </c>
      <c r="B59">
        <v>57014882</v>
      </c>
      <c r="C59">
        <v>57014876</v>
      </c>
      <c r="D59">
        <v>55424304</v>
      </c>
      <c r="E59">
        <v>1081</v>
      </c>
      <c r="F59">
        <v>1</v>
      </c>
      <c r="G59">
        <v>1081</v>
      </c>
      <c r="H59">
        <v>1</v>
      </c>
      <c r="I59" t="s">
        <v>385</v>
      </c>
      <c r="J59" t="s">
        <v>3</v>
      </c>
      <c r="K59" t="s">
        <v>386</v>
      </c>
      <c r="L59">
        <v>1191</v>
      </c>
      <c r="N59">
        <v>1013</v>
      </c>
      <c r="O59" t="s">
        <v>387</v>
      </c>
      <c r="P59" t="s">
        <v>387</v>
      </c>
      <c r="Q59">
        <v>1</v>
      </c>
      <c r="X59">
        <v>24</v>
      </c>
      <c r="Y59">
        <v>0</v>
      </c>
      <c r="Z59">
        <v>0</v>
      </c>
      <c r="AA59">
        <v>0</v>
      </c>
      <c r="AB59">
        <v>0</v>
      </c>
      <c r="AC59">
        <v>0</v>
      </c>
      <c r="AD59">
        <v>1</v>
      </c>
      <c r="AE59">
        <v>1</v>
      </c>
      <c r="AF59" t="s">
        <v>30</v>
      </c>
      <c r="AG59">
        <v>8.6399999999999988</v>
      </c>
      <c r="AH59">
        <v>2</v>
      </c>
      <c r="AI59">
        <v>57014877</v>
      </c>
      <c r="AJ59">
        <v>49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</row>
    <row r="60" spans="1:44" x14ac:dyDescent="0.25">
      <c r="A60">
        <f>ROW(Source!A42)</f>
        <v>42</v>
      </c>
      <c r="B60">
        <v>57014883</v>
      </c>
      <c r="C60">
        <v>57014876</v>
      </c>
      <c r="D60">
        <v>55459907</v>
      </c>
      <c r="E60">
        <v>1</v>
      </c>
      <c r="F60">
        <v>1</v>
      </c>
      <c r="G60">
        <v>1081</v>
      </c>
      <c r="H60">
        <v>3</v>
      </c>
      <c r="I60" t="s">
        <v>434</v>
      </c>
      <c r="J60" t="s">
        <v>435</v>
      </c>
      <c r="K60" t="s">
        <v>436</v>
      </c>
      <c r="L60">
        <v>1348</v>
      </c>
      <c r="N60">
        <v>1009</v>
      </c>
      <c r="O60" t="s">
        <v>361</v>
      </c>
      <c r="P60" t="s">
        <v>361</v>
      </c>
      <c r="Q60">
        <v>1000</v>
      </c>
      <c r="X60">
        <v>6.0000000000000001E-3</v>
      </c>
      <c r="Y60">
        <v>7246.05</v>
      </c>
      <c r="Z60">
        <v>0</v>
      </c>
      <c r="AA60">
        <v>0</v>
      </c>
      <c r="AB60">
        <v>0</v>
      </c>
      <c r="AC60">
        <v>0</v>
      </c>
      <c r="AD60">
        <v>1</v>
      </c>
      <c r="AE60">
        <v>0</v>
      </c>
      <c r="AF60" t="s">
        <v>29</v>
      </c>
      <c r="AG60">
        <v>0</v>
      </c>
      <c r="AH60">
        <v>2</v>
      </c>
      <c r="AI60">
        <v>57014878</v>
      </c>
      <c r="AJ60">
        <v>50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</row>
    <row r="61" spans="1:44" x14ac:dyDescent="0.25">
      <c r="A61">
        <f>ROW(Source!A42)</f>
        <v>42</v>
      </c>
      <c r="B61">
        <v>57014884</v>
      </c>
      <c r="C61">
        <v>57014876</v>
      </c>
      <c r="D61">
        <v>55460316</v>
      </c>
      <c r="E61">
        <v>1</v>
      </c>
      <c r="F61">
        <v>1</v>
      </c>
      <c r="G61">
        <v>1081</v>
      </c>
      <c r="H61">
        <v>3</v>
      </c>
      <c r="I61" t="s">
        <v>437</v>
      </c>
      <c r="J61" t="s">
        <v>438</v>
      </c>
      <c r="K61" t="s">
        <v>439</v>
      </c>
      <c r="L61">
        <v>1346</v>
      </c>
      <c r="N61">
        <v>1009</v>
      </c>
      <c r="O61" t="s">
        <v>365</v>
      </c>
      <c r="P61" t="s">
        <v>365</v>
      </c>
      <c r="Q61">
        <v>1</v>
      </c>
      <c r="X61">
        <v>0.2</v>
      </c>
      <c r="Y61">
        <v>104.63</v>
      </c>
      <c r="Z61">
        <v>0</v>
      </c>
      <c r="AA61">
        <v>0</v>
      </c>
      <c r="AB61">
        <v>0</v>
      </c>
      <c r="AC61">
        <v>0</v>
      </c>
      <c r="AD61">
        <v>1</v>
      </c>
      <c r="AE61">
        <v>0</v>
      </c>
      <c r="AF61" t="s">
        <v>29</v>
      </c>
      <c r="AG61">
        <v>0</v>
      </c>
      <c r="AH61">
        <v>2</v>
      </c>
      <c r="AI61">
        <v>57014879</v>
      </c>
      <c r="AJ61">
        <v>51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</row>
    <row r="62" spans="1:44" x14ac:dyDescent="0.25">
      <c r="A62">
        <f>ROW(Source!A42)</f>
        <v>42</v>
      </c>
      <c r="B62">
        <v>57014885</v>
      </c>
      <c r="C62">
        <v>57014876</v>
      </c>
      <c r="D62">
        <v>55461791</v>
      </c>
      <c r="E62">
        <v>1</v>
      </c>
      <c r="F62">
        <v>1</v>
      </c>
      <c r="G62">
        <v>1081</v>
      </c>
      <c r="H62">
        <v>3</v>
      </c>
      <c r="I62" t="s">
        <v>440</v>
      </c>
      <c r="J62" t="s">
        <v>441</v>
      </c>
      <c r="K62" t="s">
        <v>442</v>
      </c>
      <c r="L62">
        <v>1355</v>
      </c>
      <c r="N62">
        <v>1010</v>
      </c>
      <c r="O62" t="s">
        <v>64</v>
      </c>
      <c r="P62" t="s">
        <v>64</v>
      </c>
      <c r="Q62">
        <v>100</v>
      </c>
      <c r="X62">
        <v>2</v>
      </c>
      <c r="Y62">
        <v>10.6</v>
      </c>
      <c r="Z62">
        <v>0</v>
      </c>
      <c r="AA62">
        <v>0</v>
      </c>
      <c r="AB62">
        <v>0</v>
      </c>
      <c r="AC62">
        <v>0</v>
      </c>
      <c r="AD62">
        <v>1</v>
      </c>
      <c r="AE62">
        <v>0</v>
      </c>
      <c r="AF62" t="s">
        <v>29</v>
      </c>
      <c r="AG62">
        <v>0</v>
      </c>
      <c r="AH62">
        <v>2</v>
      </c>
      <c r="AI62">
        <v>57014880</v>
      </c>
      <c r="AJ62">
        <v>52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</row>
    <row r="63" spans="1:44" x14ac:dyDescent="0.25">
      <c r="A63">
        <f>ROW(Source!A42)</f>
        <v>42</v>
      </c>
      <c r="B63">
        <v>57014886</v>
      </c>
      <c r="C63">
        <v>57014876</v>
      </c>
      <c r="D63">
        <v>55448278</v>
      </c>
      <c r="E63">
        <v>1081</v>
      </c>
      <c r="F63">
        <v>1</v>
      </c>
      <c r="G63">
        <v>1081</v>
      </c>
      <c r="H63">
        <v>3</v>
      </c>
      <c r="I63" t="s">
        <v>489</v>
      </c>
      <c r="J63" t="s">
        <v>3</v>
      </c>
      <c r="K63" t="s">
        <v>490</v>
      </c>
      <c r="L63">
        <v>1354</v>
      </c>
      <c r="N63">
        <v>1010</v>
      </c>
      <c r="O63" t="s">
        <v>251</v>
      </c>
      <c r="P63" t="s">
        <v>251</v>
      </c>
      <c r="Q63">
        <v>1</v>
      </c>
      <c r="X63">
        <v>100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 t="s">
        <v>29</v>
      </c>
      <c r="AG63">
        <v>0</v>
      </c>
      <c r="AH63">
        <v>3</v>
      </c>
      <c r="AI63">
        <v>-1</v>
      </c>
      <c r="AJ63" t="s">
        <v>3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</row>
    <row r="64" spans="1:44" x14ac:dyDescent="0.25">
      <c r="A64">
        <f>ROW(Source!A42)</f>
        <v>42</v>
      </c>
      <c r="B64">
        <v>57014887</v>
      </c>
      <c r="C64">
        <v>57014876</v>
      </c>
      <c r="D64">
        <v>55424290</v>
      </c>
      <c r="E64">
        <v>1081</v>
      </c>
      <c r="F64">
        <v>1</v>
      </c>
      <c r="G64">
        <v>1081</v>
      </c>
      <c r="H64">
        <v>3</v>
      </c>
      <c r="I64" t="s">
        <v>443</v>
      </c>
      <c r="J64" t="s">
        <v>3</v>
      </c>
      <c r="K64" t="s">
        <v>444</v>
      </c>
      <c r="L64">
        <v>1348</v>
      </c>
      <c r="N64">
        <v>1009</v>
      </c>
      <c r="O64" t="s">
        <v>361</v>
      </c>
      <c r="P64" t="s">
        <v>361</v>
      </c>
      <c r="Q64">
        <v>1000</v>
      </c>
      <c r="X64">
        <v>0.03</v>
      </c>
      <c r="Y64">
        <v>0</v>
      </c>
      <c r="Z64">
        <v>0</v>
      </c>
      <c r="AA64">
        <v>0</v>
      </c>
      <c r="AB64">
        <v>0</v>
      </c>
      <c r="AC64">
        <v>0</v>
      </c>
      <c r="AD64">
        <v>1</v>
      </c>
      <c r="AE64">
        <v>0</v>
      </c>
      <c r="AF64" t="s">
        <v>29</v>
      </c>
      <c r="AG64">
        <v>0</v>
      </c>
      <c r="AH64">
        <v>2</v>
      </c>
      <c r="AI64">
        <v>57014881</v>
      </c>
      <c r="AJ64">
        <v>53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</row>
    <row r="65" spans="1:44" x14ac:dyDescent="0.25">
      <c r="A65">
        <f>ROW(Source!A43)</f>
        <v>43</v>
      </c>
      <c r="B65">
        <v>57014882</v>
      </c>
      <c r="C65">
        <v>57014876</v>
      </c>
      <c r="D65">
        <v>55424304</v>
      </c>
      <c r="E65">
        <v>1081</v>
      </c>
      <c r="F65">
        <v>1</v>
      </c>
      <c r="G65">
        <v>1081</v>
      </c>
      <c r="H65">
        <v>1</v>
      </c>
      <c r="I65" t="s">
        <v>385</v>
      </c>
      <c r="J65" t="s">
        <v>3</v>
      </c>
      <c r="K65" t="s">
        <v>386</v>
      </c>
      <c r="L65">
        <v>1191</v>
      </c>
      <c r="N65">
        <v>1013</v>
      </c>
      <c r="O65" t="s">
        <v>387</v>
      </c>
      <c r="P65" t="s">
        <v>387</v>
      </c>
      <c r="Q65">
        <v>1</v>
      </c>
      <c r="X65">
        <v>24</v>
      </c>
      <c r="Y65">
        <v>0</v>
      </c>
      <c r="Z65">
        <v>0</v>
      </c>
      <c r="AA65">
        <v>0</v>
      </c>
      <c r="AB65">
        <v>0</v>
      </c>
      <c r="AC65">
        <v>0</v>
      </c>
      <c r="AD65">
        <v>1</v>
      </c>
      <c r="AE65">
        <v>1</v>
      </c>
      <c r="AF65" t="s">
        <v>30</v>
      </c>
      <c r="AG65">
        <v>8.6399999999999988</v>
      </c>
      <c r="AH65">
        <v>2</v>
      </c>
      <c r="AI65">
        <v>57014877</v>
      </c>
      <c r="AJ65">
        <v>54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</row>
    <row r="66" spans="1:44" x14ac:dyDescent="0.25">
      <c r="A66">
        <f>ROW(Source!A43)</f>
        <v>43</v>
      </c>
      <c r="B66">
        <v>57014883</v>
      </c>
      <c r="C66">
        <v>57014876</v>
      </c>
      <c r="D66">
        <v>55459907</v>
      </c>
      <c r="E66">
        <v>1</v>
      </c>
      <c r="F66">
        <v>1</v>
      </c>
      <c r="G66">
        <v>1081</v>
      </c>
      <c r="H66">
        <v>3</v>
      </c>
      <c r="I66" t="s">
        <v>434</v>
      </c>
      <c r="J66" t="s">
        <v>435</v>
      </c>
      <c r="K66" t="s">
        <v>436</v>
      </c>
      <c r="L66">
        <v>1348</v>
      </c>
      <c r="N66">
        <v>1009</v>
      </c>
      <c r="O66" t="s">
        <v>361</v>
      </c>
      <c r="P66" t="s">
        <v>361</v>
      </c>
      <c r="Q66">
        <v>1000</v>
      </c>
      <c r="X66">
        <v>6.0000000000000001E-3</v>
      </c>
      <c r="Y66">
        <v>7246.05</v>
      </c>
      <c r="Z66">
        <v>0</v>
      </c>
      <c r="AA66">
        <v>0</v>
      </c>
      <c r="AB66">
        <v>0</v>
      </c>
      <c r="AC66">
        <v>0</v>
      </c>
      <c r="AD66">
        <v>1</v>
      </c>
      <c r="AE66">
        <v>0</v>
      </c>
      <c r="AF66" t="s">
        <v>29</v>
      </c>
      <c r="AG66">
        <v>0</v>
      </c>
      <c r="AH66">
        <v>2</v>
      </c>
      <c r="AI66">
        <v>57014878</v>
      </c>
      <c r="AJ66">
        <v>55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</row>
    <row r="67" spans="1:44" x14ac:dyDescent="0.25">
      <c r="A67">
        <f>ROW(Source!A43)</f>
        <v>43</v>
      </c>
      <c r="B67">
        <v>57014884</v>
      </c>
      <c r="C67">
        <v>57014876</v>
      </c>
      <c r="D67">
        <v>55460316</v>
      </c>
      <c r="E67">
        <v>1</v>
      </c>
      <c r="F67">
        <v>1</v>
      </c>
      <c r="G67">
        <v>1081</v>
      </c>
      <c r="H67">
        <v>3</v>
      </c>
      <c r="I67" t="s">
        <v>437</v>
      </c>
      <c r="J67" t="s">
        <v>438</v>
      </c>
      <c r="K67" t="s">
        <v>439</v>
      </c>
      <c r="L67">
        <v>1346</v>
      </c>
      <c r="N67">
        <v>1009</v>
      </c>
      <c r="O67" t="s">
        <v>365</v>
      </c>
      <c r="P67" t="s">
        <v>365</v>
      </c>
      <c r="Q67">
        <v>1</v>
      </c>
      <c r="X67">
        <v>0.2</v>
      </c>
      <c r="Y67">
        <v>104.63</v>
      </c>
      <c r="Z67">
        <v>0</v>
      </c>
      <c r="AA67">
        <v>0</v>
      </c>
      <c r="AB67">
        <v>0</v>
      </c>
      <c r="AC67">
        <v>0</v>
      </c>
      <c r="AD67">
        <v>1</v>
      </c>
      <c r="AE67">
        <v>0</v>
      </c>
      <c r="AF67" t="s">
        <v>29</v>
      </c>
      <c r="AG67">
        <v>0</v>
      </c>
      <c r="AH67">
        <v>2</v>
      </c>
      <c r="AI67">
        <v>57014879</v>
      </c>
      <c r="AJ67">
        <v>56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</row>
    <row r="68" spans="1:44" x14ac:dyDescent="0.25">
      <c r="A68">
        <f>ROW(Source!A43)</f>
        <v>43</v>
      </c>
      <c r="B68">
        <v>57014885</v>
      </c>
      <c r="C68">
        <v>57014876</v>
      </c>
      <c r="D68">
        <v>55461791</v>
      </c>
      <c r="E68">
        <v>1</v>
      </c>
      <c r="F68">
        <v>1</v>
      </c>
      <c r="G68">
        <v>1081</v>
      </c>
      <c r="H68">
        <v>3</v>
      </c>
      <c r="I68" t="s">
        <v>440</v>
      </c>
      <c r="J68" t="s">
        <v>441</v>
      </c>
      <c r="K68" t="s">
        <v>442</v>
      </c>
      <c r="L68">
        <v>1355</v>
      </c>
      <c r="N68">
        <v>1010</v>
      </c>
      <c r="O68" t="s">
        <v>64</v>
      </c>
      <c r="P68" t="s">
        <v>64</v>
      </c>
      <c r="Q68">
        <v>100</v>
      </c>
      <c r="X68">
        <v>2</v>
      </c>
      <c r="Y68">
        <v>10.6</v>
      </c>
      <c r="Z68">
        <v>0</v>
      </c>
      <c r="AA68">
        <v>0</v>
      </c>
      <c r="AB68">
        <v>0</v>
      </c>
      <c r="AC68">
        <v>0</v>
      </c>
      <c r="AD68">
        <v>1</v>
      </c>
      <c r="AE68">
        <v>0</v>
      </c>
      <c r="AF68" t="s">
        <v>29</v>
      </c>
      <c r="AG68">
        <v>0</v>
      </c>
      <c r="AH68">
        <v>2</v>
      </c>
      <c r="AI68">
        <v>57014880</v>
      </c>
      <c r="AJ68">
        <v>57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</row>
    <row r="69" spans="1:44" x14ac:dyDescent="0.25">
      <c r="A69">
        <f>ROW(Source!A43)</f>
        <v>43</v>
      </c>
      <c r="B69">
        <v>57014886</v>
      </c>
      <c r="C69">
        <v>57014876</v>
      </c>
      <c r="D69">
        <v>55448278</v>
      </c>
      <c r="E69">
        <v>1081</v>
      </c>
      <c r="F69">
        <v>1</v>
      </c>
      <c r="G69">
        <v>1081</v>
      </c>
      <c r="H69">
        <v>3</v>
      </c>
      <c r="I69" t="s">
        <v>489</v>
      </c>
      <c r="J69" t="s">
        <v>3</v>
      </c>
      <c r="K69" t="s">
        <v>490</v>
      </c>
      <c r="L69">
        <v>1354</v>
      </c>
      <c r="N69">
        <v>1010</v>
      </c>
      <c r="O69" t="s">
        <v>251</v>
      </c>
      <c r="P69" t="s">
        <v>251</v>
      </c>
      <c r="Q69">
        <v>1</v>
      </c>
      <c r="X69">
        <v>100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 t="s">
        <v>29</v>
      </c>
      <c r="AG69">
        <v>0</v>
      </c>
      <c r="AH69">
        <v>3</v>
      </c>
      <c r="AI69">
        <v>-1</v>
      </c>
      <c r="AJ69" t="s">
        <v>3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</row>
    <row r="70" spans="1:44" x14ac:dyDescent="0.25">
      <c r="A70">
        <f>ROW(Source!A43)</f>
        <v>43</v>
      </c>
      <c r="B70">
        <v>57014887</v>
      </c>
      <c r="C70">
        <v>57014876</v>
      </c>
      <c r="D70">
        <v>55424290</v>
      </c>
      <c r="E70">
        <v>1081</v>
      </c>
      <c r="F70">
        <v>1</v>
      </c>
      <c r="G70">
        <v>1081</v>
      </c>
      <c r="H70">
        <v>3</v>
      </c>
      <c r="I70" t="s">
        <v>443</v>
      </c>
      <c r="J70" t="s">
        <v>3</v>
      </c>
      <c r="K70" t="s">
        <v>444</v>
      </c>
      <c r="L70">
        <v>1348</v>
      </c>
      <c r="N70">
        <v>1009</v>
      </c>
      <c r="O70" t="s">
        <v>361</v>
      </c>
      <c r="P70" t="s">
        <v>361</v>
      </c>
      <c r="Q70">
        <v>1000</v>
      </c>
      <c r="X70">
        <v>0.03</v>
      </c>
      <c r="Y70">
        <v>0</v>
      </c>
      <c r="Z70">
        <v>0</v>
      </c>
      <c r="AA70">
        <v>0</v>
      </c>
      <c r="AB70">
        <v>0</v>
      </c>
      <c r="AC70">
        <v>0</v>
      </c>
      <c r="AD70">
        <v>1</v>
      </c>
      <c r="AE70">
        <v>0</v>
      </c>
      <c r="AF70" t="s">
        <v>29</v>
      </c>
      <c r="AG70">
        <v>0</v>
      </c>
      <c r="AH70">
        <v>2</v>
      </c>
      <c r="AI70">
        <v>57014881</v>
      </c>
      <c r="AJ70">
        <v>58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</row>
    <row r="71" spans="1:44" x14ac:dyDescent="0.25">
      <c r="A71">
        <f>ROW(Source!A44)</f>
        <v>44</v>
      </c>
      <c r="B71">
        <v>57014890</v>
      </c>
      <c r="C71">
        <v>57014888</v>
      </c>
      <c r="D71">
        <v>55424304</v>
      </c>
      <c r="E71">
        <v>1081</v>
      </c>
      <c r="F71">
        <v>1</v>
      </c>
      <c r="G71">
        <v>1081</v>
      </c>
      <c r="H71">
        <v>1</v>
      </c>
      <c r="I71" t="s">
        <v>385</v>
      </c>
      <c r="J71" t="s">
        <v>3</v>
      </c>
      <c r="K71" t="s">
        <v>386</v>
      </c>
      <c r="L71">
        <v>1191</v>
      </c>
      <c r="N71">
        <v>1013</v>
      </c>
      <c r="O71" t="s">
        <v>387</v>
      </c>
      <c r="P71" t="s">
        <v>387</v>
      </c>
      <c r="Q71">
        <v>1</v>
      </c>
      <c r="X71">
        <v>9.64</v>
      </c>
      <c r="Y71">
        <v>0</v>
      </c>
      <c r="Z71">
        <v>0</v>
      </c>
      <c r="AA71">
        <v>0</v>
      </c>
      <c r="AB71">
        <v>0</v>
      </c>
      <c r="AC71">
        <v>0</v>
      </c>
      <c r="AD71">
        <v>1</v>
      </c>
      <c r="AE71">
        <v>1</v>
      </c>
      <c r="AF71" t="s">
        <v>71</v>
      </c>
      <c r="AG71">
        <v>11.568</v>
      </c>
      <c r="AH71">
        <v>2</v>
      </c>
      <c r="AI71">
        <v>57014889</v>
      </c>
      <c r="AJ71">
        <v>59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</row>
    <row r="72" spans="1:44" x14ac:dyDescent="0.25">
      <c r="A72">
        <f>ROW(Source!A45)</f>
        <v>45</v>
      </c>
      <c r="B72">
        <v>57014890</v>
      </c>
      <c r="C72">
        <v>57014888</v>
      </c>
      <c r="D72">
        <v>55424304</v>
      </c>
      <c r="E72">
        <v>1081</v>
      </c>
      <c r="F72">
        <v>1</v>
      </c>
      <c r="G72">
        <v>1081</v>
      </c>
      <c r="H72">
        <v>1</v>
      </c>
      <c r="I72" t="s">
        <v>385</v>
      </c>
      <c r="J72" t="s">
        <v>3</v>
      </c>
      <c r="K72" t="s">
        <v>386</v>
      </c>
      <c r="L72">
        <v>1191</v>
      </c>
      <c r="N72">
        <v>1013</v>
      </c>
      <c r="O72" t="s">
        <v>387</v>
      </c>
      <c r="P72" t="s">
        <v>387</v>
      </c>
      <c r="Q72">
        <v>1</v>
      </c>
      <c r="X72">
        <v>9.64</v>
      </c>
      <c r="Y72">
        <v>0</v>
      </c>
      <c r="Z72">
        <v>0</v>
      </c>
      <c r="AA72">
        <v>0</v>
      </c>
      <c r="AB72">
        <v>0</v>
      </c>
      <c r="AC72">
        <v>0</v>
      </c>
      <c r="AD72">
        <v>1</v>
      </c>
      <c r="AE72">
        <v>1</v>
      </c>
      <c r="AF72" t="s">
        <v>71</v>
      </c>
      <c r="AG72">
        <v>11.568</v>
      </c>
      <c r="AH72">
        <v>2</v>
      </c>
      <c r="AI72">
        <v>57014889</v>
      </c>
      <c r="AJ72">
        <v>60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</row>
    <row r="73" spans="1:44" x14ac:dyDescent="0.25">
      <c r="A73">
        <f>ROW(Source!A46)</f>
        <v>46</v>
      </c>
      <c r="B73">
        <v>57037706</v>
      </c>
      <c r="C73">
        <v>57037705</v>
      </c>
      <c r="D73">
        <v>55424304</v>
      </c>
      <c r="E73">
        <v>1081</v>
      </c>
      <c r="F73">
        <v>1</v>
      </c>
      <c r="G73">
        <v>1081</v>
      </c>
      <c r="H73">
        <v>1</v>
      </c>
      <c r="I73" t="s">
        <v>385</v>
      </c>
      <c r="J73" t="s">
        <v>3</v>
      </c>
      <c r="K73" t="s">
        <v>386</v>
      </c>
      <c r="L73">
        <v>1191</v>
      </c>
      <c r="N73">
        <v>1013</v>
      </c>
      <c r="O73" t="s">
        <v>387</v>
      </c>
      <c r="P73" t="s">
        <v>387</v>
      </c>
      <c r="Q73">
        <v>1</v>
      </c>
      <c r="X73">
        <v>34.61</v>
      </c>
      <c r="Y73">
        <v>0</v>
      </c>
      <c r="Z73">
        <v>0</v>
      </c>
      <c r="AA73">
        <v>0</v>
      </c>
      <c r="AB73">
        <v>0</v>
      </c>
      <c r="AC73">
        <v>0</v>
      </c>
      <c r="AD73">
        <v>1</v>
      </c>
      <c r="AE73">
        <v>1</v>
      </c>
      <c r="AF73" t="s">
        <v>30</v>
      </c>
      <c r="AG73">
        <v>12.459599999999998</v>
      </c>
      <c r="AH73">
        <v>2</v>
      </c>
      <c r="AI73">
        <v>57037706</v>
      </c>
      <c r="AJ73">
        <v>61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</row>
    <row r="74" spans="1:44" x14ac:dyDescent="0.25">
      <c r="A74">
        <f>ROW(Source!A46)</f>
        <v>46</v>
      </c>
      <c r="B74">
        <v>57037707</v>
      </c>
      <c r="C74">
        <v>57037705</v>
      </c>
      <c r="D74">
        <v>55490263</v>
      </c>
      <c r="E74">
        <v>1</v>
      </c>
      <c r="F74">
        <v>1</v>
      </c>
      <c r="G74">
        <v>1081</v>
      </c>
      <c r="H74">
        <v>2</v>
      </c>
      <c r="I74" t="s">
        <v>445</v>
      </c>
      <c r="J74" t="s">
        <v>446</v>
      </c>
      <c r="K74" t="s">
        <v>447</v>
      </c>
      <c r="L74">
        <v>1368</v>
      </c>
      <c r="N74">
        <v>1011</v>
      </c>
      <c r="O74" t="s">
        <v>391</v>
      </c>
      <c r="P74" t="s">
        <v>391</v>
      </c>
      <c r="Q74">
        <v>1</v>
      </c>
      <c r="X74">
        <v>4.87</v>
      </c>
      <c r="Y74">
        <v>0</v>
      </c>
      <c r="Z74">
        <v>0.77</v>
      </c>
      <c r="AA74">
        <v>0</v>
      </c>
      <c r="AB74">
        <v>0</v>
      </c>
      <c r="AC74">
        <v>0</v>
      </c>
      <c r="AD74">
        <v>1</v>
      </c>
      <c r="AE74">
        <v>0</v>
      </c>
      <c r="AF74" t="s">
        <v>30</v>
      </c>
      <c r="AG74">
        <v>1.7532000000000001</v>
      </c>
      <c r="AH74">
        <v>2</v>
      </c>
      <c r="AI74">
        <v>57037707</v>
      </c>
      <c r="AJ74">
        <v>62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</row>
    <row r="75" spans="1:44" x14ac:dyDescent="0.25">
      <c r="A75">
        <f>ROW(Source!A46)</f>
        <v>46</v>
      </c>
      <c r="B75">
        <v>57037708</v>
      </c>
      <c r="C75">
        <v>57037705</v>
      </c>
      <c r="D75">
        <v>55490296</v>
      </c>
      <c r="E75">
        <v>1</v>
      </c>
      <c r="F75">
        <v>1</v>
      </c>
      <c r="G75">
        <v>1081</v>
      </c>
      <c r="H75">
        <v>2</v>
      </c>
      <c r="I75" t="s">
        <v>415</v>
      </c>
      <c r="J75" t="s">
        <v>416</v>
      </c>
      <c r="K75" t="s">
        <v>417</v>
      </c>
      <c r="L75">
        <v>1368</v>
      </c>
      <c r="N75">
        <v>1011</v>
      </c>
      <c r="O75" t="s">
        <v>391</v>
      </c>
      <c r="P75" t="s">
        <v>391</v>
      </c>
      <c r="Q75">
        <v>1</v>
      </c>
      <c r="X75">
        <v>6.89</v>
      </c>
      <c r="Y75">
        <v>0</v>
      </c>
      <c r="Z75">
        <v>0.47</v>
      </c>
      <c r="AA75">
        <v>0</v>
      </c>
      <c r="AB75">
        <v>0</v>
      </c>
      <c r="AC75">
        <v>0</v>
      </c>
      <c r="AD75">
        <v>1</v>
      </c>
      <c r="AE75">
        <v>0</v>
      </c>
      <c r="AF75" t="s">
        <v>30</v>
      </c>
      <c r="AG75">
        <v>2.4803999999999995</v>
      </c>
      <c r="AH75">
        <v>2</v>
      </c>
      <c r="AI75">
        <v>57037708</v>
      </c>
      <c r="AJ75">
        <v>63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</row>
    <row r="76" spans="1:44" x14ac:dyDescent="0.25">
      <c r="A76">
        <f>ROW(Source!A46)</f>
        <v>46</v>
      </c>
      <c r="B76">
        <v>57037709</v>
      </c>
      <c r="C76">
        <v>57037705</v>
      </c>
      <c r="D76">
        <v>55482203</v>
      </c>
      <c r="E76">
        <v>1</v>
      </c>
      <c r="F76">
        <v>1</v>
      </c>
      <c r="G76">
        <v>1081</v>
      </c>
      <c r="H76">
        <v>3</v>
      </c>
      <c r="I76" t="s">
        <v>448</v>
      </c>
      <c r="J76" t="s">
        <v>449</v>
      </c>
      <c r="K76" t="s">
        <v>450</v>
      </c>
      <c r="L76">
        <v>1356</v>
      </c>
      <c r="N76">
        <v>1010</v>
      </c>
      <c r="O76" t="s">
        <v>451</v>
      </c>
      <c r="P76" t="s">
        <v>451</v>
      </c>
      <c r="Q76">
        <v>1000</v>
      </c>
      <c r="X76">
        <v>3.1E-2</v>
      </c>
      <c r="Y76">
        <v>226.66</v>
      </c>
      <c r="Z76">
        <v>0</v>
      </c>
      <c r="AA76">
        <v>0</v>
      </c>
      <c r="AB76">
        <v>0</v>
      </c>
      <c r="AC76">
        <v>0</v>
      </c>
      <c r="AD76">
        <v>1</v>
      </c>
      <c r="AE76">
        <v>0</v>
      </c>
      <c r="AF76" t="s">
        <v>29</v>
      </c>
      <c r="AG76">
        <v>0</v>
      </c>
      <c r="AH76">
        <v>2</v>
      </c>
      <c r="AI76">
        <v>57037709</v>
      </c>
      <c r="AJ76">
        <v>64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</row>
    <row r="77" spans="1:44" x14ac:dyDescent="0.25">
      <c r="A77">
        <f>ROW(Source!A46)</f>
        <v>46</v>
      </c>
      <c r="B77">
        <v>57037710</v>
      </c>
      <c r="C77">
        <v>57037705</v>
      </c>
      <c r="D77">
        <v>55481977</v>
      </c>
      <c r="E77">
        <v>1</v>
      </c>
      <c r="F77">
        <v>1</v>
      </c>
      <c r="G77">
        <v>1081</v>
      </c>
      <c r="H77">
        <v>3</v>
      </c>
      <c r="I77" t="s">
        <v>452</v>
      </c>
      <c r="J77" t="s">
        <v>453</v>
      </c>
      <c r="K77" t="s">
        <v>454</v>
      </c>
      <c r="L77">
        <v>1355</v>
      </c>
      <c r="N77">
        <v>1010</v>
      </c>
      <c r="O77" t="s">
        <v>64</v>
      </c>
      <c r="P77" t="s">
        <v>64</v>
      </c>
      <c r="Q77">
        <v>100</v>
      </c>
      <c r="X77">
        <v>0.315</v>
      </c>
      <c r="Y77">
        <v>26.71</v>
      </c>
      <c r="Z77">
        <v>0</v>
      </c>
      <c r="AA77">
        <v>0</v>
      </c>
      <c r="AB77">
        <v>0</v>
      </c>
      <c r="AC77">
        <v>0</v>
      </c>
      <c r="AD77">
        <v>1</v>
      </c>
      <c r="AE77">
        <v>0</v>
      </c>
      <c r="AF77" t="s">
        <v>29</v>
      </c>
      <c r="AG77">
        <v>0</v>
      </c>
      <c r="AH77">
        <v>2</v>
      </c>
      <c r="AI77">
        <v>57037710</v>
      </c>
      <c r="AJ77">
        <v>65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</row>
    <row r="78" spans="1:44" x14ac:dyDescent="0.25">
      <c r="A78">
        <f>ROW(Source!A46)</f>
        <v>46</v>
      </c>
      <c r="B78">
        <v>57037711</v>
      </c>
      <c r="C78">
        <v>57037705</v>
      </c>
      <c r="D78">
        <v>55469263</v>
      </c>
      <c r="E78">
        <v>1</v>
      </c>
      <c r="F78">
        <v>1</v>
      </c>
      <c r="G78">
        <v>1081</v>
      </c>
      <c r="H78">
        <v>3</v>
      </c>
      <c r="I78" t="s">
        <v>455</v>
      </c>
      <c r="J78" t="s">
        <v>456</v>
      </c>
      <c r="K78" t="s">
        <v>457</v>
      </c>
      <c r="L78">
        <v>1354</v>
      </c>
      <c r="N78">
        <v>1010</v>
      </c>
      <c r="O78" t="s">
        <v>251</v>
      </c>
      <c r="P78" t="s">
        <v>251</v>
      </c>
      <c r="Q78">
        <v>1</v>
      </c>
      <c r="X78">
        <v>0.55900000000000005</v>
      </c>
      <c r="Y78">
        <v>14.22</v>
      </c>
      <c r="Z78">
        <v>0</v>
      </c>
      <c r="AA78">
        <v>0</v>
      </c>
      <c r="AB78">
        <v>0</v>
      </c>
      <c r="AC78">
        <v>0</v>
      </c>
      <c r="AD78">
        <v>1</v>
      </c>
      <c r="AE78">
        <v>0</v>
      </c>
      <c r="AF78" t="s">
        <v>29</v>
      </c>
      <c r="AG78">
        <v>0</v>
      </c>
      <c r="AH78">
        <v>2</v>
      </c>
      <c r="AI78">
        <v>57037711</v>
      </c>
      <c r="AJ78">
        <v>66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</row>
    <row r="79" spans="1:44" x14ac:dyDescent="0.25">
      <c r="A79">
        <f>ROW(Source!A46)</f>
        <v>46</v>
      </c>
      <c r="B79">
        <v>57037712</v>
      </c>
      <c r="C79">
        <v>57037705</v>
      </c>
      <c r="D79">
        <v>55428305</v>
      </c>
      <c r="E79">
        <v>1081</v>
      </c>
      <c r="F79">
        <v>1</v>
      </c>
      <c r="G79">
        <v>1081</v>
      </c>
      <c r="H79">
        <v>3</v>
      </c>
      <c r="I79" t="s">
        <v>491</v>
      </c>
      <c r="J79" t="s">
        <v>3</v>
      </c>
      <c r="K79" t="s">
        <v>492</v>
      </c>
      <c r="L79">
        <v>1301</v>
      </c>
      <c r="N79">
        <v>1003</v>
      </c>
      <c r="O79" t="s">
        <v>320</v>
      </c>
      <c r="P79" t="s">
        <v>320</v>
      </c>
      <c r="Q79">
        <v>1</v>
      </c>
      <c r="X79">
        <v>102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 t="s">
        <v>29</v>
      </c>
      <c r="AG79">
        <v>0</v>
      </c>
      <c r="AH79">
        <v>3</v>
      </c>
      <c r="AI79">
        <v>-1</v>
      </c>
      <c r="AJ79" t="s">
        <v>3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</row>
    <row r="80" spans="1:44" x14ac:dyDescent="0.25">
      <c r="A80">
        <f>ROW(Source!A46)</f>
        <v>46</v>
      </c>
      <c r="B80">
        <v>57037713</v>
      </c>
      <c r="C80">
        <v>57037705</v>
      </c>
      <c r="D80">
        <v>55433560</v>
      </c>
      <c r="E80">
        <v>1081</v>
      </c>
      <c r="F80">
        <v>1</v>
      </c>
      <c r="G80">
        <v>1081</v>
      </c>
      <c r="H80">
        <v>3</v>
      </c>
      <c r="I80" t="s">
        <v>493</v>
      </c>
      <c r="J80" t="s">
        <v>3</v>
      </c>
      <c r="K80" t="s">
        <v>494</v>
      </c>
      <c r="L80">
        <v>1356</v>
      </c>
      <c r="N80">
        <v>1010</v>
      </c>
      <c r="O80" t="s">
        <v>451</v>
      </c>
      <c r="P80" t="s">
        <v>451</v>
      </c>
      <c r="Q80">
        <v>1000</v>
      </c>
      <c r="X80">
        <v>0.23799999999999999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 t="s">
        <v>29</v>
      </c>
      <c r="AG80">
        <v>0</v>
      </c>
      <c r="AH80">
        <v>3</v>
      </c>
      <c r="AI80">
        <v>-1</v>
      </c>
      <c r="AJ80" t="s">
        <v>3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</row>
    <row r="81" spans="1:44" x14ac:dyDescent="0.25">
      <c r="A81">
        <f>ROW(Source!A46)</f>
        <v>46</v>
      </c>
      <c r="B81">
        <v>57037714</v>
      </c>
      <c r="C81">
        <v>57037705</v>
      </c>
      <c r="D81">
        <v>55438947</v>
      </c>
      <c r="E81">
        <v>1081</v>
      </c>
      <c r="F81">
        <v>1</v>
      </c>
      <c r="G81">
        <v>1081</v>
      </c>
      <c r="H81">
        <v>3</v>
      </c>
      <c r="I81" t="s">
        <v>495</v>
      </c>
      <c r="J81" t="s">
        <v>3</v>
      </c>
      <c r="K81" t="s">
        <v>496</v>
      </c>
      <c r="L81">
        <v>1303</v>
      </c>
      <c r="N81">
        <v>1003</v>
      </c>
      <c r="O81" t="s">
        <v>433</v>
      </c>
      <c r="P81" t="s">
        <v>433</v>
      </c>
      <c r="Q81">
        <v>1000</v>
      </c>
      <c r="X81">
        <v>0.10199999999999999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 t="s">
        <v>29</v>
      </c>
      <c r="AG81">
        <v>0</v>
      </c>
      <c r="AH81">
        <v>3</v>
      </c>
      <c r="AI81">
        <v>-1</v>
      </c>
      <c r="AJ81" t="s">
        <v>3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</row>
    <row r="82" spans="1:44" x14ac:dyDescent="0.25">
      <c r="A82">
        <f>ROW(Source!A46)</f>
        <v>46</v>
      </c>
      <c r="B82">
        <v>57037715</v>
      </c>
      <c r="C82">
        <v>57037705</v>
      </c>
      <c r="D82">
        <v>55447804</v>
      </c>
      <c r="E82">
        <v>1081</v>
      </c>
      <c r="F82">
        <v>1</v>
      </c>
      <c r="G82">
        <v>1081</v>
      </c>
      <c r="H82">
        <v>3</v>
      </c>
      <c r="I82" t="s">
        <v>497</v>
      </c>
      <c r="J82" t="s">
        <v>3</v>
      </c>
      <c r="K82" t="s">
        <v>498</v>
      </c>
      <c r="L82">
        <v>1355</v>
      </c>
      <c r="N82">
        <v>1010</v>
      </c>
      <c r="O82" t="s">
        <v>64</v>
      </c>
      <c r="P82" t="s">
        <v>64</v>
      </c>
      <c r="Q82">
        <v>100</v>
      </c>
      <c r="X82">
        <v>4.71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 t="s">
        <v>29</v>
      </c>
      <c r="AG82">
        <v>0</v>
      </c>
      <c r="AH82">
        <v>3</v>
      </c>
      <c r="AI82">
        <v>-1</v>
      </c>
      <c r="AJ82" t="s">
        <v>3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</row>
    <row r="83" spans="1:44" x14ac:dyDescent="0.25">
      <c r="A83">
        <f>ROW(Source!A47)</f>
        <v>47</v>
      </c>
      <c r="B83">
        <v>57037706</v>
      </c>
      <c r="C83">
        <v>57037705</v>
      </c>
      <c r="D83">
        <v>55424304</v>
      </c>
      <c r="E83">
        <v>1081</v>
      </c>
      <c r="F83">
        <v>1</v>
      </c>
      <c r="G83">
        <v>1081</v>
      </c>
      <c r="H83">
        <v>1</v>
      </c>
      <c r="I83" t="s">
        <v>385</v>
      </c>
      <c r="J83" t="s">
        <v>3</v>
      </c>
      <c r="K83" t="s">
        <v>386</v>
      </c>
      <c r="L83">
        <v>1191</v>
      </c>
      <c r="N83">
        <v>1013</v>
      </c>
      <c r="O83" t="s">
        <v>387</v>
      </c>
      <c r="P83" t="s">
        <v>387</v>
      </c>
      <c r="Q83">
        <v>1</v>
      </c>
      <c r="X83">
        <v>34.61</v>
      </c>
      <c r="Y83">
        <v>0</v>
      </c>
      <c r="Z83">
        <v>0</v>
      </c>
      <c r="AA83">
        <v>0</v>
      </c>
      <c r="AB83">
        <v>0</v>
      </c>
      <c r="AC83">
        <v>0</v>
      </c>
      <c r="AD83">
        <v>1</v>
      </c>
      <c r="AE83">
        <v>1</v>
      </c>
      <c r="AF83" t="s">
        <v>30</v>
      </c>
      <c r="AG83">
        <v>12.459599999999998</v>
      </c>
      <c r="AH83">
        <v>2</v>
      </c>
      <c r="AI83">
        <v>57037706</v>
      </c>
      <c r="AJ83">
        <v>67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</row>
    <row r="84" spans="1:44" x14ac:dyDescent="0.25">
      <c r="A84">
        <f>ROW(Source!A47)</f>
        <v>47</v>
      </c>
      <c r="B84">
        <v>57037707</v>
      </c>
      <c r="C84">
        <v>57037705</v>
      </c>
      <c r="D84">
        <v>55490263</v>
      </c>
      <c r="E84">
        <v>1</v>
      </c>
      <c r="F84">
        <v>1</v>
      </c>
      <c r="G84">
        <v>1081</v>
      </c>
      <c r="H84">
        <v>2</v>
      </c>
      <c r="I84" t="s">
        <v>445</v>
      </c>
      <c r="J84" t="s">
        <v>446</v>
      </c>
      <c r="K84" t="s">
        <v>447</v>
      </c>
      <c r="L84">
        <v>1368</v>
      </c>
      <c r="N84">
        <v>1011</v>
      </c>
      <c r="O84" t="s">
        <v>391</v>
      </c>
      <c r="P84" t="s">
        <v>391</v>
      </c>
      <c r="Q84">
        <v>1</v>
      </c>
      <c r="X84">
        <v>4.87</v>
      </c>
      <c r="Y84">
        <v>0</v>
      </c>
      <c r="Z84">
        <v>0.77</v>
      </c>
      <c r="AA84">
        <v>0</v>
      </c>
      <c r="AB84">
        <v>0</v>
      </c>
      <c r="AC84">
        <v>0</v>
      </c>
      <c r="AD84">
        <v>1</v>
      </c>
      <c r="AE84">
        <v>0</v>
      </c>
      <c r="AF84" t="s">
        <v>30</v>
      </c>
      <c r="AG84">
        <v>1.7532000000000001</v>
      </c>
      <c r="AH84">
        <v>2</v>
      </c>
      <c r="AI84">
        <v>57037707</v>
      </c>
      <c r="AJ84">
        <v>68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</row>
    <row r="85" spans="1:44" x14ac:dyDescent="0.25">
      <c r="A85">
        <f>ROW(Source!A47)</f>
        <v>47</v>
      </c>
      <c r="B85">
        <v>57037708</v>
      </c>
      <c r="C85">
        <v>57037705</v>
      </c>
      <c r="D85">
        <v>55490296</v>
      </c>
      <c r="E85">
        <v>1</v>
      </c>
      <c r="F85">
        <v>1</v>
      </c>
      <c r="G85">
        <v>1081</v>
      </c>
      <c r="H85">
        <v>2</v>
      </c>
      <c r="I85" t="s">
        <v>415</v>
      </c>
      <c r="J85" t="s">
        <v>416</v>
      </c>
      <c r="K85" t="s">
        <v>417</v>
      </c>
      <c r="L85">
        <v>1368</v>
      </c>
      <c r="N85">
        <v>1011</v>
      </c>
      <c r="O85" t="s">
        <v>391</v>
      </c>
      <c r="P85" t="s">
        <v>391</v>
      </c>
      <c r="Q85">
        <v>1</v>
      </c>
      <c r="X85">
        <v>6.89</v>
      </c>
      <c r="Y85">
        <v>0</v>
      </c>
      <c r="Z85">
        <v>0.47</v>
      </c>
      <c r="AA85">
        <v>0</v>
      </c>
      <c r="AB85">
        <v>0</v>
      </c>
      <c r="AC85">
        <v>0</v>
      </c>
      <c r="AD85">
        <v>1</v>
      </c>
      <c r="AE85">
        <v>0</v>
      </c>
      <c r="AF85" t="s">
        <v>30</v>
      </c>
      <c r="AG85">
        <v>2.4803999999999995</v>
      </c>
      <c r="AH85">
        <v>2</v>
      </c>
      <c r="AI85">
        <v>57037708</v>
      </c>
      <c r="AJ85">
        <v>69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</row>
    <row r="86" spans="1:44" x14ac:dyDescent="0.25">
      <c r="A86">
        <f>ROW(Source!A47)</f>
        <v>47</v>
      </c>
      <c r="B86">
        <v>57037709</v>
      </c>
      <c r="C86">
        <v>57037705</v>
      </c>
      <c r="D86">
        <v>55482203</v>
      </c>
      <c r="E86">
        <v>1</v>
      </c>
      <c r="F86">
        <v>1</v>
      </c>
      <c r="G86">
        <v>1081</v>
      </c>
      <c r="H86">
        <v>3</v>
      </c>
      <c r="I86" t="s">
        <v>448</v>
      </c>
      <c r="J86" t="s">
        <v>449</v>
      </c>
      <c r="K86" t="s">
        <v>450</v>
      </c>
      <c r="L86">
        <v>1356</v>
      </c>
      <c r="N86">
        <v>1010</v>
      </c>
      <c r="O86" t="s">
        <v>451</v>
      </c>
      <c r="P86" t="s">
        <v>451</v>
      </c>
      <c r="Q86">
        <v>1000</v>
      </c>
      <c r="X86">
        <v>3.1E-2</v>
      </c>
      <c r="Y86">
        <v>226.66</v>
      </c>
      <c r="Z86">
        <v>0</v>
      </c>
      <c r="AA86">
        <v>0</v>
      </c>
      <c r="AB86">
        <v>0</v>
      </c>
      <c r="AC86">
        <v>0</v>
      </c>
      <c r="AD86">
        <v>1</v>
      </c>
      <c r="AE86">
        <v>0</v>
      </c>
      <c r="AF86" t="s">
        <v>29</v>
      </c>
      <c r="AG86">
        <v>0</v>
      </c>
      <c r="AH86">
        <v>2</v>
      </c>
      <c r="AI86">
        <v>57037709</v>
      </c>
      <c r="AJ86">
        <v>70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</row>
    <row r="87" spans="1:44" x14ac:dyDescent="0.25">
      <c r="A87">
        <f>ROW(Source!A47)</f>
        <v>47</v>
      </c>
      <c r="B87">
        <v>57037710</v>
      </c>
      <c r="C87">
        <v>57037705</v>
      </c>
      <c r="D87">
        <v>55481977</v>
      </c>
      <c r="E87">
        <v>1</v>
      </c>
      <c r="F87">
        <v>1</v>
      </c>
      <c r="G87">
        <v>1081</v>
      </c>
      <c r="H87">
        <v>3</v>
      </c>
      <c r="I87" t="s">
        <v>452</v>
      </c>
      <c r="J87" t="s">
        <v>453</v>
      </c>
      <c r="K87" t="s">
        <v>454</v>
      </c>
      <c r="L87">
        <v>1355</v>
      </c>
      <c r="N87">
        <v>1010</v>
      </c>
      <c r="O87" t="s">
        <v>64</v>
      </c>
      <c r="P87" t="s">
        <v>64</v>
      </c>
      <c r="Q87">
        <v>100</v>
      </c>
      <c r="X87">
        <v>0.315</v>
      </c>
      <c r="Y87">
        <v>26.71</v>
      </c>
      <c r="Z87">
        <v>0</v>
      </c>
      <c r="AA87">
        <v>0</v>
      </c>
      <c r="AB87">
        <v>0</v>
      </c>
      <c r="AC87">
        <v>0</v>
      </c>
      <c r="AD87">
        <v>1</v>
      </c>
      <c r="AE87">
        <v>0</v>
      </c>
      <c r="AF87" t="s">
        <v>29</v>
      </c>
      <c r="AG87">
        <v>0</v>
      </c>
      <c r="AH87">
        <v>2</v>
      </c>
      <c r="AI87">
        <v>57037710</v>
      </c>
      <c r="AJ87">
        <v>71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</row>
    <row r="88" spans="1:44" x14ac:dyDescent="0.25">
      <c r="A88">
        <f>ROW(Source!A47)</f>
        <v>47</v>
      </c>
      <c r="B88">
        <v>57037711</v>
      </c>
      <c r="C88">
        <v>57037705</v>
      </c>
      <c r="D88">
        <v>55469263</v>
      </c>
      <c r="E88">
        <v>1</v>
      </c>
      <c r="F88">
        <v>1</v>
      </c>
      <c r="G88">
        <v>1081</v>
      </c>
      <c r="H88">
        <v>3</v>
      </c>
      <c r="I88" t="s">
        <v>455</v>
      </c>
      <c r="J88" t="s">
        <v>456</v>
      </c>
      <c r="K88" t="s">
        <v>457</v>
      </c>
      <c r="L88">
        <v>1354</v>
      </c>
      <c r="N88">
        <v>1010</v>
      </c>
      <c r="O88" t="s">
        <v>251</v>
      </c>
      <c r="P88" t="s">
        <v>251</v>
      </c>
      <c r="Q88">
        <v>1</v>
      </c>
      <c r="X88">
        <v>0.55900000000000005</v>
      </c>
      <c r="Y88">
        <v>14.22</v>
      </c>
      <c r="Z88">
        <v>0</v>
      </c>
      <c r="AA88">
        <v>0</v>
      </c>
      <c r="AB88">
        <v>0</v>
      </c>
      <c r="AC88">
        <v>0</v>
      </c>
      <c r="AD88">
        <v>1</v>
      </c>
      <c r="AE88">
        <v>0</v>
      </c>
      <c r="AF88" t="s">
        <v>29</v>
      </c>
      <c r="AG88">
        <v>0</v>
      </c>
      <c r="AH88">
        <v>2</v>
      </c>
      <c r="AI88">
        <v>57037711</v>
      </c>
      <c r="AJ88">
        <v>72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</row>
    <row r="89" spans="1:44" x14ac:dyDescent="0.25">
      <c r="A89">
        <f>ROW(Source!A47)</f>
        <v>47</v>
      </c>
      <c r="B89">
        <v>57037712</v>
      </c>
      <c r="C89">
        <v>57037705</v>
      </c>
      <c r="D89">
        <v>55428305</v>
      </c>
      <c r="E89">
        <v>1081</v>
      </c>
      <c r="F89">
        <v>1</v>
      </c>
      <c r="G89">
        <v>1081</v>
      </c>
      <c r="H89">
        <v>3</v>
      </c>
      <c r="I89" t="s">
        <v>491</v>
      </c>
      <c r="J89" t="s">
        <v>3</v>
      </c>
      <c r="K89" t="s">
        <v>492</v>
      </c>
      <c r="L89">
        <v>1301</v>
      </c>
      <c r="N89">
        <v>1003</v>
      </c>
      <c r="O89" t="s">
        <v>320</v>
      </c>
      <c r="P89" t="s">
        <v>320</v>
      </c>
      <c r="Q89">
        <v>1</v>
      </c>
      <c r="X89">
        <v>102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 t="s">
        <v>29</v>
      </c>
      <c r="AG89">
        <v>0</v>
      </c>
      <c r="AH89">
        <v>3</v>
      </c>
      <c r="AI89">
        <v>-1</v>
      </c>
      <c r="AJ89" t="s">
        <v>3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</row>
    <row r="90" spans="1:44" x14ac:dyDescent="0.25">
      <c r="A90">
        <f>ROW(Source!A47)</f>
        <v>47</v>
      </c>
      <c r="B90">
        <v>57037713</v>
      </c>
      <c r="C90">
        <v>57037705</v>
      </c>
      <c r="D90">
        <v>55433560</v>
      </c>
      <c r="E90">
        <v>1081</v>
      </c>
      <c r="F90">
        <v>1</v>
      </c>
      <c r="G90">
        <v>1081</v>
      </c>
      <c r="H90">
        <v>3</v>
      </c>
      <c r="I90" t="s">
        <v>493</v>
      </c>
      <c r="J90" t="s">
        <v>3</v>
      </c>
      <c r="K90" t="s">
        <v>494</v>
      </c>
      <c r="L90">
        <v>1356</v>
      </c>
      <c r="N90">
        <v>1010</v>
      </c>
      <c r="O90" t="s">
        <v>451</v>
      </c>
      <c r="P90" t="s">
        <v>451</v>
      </c>
      <c r="Q90">
        <v>1000</v>
      </c>
      <c r="X90">
        <v>0.23799999999999999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 t="s">
        <v>29</v>
      </c>
      <c r="AG90">
        <v>0</v>
      </c>
      <c r="AH90">
        <v>3</v>
      </c>
      <c r="AI90">
        <v>-1</v>
      </c>
      <c r="AJ90" t="s">
        <v>3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</row>
    <row r="91" spans="1:44" x14ac:dyDescent="0.25">
      <c r="A91">
        <f>ROW(Source!A47)</f>
        <v>47</v>
      </c>
      <c r="B91">
        <v>57037714</v>
      </c>
      <c r="C91">
        <v>57037705</v>
      </c>
      <c r="D91">
        <v>55438947</v>
      </c>
      <c r="E91">
        <v>1081</v>
      </c>
      <c r="F91">
        <v>1</v>
      </c>
      <c r="G91">
        <v>1081</v>
      </c>
      <c r="H91">
        <v>3</v>
      </c>
      <c r="I91" t="s">
        <v>495</v>
      </c>
      <c r="J91" t="s">
        <v>3</v>
      </c>
      <c r="K91" t="s">
        <v>496</v>
      </c>
      <c r="L91">
        <v>1303</v>
      </c>
      <c r="N91">
        <v>1003</v>
      </c>
      <c r="O91" t="s">
        <v>433</v>
      </c>
      <c r="P91" t="s">
        <v>433</v>
      </c>
      <c r="Q91">
        <v>1000</v>
      </c>
      <c r="X91">
        <v>0.10199999999999999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 t="s">
        <v>29</v>
      </c>
      <c r="AG91">
        <v>0</v>
      </c>
      <c r="AH91">
        <v>3</v>
      </c>
      <c r="AI91">
        <v>-1</v>
      </c>
      <c r="AJ91" t="s">
        <v>3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</row>
    <row r="92" spans="1:44" x14ac:dyDescent="0.25">
      <c r="A92">
        <f>ROW(Source!A47)</f>
        <v>47</v>
      </c>
      <c r="B92">
        <v>57037715</v>
      </c>
      <c r="C92">
        <v>57037705</v>
      </c>
      <c r="D92">
        <v>55447804</v>
      </c>
      <c r="E92">
        <v>1081</v>
      </c>
      <c r="F92">
        <v>1</v>
      </c>
      <c r="G92">
        <v>1081</v>
      </c>
      <c r="H92">
        <v>3</v>
      </c>
      <c r="I92" t="s">
        <v>497</v>
      </c>
      <c r="J92" t="s">
        <v>3</v>
      </c>
      <c r="K92" t="s">
        <v>498</v>
      </c>
      <c r="L92">
        <v>1355</v>
      </c>
      <c r="N92">
        <v>1010</v>
      </c>
      <c r="O92" t="s">
        <v>64</v>
      </c>
      <c r="P92" t="s">
        <v>64</v>
      </c>
      <c r="Q92">
        <v>100</v>
      </c>
      <c r="X92">
        <v>4.71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 t="s">
        <v>29</v>
      </c>
      <c r="AG92">
        <v>0</v>
      </c>
      <c r="AH92">
        <v>3</v>
      </c>
      <c r="AI92">
        <v>-1</v>
      </c>
      <c r="AJ92" t="s">
        <v>3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</row>
    <row r="93" spans="1:44" x14ac:dyDescent="0.25">
      <c r="A93">
        <f>ROW(Source!A48)</f>
        <v>48</v>
      </c>
      <c r="B93">
        <v>57014894</v>
      </c>
      <c r="C93">
        <v>57014891</v>
      </c>
      <c r="D93">
        <v>55424304</v>
      </c>
      <c r="E93">
        <v>1081</v>
      </c>
      <c r="F93">
        <v>1</v>
      </c>
      <c r="G93">
        <v>1081</v>
      </c>
      <c r="H93">
        <v>1</v>
      </c>
      <c r="I93" t="s">
        <v>385</v>
      </c>
      <c r="J93" t="s">
        <v>3</v>
      </c>
      <c r="K93" t="s">
        <v>386</v>
      </c>
      <c r="L93">
        <v>1191</v>
      </c>
      <c r="N93">
        <v>1013</v>
      </c>
      <c r="O93" t="s">
        <v>387</v>
      </c>
      <c r="P93" t="s">
        <v>387</v>
      </c>
      <c r="Q93">
        <v>1</v>
      </c>
      <c r="X93">
        <v>30.44</v>
      </c>
      <c r="Y93">
        <v>0</v>
      </c>
      <c r="Z93">
        <v>0</v>
      </c>
      <c r="AA93">
        <v>0</v>
      </c>
      <c r="AB93">
        <v>0</v>
      </c>
      <c r="AC93">
        <v>0</v>
      </c>
      <c r="AD93">
        <v>1</v>
      </c>
      <c r="AE93">
        <v>1</v>
      </c>
      <c r="AF93" t="s">
        <v>71</v>
      </c>
      <c r="AG93">
        <v>36.527999999999999</v>
      </c>
      <c r="AH93">
        <v>2</v>
      </c>
      <c r="AI93">
        <v>57014892</v>
      </c>
      <c r="AJ93">
        <v>73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</row>
    <row r="94" spans="1:44" x14ac:dyDescent="0.25">
      <c r="A94">
        <f>ROW(Source!A48)</f>
        <v>48</v>
      </c>
      <c r="B94">
        <v>57014895</v>
      </c>
      <c r="C94">
        <v>57014891</v>
      </c>
      <c r="D94">
        <v>55424288</v>
      </c>
      <c r="E94">
        <v>1081</v>
      </c>
      <c r="F94">
        <v>1</v>
      </c>
      <c r="G94">
        <v>1081</v>
      </c>
      <c r="H94">
        <v>3</v>
      </c>
      <c r="I94" t="s">
        <v>458</v>
      </c>
      <c r="J94" t="s">
        <v>3</v>
      </c>
      <c r="K94" t="s">
        <v>459</v>
      </c>
      <c r="L94">
        <v>1348</v>
      </c>
      <c r="N94">
        <v>1009</v>
      </c>
      <c r="O94" t="s">
        <v>361</v>
      </c>
      <c r="P94" t="s">
        <v>361</v>
      </c>
      <c r="Q94">
        <v>1000</v>
      </c>
      <c r="X94">
        <v>0.247</v>
      </c>
      <c r="Y94">
        <v>0</v>
      </c>
      <c r="Z94">
        <v>0</v>
      </c>
      <c r="AA94">
        <v>0</v>
      </c>
      <c r="AB94">
        <v>0</v>
      </c>
      <c r="AC94">
        <v>0</v>
      </c>
      <c r="AD94">
        <v>1</v>
      </c>
      <c r="AE94">
        <v>0</v>
      </c>
      <c r="AF94" t="s">
        <v>70</v>
      </c>
      <c r="AG94">
        <v>0.247</v>
      </c>
      <c r="AH94">
        <v>2</v>
      </c>
      <c r="AI94">
        <v>57014893</v>
      </c>
      <c r="AJ94">
        <v>74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</row>
    <row r="95" spans="1:44" x14ac:dyDescent="0.25">
      <c r="A95">
        <f>ROW(Source!A49)</f>
        <v>49</v>
      </c>
      <c r="B95">
        <v>57014894</v>
      </c>
      <c r="C95">
        <v>57014891</v>
      </c>
      <c r="D95">
        <v>55424304</v>
      </c>
      <c r="E95">
        <v>1081</v>
      </c>
      <c r="F95">
        <v>1</v>
      </c>
      <c r="G95">
        <v>1081</v>
      </c>
      <c r="H95">
        <v>1</v>
      </c>
      <c r="I95" t="s">
        <v>385</v>
      </c>
      <c r="J95" t="s">
        <v>3</v>
      </c>
      <c r="K95" t="s">
        <v>386</v>
      </c>
      <c r="L95">
        <v>1191</v>
      </c>
      <c r="N95">
        <v>1013</v>
      </c>
      <c r="O95" t="s">
        <v>387</v>
      </c>
      <c r="P95" t="s">
        <v>387</v>
      </c>
      <c r="Q95">
        <v>1</v>
      </c>
      <c r="X95">
        <v>30.44</v>
      </c>
      <c r="Y95">
        <v>0</v>
      </c>
      <c r="Z95">
        <v>0</v>
      </c>
      <c r="AA95">
        <v>0</v>
      </c>
      <c r="AB95">
        <v>0</v>
      </c>
      <c r="AC95">
        <v>0</v>
      </c>
      <c r="AD95">
        <v>1</v>
      </c>
      <c r="AE95">
        <v>1</v>
      </c>
      <c r="AF95" t="s">
        <v>71</v>
      </c>
      <c r="AG95">
        <v>36.527999999999999</v>
      </c>
      <c r="AH95">
        <v>2</v>
      </c>
      <c r="AI95">
        <v>57014892</v>
      </c>
      <c r="AJ95">
        <v>75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</row>
    <row r="96" spans="1:44" x14ac:dyDescent="0.25">
      <c r="A96">
        <f>ROW(Source!A49)</f>
        <v>49</v>
      </c>
      <c r="B96">
        <v>57014895</v>
      </c>
      <c r="C96">
        <v>57014891</v>
      </c>
      <c r="D96">
        <v>55424288</v>
      </c>
      <c r="E96">
        <v>1081</v>
      </c>
      <c r="F96">
        <v>1</v>
      </c>
      <c r="G96">
        <v>1081</v>
      </c>
      <c r="H96">
        <v>3</v>
      </c>
      <c r="I96" t="s">
        <v>458</v>
      </c>
      <c r="J96" t="s">
        <v>3</v>
      </c>
      <c r="K96" t="s">
        <v>459</v>
      </c>
      <c r="L96">
        <v>1348</v>
      </c>
      <c r="N96">
        <v>1009</v>
      </c>
      <c r="O96" t="s">
        <v>361</v>
      </c>
      <c r="P96" t="s">
        <v>361</v>
      </c>
      <c r="Q96">
        <v>1000</v>
      </c>
      <c r="X96">
        <v>0.247</v>
      </c>
      <c r="Y96">
        <v>0</v>
      </c>
      <c r="Z96">
        <v>0</v>
      </c>
      <c r="AA96">
        <v>0</v>
      </c>
      <c r="AB96">
        <v>0</v>
      </c>
      <c r="AC96">
        <v>0</v>
      </c>
      <c r="AD96">
        <v>1</v>
      </c>
      <c r="AE96">
        <v>0</v>
      </c>
      <c r="AF96" t="s">
        <v>70</v>
      </c>
      <c r="AG96">
        <v>0.247</v>
      </c>
      <c r="AH96">
        <v>2</v>
      </c>
      <c r="AI96">
        <v>57014893</v>
      </c>
      <c r="AJ96">
        <v>76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</row>
    <row r="97" spans="1:44" x14ac:dyDescent="0.25">
      <c r="A97">
        <f>ROW(Source!A50)</f>
        <v>50</v>
      </c>
      <c r="B97">
        <v>57014902</v>
      </c>
      <c r="C97">
        <v>57014896</v>
      </c>
      <c r="D97">
        <v>55424304</v>
      </c>
      <c r="E97">
        <v>1081</v>
      </c>
      <c r="F97">
        <v>1</v>
      </c>
      <c r="G97">
        <v>1081</v>
      </c>
      <c r="H97">
        <v>1</v>
      </c>
      <c r="I97" t="s">
        <v>385</v>
      </c>
      <c r="J97" t="s">
        <v>3</v>
      </c>
      <c r="K97" t="s">
        <v>386</v>
      </c>
      <c r="L97">
        <v>1191</v>
      </c>
      <c r="N97">
        <v>1013</v>
      </c>
      <c r="O97" t="s">
        <v>387</v>
      </c>
      <c r="P97" t="s">
        <v>387</v>
      </c>
      <c r="Q97">
        <v>1</v>
      </c>
      <c r="X97">
        <v>24.8</v>
      </c>
      <c r="Y97">
        <v>0</v>
      </c>
      <c r="Z97">
        <v>0</v>
      </c>
      <c r="AA97">
        <v>0</v>
      </c>
      <c r="AB97">
        <v>0</v>
      </c>
      <c r="AC97">
        <v>0</v>
      </c>
      <c r="AD97">
        <v>1</v>
      </c>
      <c r="AE97">
        <v>1</v>
      </c>
      <c r="AF97" t="s">
        <v>87</v>
      </c>
      <c r="AG97">
        <v>23.808</v>
      </c>
      <c r="AH97">
        <v>2</v>
      </c>
      <c r="AI97">
        <v>57014897</v>
      </c>
      <c r="AJ97">
        <v>77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</row>
    <row r="98" spans="1:44" x14ac:dyDescent="0.25">
      <c r="A98">
        <f>ROW(Source!A50)</f>
        <v>50</v>
      </c>
      <c r="B98">
        <v>57014903</v>
      </c>
      <c r="C98">
        <v>57014896</v>
      </c>
      <c r="D98">
        <v>55490209</v>
      </c>
      <c r="E98">
        <v>1</v>
      </c>
      <c r="F98">
        <v>1</v>
      </c>
      <c r="G98">
        <v>1081</v>
      </c>
      <c r="H98">
        <v>2</v>
      </c>
      <c r="I98" t="s">
        <v>460</v>
      </c>
      <c r="J98" t="s">
        <v>461</v>
      </c>
      <c r="K98" t="s">
        <v>462</v>
      </c>
      <c r="L98">
        <v>1368</v>
      </c>
      <c r="N98">
        <v>1011</v>
      </c>
      <c r="O98" t="s">
        <v>391</v>
      </c>
      <c r="P98" t="s">
        <v>391</v>
      </c>
      <c r="Q98">
        <v>1</v>
      </c>
      <c r="X98">
        <v>0.02</v>
      </c>
      <c r="Y98">
        <v>0</v>
      </c>
      <c r="Z98">
        <v>83.1</v>
      </c>
      <c r="AA98">
        <v>12.62</v>
      </c>
      <c r="AB98">
        <v>0</v>
      </c>
      <c r="AC98">
        <v>0</v>
      </c>
      <c r="AD98">
        <v>1</v>
      </c>
      <c r="AE98">
        <v>0</v>
      </c>
      <c r="AF98" t="s">
        <v>87</v>
      </c>
      <c r="AG98">
        <v>1.9200000000000002E-2</v>
      </c>
      <c r="AH98">
        <v>2</v>
      </c>
      <c r="AI98">
        <v>57014898</v>
      </c>
      <c r="AJ98">
        <v>78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</row>
    <row r="99" spans="1:44" x14ac:dyDescent="0.25">
      <c r="A99">
        <f>ROW(Source!A50)</f>
        <v>50</v>
      </c>
      <c r="B99">
        <v>57014904</v>
      </c>
      <c r="C99">
        <v>57014896</v>
      </c>
      <c r="D99">
        <v>55490263</v>
      </c>
      <c r="E99">
        <v>1</v>
      </c>
      <c r="F99">
        <v>1</v>
      </c>
      <c r="G99">
        <v>1081</v>
      </c>
      <c r="H99">
        <v>2</v>
      </c>
      <c r="I99" t="s">
        <v>445</v>
      </c>
      <c r="J99" t="s">
        <v>446</v>
      </c>
      <c r="K99" t="s">
        <v>447</v>
      </c>
      <c r="L99">
        <v>1368</v>
      </c>
      <c r="N99">
        <v>1011</v>
      </c>
      <c r="O99" t="s">
        <v>391</v>
      </c>
      <c r="P99" t="s">
        <v>391</v>
      </c>
      <c r="Q99">
        <v>1</v>
      </c>
      <c r="X99">
        <v>8</v>
      </c>
      <c r="Y99">
        <v>0</v>
      </c>
      <c r="Z99">
        <v>0.77</v>
      </c>
      <c r="AA99">
        <v>0</v>
      </c>
      <c r="AB99">
        <v>0</v>
      </c>
      <c r="AC99">
        <v>0</v>
      </c>
      <c r="AD99">
        <v>1</v>
      </c>
      <c r="AE99">
        <v>0</v>
      </c>
      <c r="AF99" t="s">
        <v>87</v>
      </c>
      <c r="AG99">
        <v>7.68</v>
      </c>
      <c r="AH99">
        <v>2</v>
      </c>
      <c r="AI99">
        <v>57014899</v>
      </c>
      <c r="AJ99">
        <v>79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</row>
    <row r="100" spans="1:44" x14ac:dyDescent="0.25">
      <c r="A100">
        <f>ROW(Source!A50)</f>
        <v>50</v>
      </c>
      <c r="B100">
        <v>57014905</v>
      </c>
      <c r="C100">
        <v>57014896</v>
      </c>
      <c r="D100">
        <v>55460658</v>
      </c>
      <c r="E100">
        <v>1</v>
      </c>
      <c r="F100">
        <v>1</v>
      </c>
      <c r="G100">
        <v>1081</v>
      </c>
      <c r="H100">
        <v>3</v>
      </c>
      <c r="I100" t="s">
        <v>463</v>
      </c>
      <c r="J100" t="s">
        <v>464</v>
      </c>
      <c r="K100" t="s">
        <v>465</v>
      </c>
      <c r="L100">
        <v>1296</v>
      </c>
      <c r="N100">
        <v>1002</v>
      </c>
      <c r="O100" t="s">
        <v>466</v>
      </c>
      <c r="P100" t="s">
        <v>466</v>
      </c>
      <c r="Q100">
        <v>1</v>
      </c>
      <c r="X100">
        <v>2.1267</v>
      </c>
      <c r="Y100">
        <v>84.21</v>
      </c>
      <c r="Z100">
        <v>0</v>
      </c>
      <c r="AA100">
        <v>0</v>
      </c>
      <c r="AB100">
        <v>0</v>
      </c>
      <c r="AC100">
        <v>0</v>
      </c>
      <c r="AD100">
        <v>1</v>
      </c>
      <c r="AE100">
        <v>0</v>
      </c>
      <c r="AF100" t="s">
        <v>29</v>
      </c>
      <c r="AG100">
        <v>0</v>
      </c>
      <c r="AH100">
        <v>2</v>
      </c>
      <c r="AI100">
        <v>57014900</v>
      </c>
      <c r="AJ100">
        <v>80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</row>
    <row r="101" spans="1:44" x14ac:dyDescent="0.25">
      <c r="A101">
        <f>ROW(Source!A50)</f>
        <v>50</v>
      </c>
      <c r="B101">
        <v>57014906</v>
      </c>
      <c r="C101">
        <v>57014896</v>
      </c>
      <c r="D101">
        <v>55461822</v>
      </c>
      <c r="E101">
        <v>1</v>
      </c>
      <c r="F101">
        <v>1</v>
      </c>
      <c r="G101">
        <v>1081</v>
      </c>
      <c r="H101">
        <v>3</v>
      </c>
      <c r="I101" t="s">
        <v>467</v>
      </c>
      <c r="J101" t="s">
        <v>468</v>
      </c>
      <c r="K101" t="s">
        <v>469</v>
      </c>
      <c r="L101">
        <v>1355</v>
      </c>
      <c r="N101">
        <v>1010</v>
      </c>
      <c r="O101" t="s">
        <v>64</v>
      </c>
      <c r="P101" t="s">
        <v>64</v>
      </c>
      <c r="Q101">
        <v>100</v>
      </c>
      <c r="X101">
        <v>4.04</v>
      </c>
      <c r="Y101">
        <v>43.8</v>
      </c>
      <c r="Z101">
        <v>0</v>
      </c>
      <c r="AA101">
        <v>0</v>
      </c>
      <c r="AB101">
        <v>0</v>
      </c>
      <c r="AC101">
        <v>0</v>
      </c>
      <c r="AD101">
        <v>1</v>
      </c>
      <c r="AE101">
        <v>0</v>
      </c>
      <c r="AF101" t="s">
        <v>29</v>
      </c>
      <c r="AG101">
        <v>0</v>
      </c>
      <c r="AH101">
        <v>2</v>
      </c>
      <c r="AI101">
        <v>57014901</v>
      </c>
      <c r="AJ101">
        <v>81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</row>
    <row r="102" spans="1:44" x14ac:dyDescent="0.25">
      <c r="A102">
        <f>ROW(Source!A50)</f>
        <v>50</v>
      </c>
      <c r="B102">
        <v>57014907</v>
      </c>
      <c r="C102">
        <v>57014896</v>
      </c>
      <c r="D102">
        <v>55440627</v>
      </c>
      <c r="E102">
        <v>1081</v>
      </c>
      <c r="F102">
        <v>1</v>
      </c>
      <c r="G102">
        <v>1081</v>
      </c>
      <c r="H102">
        <v>3</v>
      </c>
      <c r="I102" t="s">
        <v>499</v>
      </c>
      <c r="J102" t="s">
        <v>3</v>
      </c>
      <c r="K102" t="s">
        <v>500</v>
      </c>
      <c r="L102">
        <v>1354</v>
      </c>
      <c r="N102">
        <v>1010</v>
      </c>
      <c r="O102" t="s">
        <v>251</v>
      </c>
      <c r="P102" t="s">
        <v>251</v>
      </c>
      <c r="Q102">
        <v>1</v>
      </c>
      <c r="X102">
        <v>1.7633000000000001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 t="s">
        <v>29</v>
      </c>
      <c r="AG102">
        <v>0</v>
      </c>
      <c r="AH102">
        <v>3</v>
      </c>
      <c r="AI102">
        <v>-1</v>
      </c>
      <c r="AJ102" t="s">
        <v>3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</row>
    <row r="103" spans="1:44" x14ac:dyDescent="0.25">
      <c r="A103">
        <f>ROW(Source!A50)</f>
        <v>50</v>
      </c>
      <c r="B103">
        <v>57014908</v>
      </c>
      <c r="C103">
        <v>57014896</v>
      </c>
      <c r="D103">
        <v>55449246</v>
      </c>
      <c r="E103">
        <v>1081</v>
      </c>
      <c r="F103">
        <v>1</v>
      </c>
      <c r="G103">
        <v>1081</v>
      </c>
      <c r="H103">
        <v>3</v>
      </c>
      <c r="I103" t="s">
        <v>501</v>
      </c>
      <c r="J103" t="s">
        <v>3</v>
      </c>
      <c r="K103" t="s">
        <v>502</v>
      </c>
      <c r="L103">
        <v>1354</v>
      </c>
      <c r="N103">
        <v>1010</v>
      </c>
      <c r="O103" t="s">
        <v>251</v>
      </c>
      <c r="P103" t="s">
        <v>251</v>
      </c>
      <c r="Q103">
        <v>1</v>
      </c>
      <c r="X103">
        <v>100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 t="s">
        <v>29</v>
      </c>
      <c r="AG103">
        <v>0</v>
      </c>
      <c r="AH103">
        <v>3</v>
      </c>
      <c r="AI103">
        <v>-1</v>
      </c>
      <c r="AJ103" t="s">
        <v>3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</row>
    <row r="104" spans="1:44" x14ac:dyDescent="0.25">
      <c r="A104">
        <f>ROW(Source!A51)</f>
        <v>51</v>
      </c>
      <c r="B104">
        <v>57014902</v>
      </c>
      <c r="C104">
        <v>57014896</v>
      </c>
      <c r="D104">
        <v>55424304</v>
      </c>
      <c r="E104">
        <v>1081</v>
      </c>
      <c r="F104">
        <v>1</v>
      </c>
      <c r="G104">
        <v>1081</v>
      </c>
      <c r="H104">
        <v>1</v>
      </c>
      <c r="I104" t="s">
        <v>385</v>
      </c>
      <c r="J104" t="s">
        <v>3</v>
      </c>
      <c r="K104" t="s">
        <v>386</v>
      </c>
      <c r="L104">
        <v>1191</v>
      </c>
      <c r="N104">
        <v>1013</v>
      </c>
      <c r="O104" t="s">
        <v>387</v>
      </c>
      <c r="P104" t="s">
        <v>387</v>
      </c>
      <c r="Q104">
        <v>1</v>
      </c>
      <c r="X104">
        <v>24.8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1</v>
      </c>
      <c r="AE104">
        <v>1</v>
      </c>
      <c r="AF104" t="s">
        <v>87</v>
      </c>
      <c r="AG104">
        <v>23.808</v>
      </c>
      <c r="AH104">
        <v>2</v>
      </c>
      <c r="AI104">
        <v>57014897</v>
      </c>
      <c r="AJ104">
        <v>82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</row>
    <row r="105" spans="1:44" x14ac:dyDescent="0.25">
      <c r="A105">
        <f>ROW(Source!A51)</f>
        <v>51</v>
      </c>
      <c r="B105">
        <v>57014903</v>
      </c>
      <c r="C105">
        <v>57014896</v>
      </c>
      <c r="D105">
        <v>55490209</v>
      </c>
      <c r="E105">
        <v>1</v>
      </c>
      <c r="F105">
        <v>1</v>
      </c>
      <c r="G105">
        <v>1081</v>
      </c>
      <c r="H105">
        <v>2</v>
      </c>
      <c r="I105" t="s">
        <v>460</v>
      </c>
      <c r="J105" t="s">
        <v>461</v>
      </c>
      <c r="K105" t="s">
        <v>462</v>
      </c>
      <c r="L105">
        <v>1368</v>
      </c>
      <c r="N105">
        <v>1011</v>
      </c>
      <c r="O105" t="s">
        <v>391</v>
      </c>
      <c r="P105" t="s">
        <v>391</v>
      </c>
      <c r="Q105">
        <v>1</v>
      </c>
      <c r="X105">
        <v>0.02</v>
      </c>
      <c r="Y105">
        <v>0</v>
      </c>
      <c r="Z105">
        <v>83.1</v>
      </c>
      <c r="AA105">
        <v>12.62</v>
      </c>
      <c r="AB105">
        <v>0</v>
      </c>
      <c r="AC105">
        <v>0</v>
      </c>
      <c r="AD105">
        <v>1</v>
      </c>
      <c r="AE105">
        <v>0</v>
      </c>
      <c r="AF105" t="s">
        <v>87</v>
      </c>
      <c r="AG105">
        <v>1.9200000000000002E-2</v>
      </c>
      <c r="AH105">
        <v>2</v>
      </c>
      <c r="AI105">
        <v>57014898</v>
      </c>
      <c r="AJ105">
        <v>83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</row>
    <row r="106" spans="1:44" x14ac:dyDescent="0.25">
      <c r="A106">
        <f>ROW(Source!A51)</f>
        <v>51</v>
      </c>
      <c r="B106">
        <v>57014904</v>
      </c>
      <c r="C106">
        <v>57014896</v>
      </c>
      <c r="D106">
        <v>55490263</v>
      </c>
      <c r="E106">
        <v>1</v>
      </c>
      <c r="F106">
        <v>1</v>
      </c>
      <c r="G106">
        <v>1081</v>
      </c>
      <c r="H106">
        <v>2</v>
      </c>
      <c r="I106" t="s">
        <v>445</v>
      </c>
      <c r="J106" t="s">
        <v>446</v>
      </c>
      <c r="K106" t="s">
        <v>447</v>
      </c>
      <c r="L106">
        <v>1368</v>
      </c>
      <c r="N106">
        <v>1011</v>
      </c>
      <c r="O106" t="s">
        <v>391</v>
      </c>
      <c r="P106" t="s">
        <v>391</v>
      </c>
      <c r="Q106">
        <v>1</v>
      </c>
      <c r="X106">
        <v>8</v>
      </c>
      <c r="Y106">
        <v>0</v>
      </c>
      <c r="Z106">
        <v>0.77</v>
      </c>
      <c r="AA106">
        <v>0</v>
      </c>
      <c r="AB106">
        <v>0</v>
      </c>
      <c r="AC106">
        <v>0</v>
      </c>
      <c r="AD106">
        <v>1</v>
      </c>
      <c r="AE106">
        <v>0</v>
      </c>
      <c r="AF106" t="s">
        <v>87</v>
      </c>
      <c r="AG106">
        <v>7.68</v>
      </c>
      <c r="AH106">
        <v>2</v>
      </c>
      <c r="AI106">
        <v>57014899</v>
      </c>
      <c r="AJ106">
        <v>84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</row>
    <row r="107" spans="1:44" x14ac:dyDescent="0.25">
      <c r="A107">
        <f>ROW(Source!A51)</f>
        <v>51</v>
      </c>
      <c r="B107">
        <v>57014905</v>
      </c>
      <c r="C107">
        <v>57014896</v>
      </c>
      <c r="D107">
        <v>55460658</v>
      </c>
      <c r="E107">
        <v>1</v>
      </c>
      <c r="F107">
        <v>1</v>
      </c>
      <c r="G107">
        <v>1081</v>
      </c>
      <c r="H107">
        <v>3</v>
      </c>
      <c r="I107" t="s">
        <v>463</v>
      </c>
      <c r="J107" t="s">
        <v>464</v>
      </c>
      <c r="K107" t="s">
        <v>465</v>
      </c>
      <c r="L107">
        <v>1296</v>
      </c>
      <c r="N107">
        <v>1002</v>
      </c>
      <c r="O107" t="s">
        <v>466</v>
      </c>
      <c r="P107" t="s">
        <v>466</v>
      </c>
      <c r="Q107">
        <v>1</v>
      </c>
      <c r="X107">
        <v>2.1267</v>
      </c>
      <c r="Y107">
        <v>84.21</v>
      </c>
      <c r="Z107">
        <v>0</v>
      </c>
      <c r="AA107">
        <v>0</v>
      </c>
      <c r="AB107">
        <v>0</v>
      </c>
      <c r="AC107">
        <v>0</v>
      </c>
      <c r="AD107">
        <v>1</v>
      </c>
      <c r="AE107">
        <v>0</v>
      </c>
      <c r="AF107" t="s">
        <v>29</v>
      </c>
      <c r="AG107">
        <v>0</v>
      </c>
      <c r="AH107">
        <v>2</v>
      </c>
      <c r="AI107">
        <v>57014900</v>
      </c>
      <c r="AJ107">
        <v>85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</row>
    <row r="108" spans="1:44" x14ac:dyDescent="0.25">
      <c r="A108">
        <f>ROW(Source!A51)</f>
        <v>51</v>
      </c>
      <c r="B108">
        <v>57014906</v>
      </c>
      <c r="C108">
        <v>57014896</v>
      </c>
      <c r="D108">
        <v>55461822</v>
      </c>
      <c r="E108">
        <v>1</v>
      </c>
      <c r="F108">
        <v>1</v>
      </c>
      <c r="G108">
        <v>1081</v>
      </c>
      <c r="H108">
        <v>3</v>
      </c>
      <c r="I108" t="s">
        <v>467</v>
      </c>
      <c r="J108" t="s">
        <v>468</v>
      </c>
      <c r="K108" t="s">
        <v>469</v>
      </c>
      <c r="L108">
        <v>1355</v>
      </c>
      <c r="N108">
        <v>1010</v>
      </c>
      <c r="O108" t="s">
        <v>64</v>
      </c>
      <c r="P108" t="s">
        <v>64</v>
      </c>
      <c r="Q108">
        <v>100</v>
      </c>
      <c r="X108">
        <v>4.04</v>
      </c>
      <c r="Y108">
        <v>43.8</v>
      </c>
      <c r="Z108">
        <v>0</v>
      </c>
      <c r="AA108">
        <v>0</v>
      </c>
      <c r="AB108">
        <v>0</v>
      </c>
      <c r="AC108">
        <v>0</v>
      </c>
      <c r="AD108">
        <v>1</v>
      </c>
      <c r="AE108">
        <v>0</v>
      </c>
      <c r="AF108" t="s">
        <v>29</v>
      </c>
      <c r="AG108">
        <v>0</v>
      </c>
      <c r="AH108">
        <v>2</v>
      </c>
      <c r="AI108">
        <v>57014901</v>
      </c>
      <c r="AJ108">
        <v>86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</row>
    <row r="109" spans="1:44" x14ac:dyDescent="0.25">
      <c r="A109">
        <f>ROW(Source!A51)</f>
        <v>51</v>
      </c>
      <c r="B109">
        <v>57014907</v>
      </c>
      <c r="C109">
        <v>57014896</v>
      </c>
      <c r="D109">
        <v>55440627</v>
      </c>
      <c r="E109">
        <v>1081</v>
      </c>
      <c r="F109">
        <v>1</v>
      </c>
      <c r="G109">
        <v>1081</v>
      </c>
      <c r="H109">
        <v>3</v>
      </c>
      <c r="I109" t="s">
        <v>499</v>
      </c>
      <c r="J109" t="s">
        <v>3</v>
      </c>
      <c r="K109" t="s">
        <v>500</v>
      </c>
      <c r="L109">
        <v>1354</v>
      </c>
      <c r="N109">
        <v>1010</v>
      </c>
      <c r="O109" t="s">
        <v>251</v>
      </c>
      <c r="P109" t="s">
        <v>251</v>
      </c>
      <c r="Q109">
        <v>1</v>
      </c>
      <c r="X109">
        <v>1.7633000000000001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 t="s">
        <v>29</v>
      </c>
      <c r="AG109">
        <v>0</v>
      </c>
      <c r="AH109">
        <v>3</v>
      </c>
      <c r="AI109">
        <v>-1</v>
      </c>
      <c r="AJ109" t="s">
        <v>3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</row>
    <row r="110" spans="1:44" x14ac:dyDescent="0.25">
      <c r="A110">
        <f>ROW(Source!A51)</f>
        <v>51</v>
      </c>
      <c r="B110">
        <v>57014908</v>
      </c>
      <c r="C110">
        <v>57014896</v>
      </c>
      <c r="D110">
        <v>55449246</v>
      </c>
      <c r="E110">
        <v>1081</v>
      </c>
      <c r="F110">
        <v>1</v>
      </c>
      <c r="G110">
        <v>1081</v>
      </c>
      <c r="H110">
        <v>3</v>
      </c>
      <c r="I110" t="s">
        <v>501</v>
      </c>
      <c r="J110" t="s">
        <v>3</v>
      </c>
      <c r="K110" t="s">
        <v>502</v>
      </c>
      <c r="L110">
        <v>1354</v>
      </c>
      <c r="N110">
        <v>1010</v>
      </c>
      <c r="O110" t="s">
        <v>251</v>
      </c>
      <c r="P110" t="s">
        <v>251</v>
      </c>
      <c r="Q110">
        <v>1</v>
      </c>
      <c r="X110">
        <v>100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 t="s">
        <v>29</v>
      </c>
      <c r="AG110">
        <v>0</v>
      </c>
      <c r="AH110">
        <v>3</v>
      </c>
      <c r="AI110">
        <v>-1</v>
      </c>
      <c r="AJ110" t="s">
        <v>3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</row>
    <row r="111" spans="1:44" x14ac:dyDescent="0.25">
      <c r="A111">
        <f>ROW(Source!A87)</f>
        <v>87</v>
      </c>
      <c r="B111">
        <v>57014501</v>
      </c>
      <c r="C111">
        <v>57014495</v>
      </c>
      <c r="D111">
        <v>55424304</v>
      </c>
      <c r="E111">
        <v>1081</v>
      </c>
      <c r="F111">
        <v>1</v>
      </c>
      <c r="G111">
        <v>1081</v>
      </c>
      <c r="H111">
        <v>1</v>
      </c>
      <c r="I111" t="s">
        <v>385</v>
      </c>
      <c r="J111" t="s">
        <v>3</v>
      </c>
      <c r="K111" t="s">
        <v>386</v>
      </c>
      <c r="L111">
        <v>1191</v>
      </c>
      <c r="N111">
        <v>1013</v>
      </c>
      <c r="O111" t="s">
        <v>387</v>
      </c>
      <c r="P111" t="s">
        <v>387</v>
      </c>
      <c r="Q111">
        <v>1</v>
      </c>
      <c r="X111">
        <v>13.4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1</v>
      </c>
      <c r="AE111">
        <v>1</v>
      </c>
      <c r="AF111" t="s">
        <v>71</v>
      </c>
      <c r="AG111">
        <v>16.079999999999998</v>
      </c>
      <c r="AH111">
        <v>2</v>
      </c>
      <c r="AI111">
        <v>57014496</v>
      </c>
      <c r="AJ111">
        <v>87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</row>
    <row r="112" spans="1:44" x14ac:dyDescent="0.25">
      <c r="A112">
        <f>ROW(Source!A87)</f>
        <v>87</v>
      </c>
      <c r="B112">
        <v>57014502</v>
      </c>
      <c r="C112">
        <v>57014495</v>
      </c>
      <c r="D112">
        <v>55489513</v>
      </c>
      <c r="E112">
        <v>1</v>
      </c>
      <c r="F112">
        <v>1</v>
      </c>
      <c r="G112">
        <v>1081</v>
      </c>
      <c r="H112">
        <v>2</v>
      </c>
      <c r="I112" t="s">
        <v>388</v>
      </c>
      <c r="J112" t="s">
        <v>389</v>
      </c>
      <c r="K112" t="s">
        <v>390</v>
      </c>
      <c r="L112">
        <v>1368</v>
      </c>
      <c r="N112">
        <v>1011</v>
      </c>
      <c r="O112" t="s">
        <v>391</v>
      </c>
      <c r="P112" t="s">
        <v>391</v>
      </c>
      <c r="Q112">
        <v>1</v>
      </c>
      <c r="X112">
        <v>0.54</v>
      </c>
      <c r="Y112">
        <v>0</v>
      </c>
      <c r="Z112">
        <v>114.83</v>
      </c>
      <c r="AA112">
        <v>12.62</v>
      </c>
      <c r="AB112">
        <v>0</v>
      </c>
      <c r="AC112">
        <v>0</v>
      </c>
      <c r="AD112">
        <v>1</v>
      </c>
      <c r="AE112">
        <v>0</v>
      </c>
      <c r="AF112" t="s">
        <v>71</v>
      </c>
      <c r="AG112">
        <v>0.64800000000000002</v>
      </c>
      <c r="AH112">
        <v>2</v>
      </c>
      <c r="AI112">
        <v>57014497</v>
      </c>
      <c r="AJ112">
        <v>88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</row>
    <row r="113" spans="1:44" x14ac:dyDescent="0.25">
      <c r="A113">
        <f>ROW(Source!A87)</f>
        <v>87</v>
      </c>
      <c r="B113">
        <v>57014503</v>
      </c>
      <c r="C113">
        <v>57014495</v>
      </c>
      <c r="D113">
        <v>55489525</v>
      </c>
      <c r="E113">
        <v>1</v>
      </c>
      <c r="F113">
        <v>1</v>
      </c>
      <c r="G113">
        <v>1081</v>
      </c>
      <c r="H113">
        <v>2</v>
      </c>
      <c r="I113" t="s">
        <v>393</v>
      </c>
      <c r="J113" t="s">
        <v>394</v>
      </c>
      <c r="K113" t="s">
        <v>395</v>
      </c>
      <c r="L113">
        <v>1368</v>
      </c>
      <c r="N113">
        <v>1011</v>
      </c>
      <c r="O113" t="s">
        <v>391</v>
      </c>
      <c r="P113" t="s">
        <v>391</v>
      </c>
      <c r="Q113">
        <v>1</v>
      </c>
      <c r="X113">
        <v>1.6</v>
      </c>
      <c r="Y113">
        <v>0</v>
      </c>
      <c r="Z113">
        <v>0.77</v>
      </c>
      <c r="AA113">
        <v>0</v>
      </c>
      <c r="AB113">
        <v>0</v>
      </c>
      <c r="AC113">
        <v>0</v>
      </c>
      <c r="AD113">
        <v>1</v>
      </c>
      <c r="AE113">
        <v>0</v>
      </c>
      <c r="AF113" t="s">
        <v>71</v>
      </c>
      <c r="AG113">
        <v>1.92</v>
      </c>
      <c r="AH113">
        <v>2</v>
      </c>
      <c r="AI113">
        <v>57014498</v>
      </c>
      <c r="AJ113">
        <v>89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</row>
    <row r="114" spans="1:44" x14ac:dyDescent="0.25">
      <c r="A114">
        <f>ROW(Source!A87)</f>
        <v>87</v>
      </c>
      <c r="B114">
        <v>57014504</v>
      </c>
      <c r="C114">
        <v>57014495</v>
      </c>
      <c r="D114">
        <v>55459457</v>
      </c>
      <c r="E114">
        <v>1</v>
      </c>
      <c r="F114">
        <v>1</v>
      </c>
      <c r="G114">
        <v>1081</v>
      </c>
      <c r="H114">
        <v>3</v>
      </c>
      <c r="I114" t="s">
        <v>396</v>
      </c>
      <c r="J114" t="s">
        <v>397</v>
      </c>
      <c r="K114" t="s">
        <v>398</v>
      </c>
      <c r="L114">
        <v>1346</v>
      </c>
      <c r="N114">
        <v>1009</v>
      </c>
      <c r="O114" t="s">
        <v>365</v>
      </c>
      <c r="P114" t="s">
        <v>365</v>
      </c>
      <c r="Q114">
        <v>1</v>
      </c>
      <c r="X114">
        <v>2.5000000000000001E-2</v>
      </c>
      <c r="Y114">
        <v>23.87</v>
      </c>
      <c r="Z114">
        <v>0</v>
      </c>
      <c r="AA114">
        <v>0</v>
      </c>
      <c r="AB114">
        <v>0</v>
      </c>
      <c r="AC114">
        <v>0</v>
      </c>
      <c r="AD114">
        <v>1</v>
      </c>
      <c r="AE114">
        <v>0</v>
      </c>
      <c r="AF114" t="s">
        <v>70</v>
      </c>
      <c r="AG114">
        <v>2.5000000000000001E-2</v>
      </c>
      <c r="AH114">
        <v>2</v>
      </c>
      <c r="AI114">
        <v>57014499</v>
      </c>
      <c r="AJ114">
        <v>90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</row>
    <row r="115" spans="1:44" x14ac:dyDescent="0.25">
      <c r="A115">
        <f>ROW(Source!A87)</f>
        <v>87</v>
      </c>
      <c r="B115">
        <v>57014505</v>
      </c>
      <c r="C115">
        <v>57014495</v>
      </c>
      <c r="D115">
        <v>55459641</v>
      </c>
      <c r="E115">
        <v>1</v>
      </c>
      <c r="F115">
        <v>1</v>
      </c>
      <c r="G115">
        <v>1081</v>
      </c>
      <c r="H115">
        <v>3</v>
      </c>
      <c r="I115" t="s">
        <v>399</v>
      </c>
      <c r="J115" t="s">
        <v>400</v>
      </c>
      <c r="K115" t="s">
        <v>401</v>
      </c>
      <c r="L115">
        <v>1327</v>
      </c>
      <c r="N115">
        <v>1005</v>
      </c>
      <c r="O115" t="s">
        <v>402</v>
      </c>
      <c r="P115" t="s">
        <v>402</v>
      </c>
      <c r="Q115">
        <v>1</v>
      </c>
      <c r="X115">
        <v>0.45</v>
      </c>
      <c r="Y115">
        <v>7.39</v>
      </c>
      <c r="Z115">
        <v>0</v>
      </c>
      <c r="AA115">
        <v>0</v>
      </c>
      <c r="AB115">
        <v>0</v>
      </c>
      <c r="AC115">
        <v>0</v>
      </c>
      <c r="AD115">
        <v>1</v>
      </c>
      <c r="AE115">
        <v>0</v>
      </c>
      <c r="AF115" t="s">
        <v>70</v>
      </c>
      <c r="AG115">
        <v>0.45</v>
      </c>
      <c r="AH115">
        <v>2</v>
      </c>
      <c r="AI115">
        <v>57014500</v>
      </c>
      <c r="AJ115">
        <v>91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</row>
    <row r="116" spans="1:44" x14ac:dyDescent="0.25">
      <c r="A116">
        <f>ROW(Source!A87)</f>
        <v>87</v>
      </c>
      <c r="B116">
        <v>57014506</v>
      </c>
      <c r="C116">
        <v>57014495</v>
      </c>
      <c r="D116">
        <v>55448129</v>
      </c>
      <c r="E116">
        <v>1081</v>
      </c>
      <c r="F116">
        <v>1</v>
      </c>
      <c r="G116">
        <v>1081</v>
      </c>
      <c r="H116">
        <v>3</v>
      </c>
      <c r="I116" t="s">
        <v>479</v>
      </c>
      <c r="J116" t="s">
        <v>3</v>
      </c>
      <c r="K116" t="s">
        <v>480</v>
      </c>
      <c r="L116">
        <v>1354</v>
      </c>
      <c r="N116">
        <v>1010</v>
      </c>
      <c r="O116" t="s">
        <v>251</v>
      </c>
      <c r="P116" t="s">
        <v>251</v>
      </c>
      <c r="Q116">
        <v>1</v>
      </c>
      <c r="X116">
        <v>1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 t="s">
        <v>70</v>
      </c>
      <c r="AG116">
        <v>1</v>
      </c>
      <c r="AH116">
        <v>3</v>
      </c>
      <c r="AI116">
        <v>-1</v>
      </c>
      <c r="AJ116" t="s">
        <v>3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</row>
    <row r="117" spans="1:44" x14ac:dyDescent="0.25">
      <c r="A117">
        <f>ROW(Source!A88)</f>
        <v>88</v>
      </c>
      <c r="B117">
        <v>57014501</v>
      </c>
      <c r="C117">
        <v>57014495</v>
      </c>
      <c r="D117">
        <v>55424304</v>
      </c>
      <c r="E117">
        <v>1081</v>
      </c>
      <c r="F117">
        <v>1</v>
      </c>
      <c r="G117">
        <v>1081</v>
      </c>
      <c r="H117">
        <v>1</v>
      </c>
      <c r="I117" t="s">
        <v>385</v>
      </c>
      <c r="J117" t="s">
        <v>3</v>
      </c>
      <c r="K117" t="s">
        <v>386</v>
      </c>
      <c r="L117">
        <v>1191</v>
      </c>
      <c r="N117">
        <v>1013</v>
      </c>
      <c r="O117" t="s">
        <v>387</v>
      </c>
      <c r="P117" t="s">
        <v>387</v>
      </c>
      <c r="Q117">
        <v>1</v>
      </c>
      <c r="X117">
        <v>13.4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1</v>
      </c>
      <c r="AE117">
        <v>1</v>
      </c>
      <c r="AF117" t="s">
        <v>71</v>
      </c>
      <c r="AG117">
        <v>16.079999999999998</v>
      </c>
      <c r="AH117">
        <v>2</v>
      </c>
      <c r="AI117">
        <v>57014496</v>
      </c>
      <c r="AJ117">
        <v>92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</row>
    <row r="118" spans="1:44" x14ac:dyDescent="0.25">
      <c r="A118">
        <f>ROW(Source!A88)</f>
        <v>88</v>
      </c>
      <c r="B118">
        <v>57014502</v>
      </c>
      <c r="C118">
        <v>57014495</v>
      </c>
      <c r="D118">
        <v>55489513</v>
      </c>
      <c r="E118">
        <v>1</v>
      </c>
      <c r="F118">
        <v>1</v>
      </c>
      <c r="G118">
        <v>1081</v>
      </c>
      <c r="H118">
        <v>2</v>
      </c>
      <c r="I118" t="s">
        <v>388</v>
      </c>
      <c r="J118" t="s">
        <v>389</v>
      </c>
      <c r="K118" t="s">
        <v>390</v>
      </c>
      <c r="L118">
        <v>1368</v>
      </c>
      <c r="N118">
        <v>1011</v>
      </c>
      <c r="O118" t="s">
        <v>391</v>
      </c>
      <c r="P118" t="s">
        <v>391</v>
      </c>
      <c r="Q118">
        <v>1</v>
      </c>
      <c r="X118">
        <v>0.54</v>
      </c>
      <c r="Y118">
        <v>0</v>
      </c>
      <c r="Z118">
        <v>114.83</v>
      </c>
      <c r="AA118">
        <v>12.62</v>
      </c>
      <c r="AB118">
        <v>0</v>
      </c>
      <c r="AC118">
        <v>0</v>
      </c>
      <c r="AD118">
        <v>1</v>
      </c>
      <c r="AE118">
        <v>0</v>
      </c>
      <c r="AF118" t="s">
        <v>71</v>
      </c>
      <c r="AG118">
        <v>0.64800000000000002</v>
      </c>
      <c r="AH118">
        <v>2</v>
      </c>
      <c r="AI118">
        <v>57014497</v>
      </c>
      <c r="AJ118">
        <v>93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</row>
    <row r="119" spans="1:44" x14ac:dyDescent="0.25">
      <c r="A119">
        <f>ROW(Source!A88)</f>
        <v>88</v>
      </c>
      <c r="B119">
        <v>57014503</v>
      </c>
      <c r="C119">
        <v>57014495</v>
      </c>
      <c r="D119">
        <v>55489525</v>
      </c>
      <c r="E119">
        <v>1</v>
      </c>
      <c r="F119">
        <v>1</v>
      </c>
      <c r="G119">
        <v>1081</v>
      </c>
      <c r="H119">
        <v>2</v>
      </c>
      <c r="I119" t="s">
        <v>393</v>
      </c>
      <c r="J119" t="s">
        <v>394</v>
      </c>
      <c r="K119" t="s">
        <v>395</v>
      </c>
      <c r="L119">
        <v>1368</v>
      </c>
      <c r="N119">
        <v>1011</v>
      </c>
      <c r="O119" t="s">
        <v>391</v>
      </c>
      <c r="P119" t="s">
        <v>391</v>
      </c>
      <c r="Q119">
        <v>1</v>
      </c>
      <c r="X119">
        <v>1.6</v>
      </c>
      <c r="Y119">
        <v>0</v>
      </c>
      <c r="Z119">
        <v>0.77</v>
      </c>
      <c r="AA119">
        <v>0</v>
      </c>
      <c r="AB119">
        <v>0</v>
      </c>
      <c r="AC119">
        <v>0</v>
      </c>
      <c r="AD119">
        <v>1</v>
      </c>
      <c r="AE119">
        <v>0</v>
      </c>
      <c r="AF119" t="s">
        <v>71</v>
      </c>
      <c r="AG119">
        <v>1.92</v>
      </c>
      <c r="AH119">
        <v>2</v>
      </c>
      <c r="AI119">
        <v>57014498</v>
      </c>
      <c r="AJ119">
        <v>94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</row>
    <row r="120" spans="1:44" x14ac:dyDescent="0.25">
      <c r="A120">
        <f>ROW(Source!A88)</f>
        <v>88</v>
      </c>
      <c r="B120">
        <v>57014504</v>
      </c>
      <c r="C120">
        <v>57014495</v>
      </c>
      <c r="D120">
        <v>55459457</v>
      </c>
      <c r="E120">
        <v>1</v>
      </c>
      <c r="F120">
        <v>1</v>
      </c>
      <c r="G120">
        <v>1081</v>
      </c>
      <c r="H120">
        <v>3</v>
      </c>
      <c r="I120" t="s">
        <v>396</v>
      </c>
      <c r="J120" t="s">
        <v>397</v>
      </c>
      <c r="K120" t="s">
        <v>398</v>
      </c>
      <c r="L120">
        <v>1346</v>
      </c>
      <c r="N120">
        <v>1009</v>
      </c>
      <c r="O120" t="s">
        <v>365</v>
      </c>
      <c r="P120" t="s">
        <v>365</v>
      </c>
      <c r="Q120">
        <v>1</v>
      </c>
      <c r="X120">
        <v>2.5000000000000001E-2</v>
      </c>
      <c r="Y120">
        <v>23.87</v>
      </c>
      <c r="Z120">
        <v>0</v>
      </c>
      <c r="AA120">
        <v>0</v>
      </c>
      <c r="AB120">
        <v>0</v>
      </c>
      <c r="AC120">
        <v>0</v>
      </c>
      <c r="AD120">
        <v>1</v>
      </c>
      <c r="AE120">
        <v>0</v>
      </c>
      <c r="AF120" t="s">
        <v>70</v>
      </c>
      <c r="AG120">
        <v>2.5000000000000001E-2</v>
      </c>
      <c r="AH120">
        <v>2</v>
      </c>
      <c r="AI120">
        <v>57014499</v>
      </c>
      <c r="AJ120">
        <v>95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</row>
    <row r="121" spans="1:44" x14ac:dyDescent="0.25">
      <c r="A121">
        <f>ROW(Source!A88)</f>
        <v>88</v>
      </c>
      <c r="B121">
        <v>57014505</v>
      </c>
      <c r="C121">
        <v>57014495</v>
      </c>
      <c r="D121">
        <v>55459641</v>
      </c>
      <c r="E121">
        <v>1</v>
      </c>
      <c r="F121">
        <v>1</v>
      </c>
      <c r="G121">
        <v>1081</v>
      </c>
      <c r="H121">
        <v>3</v>
      </c>
      <c r="I121" t="s">
        <v>399</v>
      </c>
      <c r="J121" t="s">
        <v>400</v>
      </c>
      <c r="K121" t="s">
        <v>401</v>
      </c>
      <c r="L121">
        <v>1327</v>
      </c>
      <c r="N121">
        <v>1005</v>
      </c>
      <c r="O121" t="s">
        <v>402</v>
      </c>
      <c r="P121" t="s">
        <v>402</v>
      </c>
      <c r="Q121">
        <v>1</v>
      </c>
      <c r="X121">
        <v>0.45</v>
      </c>
      <c r="Y121">
        <v>7.39</v>
      </c>
      <c r="Z121">
        <v>0</v>
      </c>
      <c r="AA121">
        <v>0</v>
      </c>
      <c r="AB121">
        <v>0</v>
      </c>
      <c r="AC121">
        <v>0</v>
      </c>
      <c r="AD121">
        <v>1</v>
      </c>
      <c r="AE121">
        <v>0</v>
      </c>
      <c r="AF121" t="s">
        <v>70</v>
      </c>
      <c r="AG121">
        <v>0.45</v>
      </c>
      <c r="AH121">
        <v>2</v>
      </c>
      <c r="AI121">
        <v>57014500</v>
      </c>
      <c r="AJ121">
        <v>96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</row>
    <row r="122" spans="1:44" x14ac:dyDescent="0.25">
      <c r="A122">
        <f>ROW(Source!A88)</f>
        <v>88</v>
      </c>
      <c r="B122">
        <v>57014506</v>
      </c>
      <c r="C122">
        <v>57014495</v>
      </c>
      <c r="D122">
        <v>55448129</v>
      </c>
      <c r="E122">
        <v>1081</v>
      </c>
      <c r="F122">
        <v>1</v>
      </c>
      <c r="G122">
        <v>1081</v>
      </c>
      <c r="H122">
        <v>3</v>
      </c>
      <c r="I122" t="s">
        <v>479</v>
      </c>
      <c r="J122" t="s">
        <v>3</v>
      </c>
      <c r="K122" t="s">
        <v>480</v>
      </c>
      <c r="L122">
        <v>1354</v>
      </c>
      <c r="N122">
        <v>1010</v>
      </c>
      <c r="O122" t="s">
        <v>251</v>
      </c>
      <c r="P122" t="s">
        <v>251</v>
      </c>
      <c r="Q122">
        <v>1</v>
      </c>
      <c r="X122">
        <v>1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 t="s">
        <v>70</v>
      </c>
      <c r="AG122">
        <v>1</v>
      </c>
      <c r="AH122">
        <v>3</v>
      </c>
      <c r="AI122">
        <v>-1</v>
      </c>
      <c r="AJ122" t="s">
        <v>3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</row>
    <row r="123" spans="1:44" x14ac:dyDescent="0.25">
      <c r="A123">
        <f>ROW(Source!A93)</f>
        <v>93</v>
      </c>
      <c r="B123">
        <v>57015300</v>
      </c>
      <c r="C123">
        <v>57015299</v>
      </c>
      <c r="D123">
        <v>55424304</v>
      </c>
      <c r="E123">
        <v>1081</v>
      </c>
      <c r="F123">
        <v>1</v>
      </c>
      <c r="G123">
        <v>1081</v>
      </c>
      <c r="H123">
        <v>1</v>
      </c>
      <c r="I123" t="s">
        <v>385</v>
      </c>
      <c r="J123" t="s">
        <v>3</v>
      </c>
      <c r="K123" t="s">
        <v>386</v>
      </c>
      <c r="L123">
        <v>1191</v>
      </c>
      <c r="N123">
        <v>1013</v>
      </c>
      <c r="O123" t="s">
        <v>387</v>
      </c>
      <c r="P123" t="s">
        <v>387</v>
      </c>
      <c r="Q123">
        <v>1</v>
      </c>
      <c r="X123">
        <v>1.03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1</v>
      </c>
      <c r="AE123">
        <v>1</v>
      </c>
      <c r="AF123" t="s">
        <v>71</v>
      </c>
      <c r="AG123">
        <v>1.236</v>
      </c>
      <c r="AH123">
        <v>2</v>
      </c>
      <c r="AI123">
        <v>57015300</v>
      </c>
      <c r="AJ123">
        <v>97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</row>
    <row r="124" spans="1:44" x14ac:dyDescent="0.25">
      <c r="A124">
        <f>ROW(Source!A93)</f>
        <v>93</v>
      </c>
      <c r="B124">
        <v>57015301</v>
      </c>
      <c r="C124">
        <v>57015299</v>
      </c>
      <c r="D124">
        <v>55490209</v>
      </c>
      <c r="E124">
        <v>1</v>
      </c>
      <c r="F124">
        <v>1</v>
      </c>
      <c r="G124">
        <v>1081</v>
      </c>
      <c r="H124">
        <v>2</v>
      </c>
      <c r="I124" t="s">
        <v>460</v>
      </c>
      <c r="J124" t="s">
        <v>461</v>
      </c>
      <c r="K124" t="s">
        <v>462</v>
      </c>
      <c r="L124">
        <v>1368</v>
      </c>
      <c r="N124">
        <v>1011</v>
      </c>
      <c r="O124" t="s">
        <v>391</v>
      </c>
      <c r="P124" t="s">
        <v>391</v>
      </c>
      <c r="Q124">
        <v>1</v>
      </c>
      <c r="X124">
        <v>6.0000000000000001E-3</v>
      </c>
      <c r="Y124">
        <v>0</v>
      </c>
      <c r="Z124">
        <v>83.1</v>
      </c>
      <c r="AA124">
        <v>12.62</v>
      </c>
      <c r="AB124">
        <v>0</v>
      </c>
      <c r="AC124">
        <v>0</v>
      </c>
      <c r="AD124">
        <v>1</v>
      </c>
      <c r="AE124">
        <v>0</v>
      </c>
      <c r="AF124" t="s">
        <v>71</v>
      </c>
      <c r="AG124">
        <v>7.1999999999999998E-3</v>
      </c>
      <c r="AH124">
        <v>2</v>
      </c>
      <c r="AI124">
        <v>57015301</v>
      </c>
      <c r="AJ124">
        <v>98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</row>
    <row r="125" spans="1:44" x14ac:dyDescent="0.25">
      <c r="A125">
        <f>ROW(Source!A93)</f>
        <v>93</v>
      </c>
      <c r="B125">
        <v>57015302</v>
      </c>
      <c r="C125">
        <v>57015299</v>
      </c>
      <c r="D125">
        <v>55440939</v>
      </c>
      <c r="E125">
        <v>1081</v>
      </c>
      <c r="F125">
        <v>1</v>
      </c>
      <c r="G125">
        <v>1081</v>
      </c>
      <c r="H125">
        <v>3</v>
      </c>
      <c r="I125" t="s">
        <v>503</v>
      </c>
      <c r="J125" t="s">
        <v>3</v>
      </c>
      <c r="K125" t="s">
        <v>504</v>
      </c>
      <c r="L125">
        <v>1354</v>
      </c>
      <c r="N125">
        <v>1010</v>
      </c>
      <c r="O125" t="s">
        <v>251</v>
      </c>
      <c r="P125" t="s">
        <v>251</v>
      </c>
      <c r="Q125">
        <v>1</v>
      </c>
      <c r="X125">
        <v>1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 t="s">
        <v>70</v>
      </c>
      <c r="AG125">
        <v>1</v>
      </c>
      <c r="AH125">
        <v>3</v>
      </c>
      <c r="AI125">
        <v>-1</v>
      </c>
      <c r="AJ125" t="s">
        <v>3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</row>
    <row r="126" spans="1:44" x14ac:dyDescent="0.25">
      <c r="A126">
        <f>ROW(Source!A94)</f>
        <v>94</v>
      </c>
      <c r="B126">
        <v>57015300</v>
      </c>
      <c r="C126">
        <v>57015299</v>
      </c>
      <c r="D126">
        <v>55424304</v>
      </c>
      <c r="E126">
        <v>1081</v>
      </c>
      <c r="F126">
        <v>1</v>
      </c>
      <c r="G126">
        <v>1081</v>
      </c>
      <c r="H126">
        <v>1</v>
      </c>
      <c r="I126" t="s">
        <v>385</v>
      </c>
      <c r="J126" t="s">
        <v>3</v>
      </c>
      <c r="K126" t="s">
        <v>386</v>
      </c>
      <c r="L126">
        <v>1191</v>
      </c>
      <c r="N126">
        <v>1013</v>
      </c>
      <c r="O126" t="s">
        <v>387</v>
      </c>
      <c r="P126" t="s">
        <v>387</v>
      </c>
      <c r="Q126">
        <v>1</v>
      </c>
      <c r="X126">
        <v>1.03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1</v>
      </c>
      <c r="AE126">
        <v>1</v>
      </c>
      <c r="AF126" t="s">
        <v>71</v>
      </c>
      <c r="AG126">
        <v>1.236</v>
      </c>
      <c r="AH126">
        <v>2</v>
      </c>
      <c r="AI126">
        <v>57015300</v>
      </c>
      <c r="AJ126">
        <v>99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</row>
    <row r="127" spans="1:44" x14ac:dyDescent="0.25">
      <c r="A127">
        <f>ROW(Source!A94)</f>
        <v>94</v>
      </c>
      <c r="B127">
        <v>57015301</v>
      </c>
      <c r="C127">
        <v>57015299</v>
      </c>
      <c r="D127">
        <v>55490209</v>
      </c>
      <c r="E127">
        <v>1</v>
      </c>
      <c r="F127">
        <v>1</v>
      </c>
      <c r="G127">
        <v>1081</v>
      </c>
      <c r="H127">
        <v>2</v>
      </c>
      <c r="I127" t="s">
        <v>460</v>
      </c>
      <c r="J127" t="s">
        <v>461</v>
      </c>
      <c r="K127" t="s">
        <v>462</v>
      </c>
      <c r="L127">
        <v>1368</v>
      </c>
      <c r="N127">
        <v>1011</v>
      </c>
      <c r="O127" t="s">
        <v>391</v>
      </c>
      <c r="P127" t="s">
        <v>391</v>
      </c>
      <c r="Q127">
        <v>1</v>
      </c>
      <c r="X127">
        <v>6.0000000000000001E-3</v>
      </c>
      <c r="Y127">
        <v>0</v>
      </c>
      <c r="Z127">
        <v>83.1</v>
      </c>
      <c r="AA127">
        <v>12.62</v>
      </c>
      <c r="AB127">
        <v>0</v>
      </c>
      <c r="AC127">
        <v>0</v>
      </c>
      <c r="AD127">
        <v>1</v>
      </c>
      <c r="AE127">
        <v>0</v>
      </c>
      <c r="AF127" t="s">
        <v>71</v>
      </c>
      <c r="AG127">
        <v>7.1999999999999998E-3</v>
      </c>
      <c r="AH127">
        <v>2</v>
      </c>
      <c r="AI127">
        <v>57015301</v>
      </c>
      <c r="AJ127">
        <v>100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</row>
    <row r="128" spans="1:44" x14ac:dyDescent="0.25">
      <c r="A128">
        <f>ROW(Source!A94)</f>
        <v>94</v>
      </c>
      <c r="B128">
        <v>57015302</v>
      </c>
      <c r="C128">
        <v>57015299</v>
      </c>
      <c r="D128">
        <v>55440939</v>
      </c>
      <c r="E128">
        <v>1081</v>
      </c>
      <c r="F128">
        <v>1</v>
      </c>
      <c r="G128">
        <v>1081</v>
      </c>
      <c r="H128">
        <v>3</v>
      </c>
      <c r="I128" t="s">
        <v>503</v>
      </c>
      <c r="J128" t="s">
        <v>3</v>
      </c>
      <c r="K128" t="s">
        <v>504</v>
      </c>
      <c r="L128">
        <v>1354</v>
      </c>
      <c r="N128">
        <v>1010</v>
      </c>
      <c r="O128" t="s">
        <v>251</v>
      </c>
      <c r="P128" t="s">
        <v>251</v>
      </c>
      <c r="Q128">
        <v>1</v>
      </c>
      <c r="X128">
        <v>1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 t="s">
        <v>70</v>
      </c>
      <c r="AG128">
        <v>1</v>
      </c>
      <c r="AH128">
        <v>3</v>
      </c>
      <c r="AI128">
        <v>-1</v>
      </c>
      <c r="AJ128" t="s">
        <v>3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</row>
    <row r="129" spans="1:44" x14ac:dyDescent="0.25">
      <c r="A129">
        <f>ROW(Source!A95)</f>
        <v>95</v>
      </c>
      <c r="B129">
        <v>57014522</v>
      </c>
      <c r="C129">
        <v>57014517</v>
      </c>
      <c r="D129">
        <v>55424304</v>
      </c>
      <c r="E129">
        <v>1081</v>
      </c>
      <c r="F129">
        <v>1</v>
      </c>
      <c r="G129">
        <v>1081</v>
      </c>
      <c r="H129">
        <v>1</v>
      </c>
      <c r="I129" t="s">
        <v>385</v>
      </c>
      <c r="J129" t="s">
        <v>3</v>
      </c>
      <c r="K129" t="s">
        <v>386</v>
      </c>
      <c r="L129">
        <v>1191</v>
      </c>
      <c r="N129">
        <v>1013</v>
      </c>
      <c r="O129" t="s">
        <v>387</v>
      </c>
      <c r="P129" t="s">
        <v>387</v>
      </c>
      <c r="Q129">
        <v>1</v>
      </c>
      <c r="X129">
        <v>2.65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1</v>
      </c>
      <c r="AE129">
        <v>1</v>
      </c>
      <c r="AF129" t="s">
        <v>71</v>
      </c>
      <c r="AG129">
        <v>3.1799999999999997</v>
      </c>
      <c r="AH129">
        <v>2</v>
      </c>
      <c r="AI129">
        <v>57014518</v>
      </c>
      <c r="AJ129">
        <v>101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</row>
    <row r="130" spans="1:44" x14ac:dyDescent="0.25">
      <c r="A130">
        <f>ROW(Source!A95)</f>
        <v>95</v>
      </c>
      <c r="B130">
        <v>57014523</v>
      </c>
      <c r="C130">
        <v>57014517</v>
      </c>
      <c r="D130">
        <v>55461074</v>
      </c>
      <c r="E130">
        <v>1</v>
      </c>
      <c r="F130">
        <v>1</v>
      </c>
      <c r="G130">
        <v>1081</v>
      </c>
      <c r="H130">
        <v>3</v>
      </c>
      <c r="I130" t="s">
        <v>418</v>
      </c>
      <c r="J130" t="s">
        <v>419</v>
      </c>
      <c r="K130" t="s">
        <v>420</v>
      </c>
      <c r="L130">
        <v>1346</v>
      </c>
      <c r="N130">
        <v>1009</v>
      </c>
      <c r="O130" t="s">
        <v>365</v>
      </c>
      <c r="P130" t="s">
        <v>365</v>
      </c>
      <c r="Q130">
        <v>1</v>
      </c>
      <c r="X130">
        <v>6.2700000000000004E-3</v>
      </c>
      <c r="Y130">
        <v>27.62</v>
      </c>
      <c r="Z130">
        <v>0</v>
      </c>
      <c r="AA130">
        <v>0</v>
      </c>
      <c r="AB130">
        <v>0</v>
      </c>
      <c r="AC130">
        <v>0</v>
      </c>
      <c r="AD130">
        <v>1</v>
      </c>
      <c r="AE130">
        <v>0</v>
      </c>
      <c r="AF130" t="s">
        <v>70</v>
      </c>
      <c r="AG130">
        <v>6.2700000000000004E-3</v>
      </c>
      <c r="AH130">
        <v>2</v>
      </c>
      <c r="AI130">
        <v>57014519</v>
      </c>
      <c r="AJ130">
        <v>102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</row>
    <row r="131" spans="1:44" x14ac:dyDescent="0.25">
      <c r="A131">
        <f>ROW(Source!A95)</f>
        <v>95</v>
      </c>
      <c r="B131">
        <v>57014524</v>
      </c>
      <c r="C131">
        <v>57014517</v>
      </c>
      <c r="D131">
        <v>55459793</v>
      </c>
      <c r="E131">
        <v>1</v>
      </c>
      <c r="F131">
        <v>1</v>
      </c>
      <c r="G131">
        <v>1081</v>
      </c>
      <c r="H131">
        <v>3</v>
      </c>
      <c r="I131" t="s">
        <v>412</v>
      </c>
      <c r="J131" t="s">
        <v>413</v>
      </c>
      <c r="K131" t="s">
        <v>414</v>
      </c>
      <c r="L131">
        <v>1348</v>
      </c>
      <c r="N131">
        <v>1009</v>
      </c>
      <c r="O131" t="s">
        <v>361</v>
      </c>
      <c r="P131" t="s">
        <v>361</v>
      </c>
      <c r="Q131">
        <v>1000</v>
      </c>
      <c r="X131">
        <v>1.0000000000000001E-5</v>
      </c>
      <c r="Y131">
        <v>64123.05</v>
      </c>
      <c r="Z131">
        <v>0</v>
      </c>
      <c r="AA131">
        <v>0</v>
      </c>
      <c r="AB131">
        <v>0</v>
      </c>
      <c r="AC131">
        <v>0</v>
      </c>
      <c r="AD131">
        <v>1</v>
      </c>
      <c r="AE131">
        <v>0</v>
      </c>
      <c r="AF131" t="s">
        <v>70</v>
      </c>
      <c r="AG131">
        <v>1.0000000000000001E-5</v>
      </c>
      <c r="AH131">
        <v>2</v>
      </c>
      <c r="AI131">
        <v>57014520</v>
      </c>
      <c r="AJ131">
        <v>103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</row>
    <row r="132" spans="1:44" x14ac:dyDescent="0.25">
      <c r="A132">
        <f>ROW(Source!A95)</f>
        <v>95</v>
      </c>
      <c r="B132">
        <v>57014525</v>
      </c>
      <c r="C132">
        <v>57014517</v>
      </c>
      <c r="D132">
        <v>55469253</v>
      </c>
      <c r="E132">
        <v>1</v>
      </c>
      <c r="F132">
        <v>1</v>
      </c>
      <c r="G132">
        <v>1081</v>
      </c>
      <c r="H132">
        <v>3</v>
      </c>
      <c r="I132" t="s">
        <v>421</v>
      </c>
      <c r="J132" t="s">
        <v>422</v>
      </c>
      <c r="K132" t="s">
        <v>423</v>
      </c>
      <c r="L132">
        <v>1354</v>
      </c>
      <c r="N132">
        <v>1010</v>
      </c>
      <c r="O132" t="s">
        <v>251</v>
      </c>
      <c r="P132" t="s">
        <v>251</v>
      </c>
      <c r="Q132">
        <v>1</v>
      </c>
      <c r="X132">
        <v>0.1</v>
      </c>
      <c r="Y132">
        <v>15.25</v>
      </c>
      <c r="Z132">
        <v>0</v>
      </c>
      <c r="AA132">
        <v>0</v>
      </c>
      <c r="AB132">
        <v>0</v>
      </c>
      <c r="AC132">
        <v>0</v>
      </c>
      <c r="AD132">
        <v>1</v>
      </c>
      <c r="AE132">
        <v>0</v>
      </c>
      <c r="AF132" t="s">
        <v>70</v>
      </c>
      <c r="AG132">
        <v>0.1</v>
      </c>
      <c r="AH132">
        <v>2</v>
      </c>
      <c r="AI132">
        <v>57014521</v>
      </c>
      <c r="AJ132">
        <v>104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</row>
    <row r="133" spans="1:44" x14ac:dyDescent="0.25">
      <c r="A133">
        <f>ROW(Source!A95)</f>
        <v>95</v>
      </c>
      <c r="B133">
        <v>57014526</v>
      </c>
      <c r="C133">
        <v>57014517</v>
      </c>
      <c r="D133">
        <v>55441122</v>
      </c>
      <c r="E133">
        <v>1081</v>
      </c>
      <c r="F133">
        <v>1</v>
      </c>
      <c r="G133">
        <v>1081</v>
      </c>
      <c r="H133">
        <v>3</v>
      </c>
      <c r="I133" t="s">
        <v>505</v>
      </c>
      <c r="J133" t="s">
        <v>3</v>
      </c>
      <c r="K133" t="s">
        <v>506</v>
      </c>
      <c r="L133">
        <v>1354</v>
      </c>
      <c r="N133">
        <v>1010</v>
      </c>
      <c r="O133" t="s">
        <v>251</v>
      </c>
      <c r="P133" t="s">
        <v>251</v>
      </c>
      <c r="Q133">
        <v>1</v>
      </c>
      <c r="X133">
        <v>1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 t="s">
        <v>70</v>
      </c>
      <c r="AG133">
        <v>1</v>
      </c>
      <c r="AH133">
        <v>3</v>
      </c>
      <c r="AI133">
        <v>-1</v>
      </c>
      <c r="AJ133" t="s">
        <v>3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</row>
    <row r="134" spans="1:44" x14ac:dyDescent="0.25">
      <c r="A134">
        <f>ROW(Source!A96)</f>
        <v>96</v>
      </c>
      <c r="B134">
        <v>57014522</v>
      </c>
      <c r="C134">
        <v>57014517</v>
      </c>
      <c r="D134">
        <v>55424304</v>
      </c>
      <c r="E134">
        <v>1081</v>
      </c>
      <c r="F134">
        <v>1</v>
      </c>
      <c r="G134">
        <v>1081</v>
      </c>
      <c r="H134">
        <v>1</v>
      </c>
      <c r="I134" t="s">
        <v>385</v>
      </c>
      <c r="J134" t="s">
        <v>3</v>
      </c>
      <c r="K134" t="s">
        <v>386</v>
      </c>
      <c r="L134">
        <v>1191</v>
      </c>
      <c r="N134">
        <v>1013</v>
      </c>
      <c r="O134" t="s">
        <v>387</v>
      </c>
      <c r="P134" t="s">
        <v>387</v>
      </c>
      <c r="Q134">
        <v>1</v>
      </c>
      <c r="X134">
        <v>2.65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1</v>
      </c>
      <c r="AE134">
        <v>1</v>
      </c>
      <c r="AF134" t="s">
        <v>71</v>
      </c>
      <c r="AG134">
        <v>3.1799999999999997</v>
      </c>
      <c r="AH134">
        <v>2</v>
      </c>
      <c r="AI134">
        <v>57014518</v>
      </c>
      <c r="AJ134">
        <v>105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</row>
    <row r="135" spans="1:44" x14ac:dyDescent="0.25">
      <c r="A135">
        <f>ROW(Source!A96)</f>
        <v>96</v>
      </c>
      <c r="B135">
        <v>57014523</v>
      </c>
      <c r="C135">
        <v>57014517</v>
      </c>
      <c r="D135">
        <v>55461074</v>
      </c>
      <c r="E135">
        <v>1</v>
      </c>
      <c r="F135">
        <v>1</v>
      </c>
      <c r="G135">
        <v>1081</v>
      </c>
      <c r="H135">
        <v>3</v>
      </c>
      <c r="I135" t="s">
        <v>418</v>
      </c>
      <c r="J135" t="s">
        <v>419</v>
      </c>
      <c r="K135" t="s">
        <v>420</v>
      </c>
      <c r="L135">
        <v>1346</v>
      </c>
      <c r="N135">
        <v>1009</v>
      </c>
      <c r="O135" t="s">
        <v>365</v>
      </c>
      <c r="P135" t="s">
        <v>365</v>
      </c>
      <c r="Q135">
        <v>1</v>
      </c>
      <c r="X135">
        <v>6.2700000000000004E-3</v>
      </c>
      <c r="Y135">
        <v>27.62</v>
      </c>
      <c r="Z135">
        <v>0</v>
      </c>
      <c r="AA135">
        <v>0</v>
      </c>
      <c r="AB135">
        <v>0</v>
      </c>
      <c r="AC135">
        <v>0</v>
      </c>
      <c r="AD135">
        <v>1</v>
      </c>
      <c r="AE135">
        <v>0</v>
      </c>
      <c r="AF135" t="s">
        <v>70</v>
      </c>
      <c r="AG135">
        <v>6.2700000000000004E-3</v>
      </c>
      <c r="AH135">
        <v>2</v>
      </c>
      <c r="AI135">
        <v>57014519</v>
      </c>
      <c r="AJ135">
        <v>106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</row>
    <row r="136" spans="1:44" x14ac:dyDescent="0.25">
      <c r="A136">
        <f>ROW(Source!A96)</f>
        <v>96</v>
      </c>
      <c r="B136">
        <v>57014524</v>
      </c>
      <c r="C136">
        <v>57014517</v>
      </c>
      <c r="D136">
        <v>55459793</v>
      </c>
      <c r="E136">
        <v>1</v>
      </c>
      <c r="F136">
        <v>1</v>
      </c>
      <c r="G136">
        <v>1081</v>
      </c>
      <c r="H136">
        <v>3</v>
      </c>
      <c r="I136" t="s">
        <v>412</v>
      </c>
      <c r="J136" t="s">
        <v>413</v>
      </c>
      <c r="K136" t="s">
        <v>414</v>
      </c>
      <c r="L136">
        <v>1348</v>
      </c>
      <c r="N136">
        <v>1009</v>
      </c>
      <c r="O136" t="s">
        <v>361</v>
      </c>
      <c r="P136" t="s">
        <v>361</v>
      </c>
      <c r="Q136">
        <v>1000</v>
      </c>
      <c r="X136">
        <v>1.0000000000000001E-5</v>
      </c>
      <c r="Y136">
        <v>64123.05</v>
      </c>
      <c r="Z136">
        <v>0</v>
      </c>
      <c r="AA136">
        <v>0</v>
      </c>
      <c r="AB136">
        <v>0</v>
      </c>
      <c r="AC136">
        <v>0</v>
      </c>
      <c r="AD136">
        <v>1</v>
      </c>
      <c r="AE136">
        <v>0</v>
      </c>
      <c r="AF136" t="s">
        <v>70</v>
      </c>
      <c r="AG136">
        <v>1.0000000000000001E-5</v>
      </c>
      <c r="AH136">
        <v>2</v>
      </c>
      <c r="AI136">
        <v>57014520</v>
      </c>
      <c r="AJ136">
        <v>107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</row>
    <row r="137" spans="1:44" x14ac:dyDescent="0.25">
      <c r="A137">
        <f>ROW(Source!A96)</f>
        <v>96</v>
      </c>
      <c r="B137">
        <v>57014525</v>
      </c>
      <c r="C137">
        <v>57014517</v>
      </c>
      <c r="D137">
        <v>55469253</v>
      </c>
      <c r="E137">
        <v>1</v>
      </c>
      <c r="F137">
        <v>1</v>
      </c>
      <c r="G137">
        <v>1081</v>
      </c>
      <c r="H137">
        <v>3</v>
      </c>
      <c r="I137" t="s">
        <v>421</v>
      </c>
      <c r="J137" t="s">
        <v>422</v>
      </c>
      <c r="K137" t="s">
        <v>423</v>
      </c>
      <c r="L137">
        <v>1354</v>
      </c>
      <c r="N137">
        <v>1010</v>
      </c>
      <c r="O137" t="s">
        <v>251</v>
      </c>
      <c r="P137" t="s">
        <v>251</v>
      </c>
      <c r="Q137">
        <v>1</v>
      </c>
      <c r="X137">
        <v>0.1</v>
      </c>
      <c r="Y137">
        <v>15.25</v>
      </c>
      <c r="Z137">
        <v>0</v>
      </c>
      <c r="AA137">
        <v>0</v>
      </c>
      <c r="AB137">
        <v>0</v>
      </c>
      <c r="AC137">
        <v>0</v>
      </c>
      <c r="AD137">
        <v>1</v>
      </c>
      <c r="AE137">
        <v>0</v>
      </c>
      <c r="AF137" t="s">
        <v>70</v>
      </c>
      <c r="AG137">
        <v>0.1</v>
      </c>
      <c r="AH137">
        <v>2</v>
      </c>
      <c r="AI137">
        <v>57014521</v>
      </c>
      <c r="AJ137">
        <v>108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</row>
    <row r="138" spans="1:44" x14ac:dyDescent="0.25">
      <c r="A138">
        <f>ROW(Source!A96)</f>
        <v>96</v>
      </c>
      <c r="B138">
        <v>57014526</v>
      </c>
      <c r="C138">
        <v>57014517</v>
      </c>
      <c r="D138">
        <v>55441122</v>
      </c>
      <c r="E138">
        <v>1081</v>
      </c>
      <c r="F138">
        <v>1</v>
      </c>
      <c r="G138">
        <v>1081</v>
      </c>
      <c r="H138">
        <v>3</v>
      </c>
      <c r="I138" t="s">
        <v>505</v>
      </c>
      <c r="J138" t="s">
        <v>3</v>
      </c>
      <c r="K138" t="s">
        <v>506</v>
      </c>
      <c r="L138">
        <v>1354</v>
      </c>
      <c r="N138">
        <v>1010</v>
      </c>
      <c r="O138" t="s">
        <v>251</v>
      </c>
      <c r="P138" t="s">
        <v>251</v>
      </c>
      <c r="Q138">
        <v>1</v>
      </c>
      <c r="X138">
        <v>1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 t="s">
        <v>70</v>
      </c>
      <c r="AG138">
        <v>1</v>
      </c>
      <c r="AH138">
        <v>3</v>
      </c>
      <c r="AI138">
        <v>-1</v>
      </c>
      <c r="AJ138" t="s">
        <v>3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</row>
    <row r="139" spans="1:44" x14ac:dyDescent="0.25">
      <c r="A139">
        <f>ROW(Source!A99)</f>
        <v>99</v>
      </c>
      <c r="B139">
        <v>57015305</v>
      </c>
      <c r="C139">
        <v>57015304</v>
      </c>
      <c r="D139">
        <v>55424304</v>
      </c>
      <c r="E139">
        <v>1081</v>
      </c>
      <c r="F139">
        <v>1</v>
      </c>
      <c r="G139">
        <v>1081</v>
      </c>
      <c r="H139">
        <v>1</v>
      </c>
      <c r="I139" t="s">
        <v>385</v>
      </c>
      <c r="J139" t="s">
        <v>3</v>
      </c>
      <c r="K139" t="s">
        <v>386</v>
      </c>
      <c r="L139">
        <v>1191</v>
      </c>
      <c r="N139">
        <v>1013</v>
      </c>
      <c r="O139" t="s">
        <v>387</v>
      </c>
      <c r="P139" t="s">
        <v>387</v>
      </c>
      <c r="Q139">
        <v>1</v>
      </c>
      <c r="X139">
        <v>3.09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1</v>
      </c>
      <c r="AE139">
        <v>1</v>
      </c>
      <c r="AF139" t="s">
        <v>71</v>
      </c>
      <c r="AG139">
        <v>3.7079999999999997</v>
      </c>
      <c r="AH139">
        <v>2</v>
      </c>
      <c r="AI139">
        <v>57015305</v>
      </c>
      <c r="AJ139">
        <v>109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</row>
    <row r="140" spans="1:44" x14ac:dyDescent="0.25">
      <c r="A140">
        <f>ROW(Source!A99)</f>
        <v>99</v>
      </c>
      <c r="B140">
        <v>57015306</v>
      </c>
      <c r="C140">
        <v>57015304</v>
      </c>
      <c r="D140">
        <v>55490209</v>
      </c>
      <c r="E140">
        <v>1</v>
      </c>
      <c r="F140">
        <v>1</v>
      </c>
      <c r="G140">
        <v>1081</v>
      </c>
      <c r="H140">
        <v>2</v>
      </c>
      <c r="I140" t="s">
        <v>460</v>
      </c>
      <c r="J140" t="s">
        <v>461</v>
      </c>
      <c r="K140" t="s">
        <v>462</v>
      </c>
      <c r="L140">
        <v>1368</v>
      </c>
      <c r="N140">
        <v>1011</v>
      </c>
      <c r="O140" t="s">
        <v>391</v>
      </c>
      <c r="P140" t="s">
        <v>391</v>
      </c>
      <c r="Q140">
        <v>1</v>
      </c>
      <c r="X140">
        <v>2.3E-2</v>
      </c>
      <c r="Y140">
        <v>0</v>
      </c>
      <c r="Z140">
        <v>83.1</v>
      </c>
      <c r="AA140">
        <v>12.62</v>
      </c>
      <c r="AB140">
        <v>0</v>
      </c>
      <c r="AC140">
        <v>0</v>
      </c>
      <c r="AD140">
        <v>1</v>
      </c>
      <c r="AE140">
        <v>0</v>
      </c>
      <c r="AF140" t="s">
        <v>71</v>
      </c>
      <c r="AG140">
        <v>2.76E-2</v>
      </c>
      <c r="AH140">
        <v>2</v>
      </c>
      <c r="AI140">
        <v>57015306</v>
      </c>
      <c r="AJ140">
        <v>110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</row>
    <row r="141" spans="1:44" x14ac:dyDescent="0.25">
      <c r="A141">
        <f>ROW(Source!A99)</f>
        <v>99</v>
      </c>
      <c r="B141">
        <v>57015307</v>
      </c>
      <c r="C141">
        <v>57015304</v>
      </c>
      <c r="D141">
        <v>55440939</v>
      </c>
      <c r="E141">
        <v>1081</v>
      </c>
      <c r="F141">
        <v>1</v>
      </c>
      <c r="G141">
        <v>1081</v>
      </c>
      <c r="H141">
        <v>3</v>
      </c>
      <c r="I141" t="s">
        <v>503</v>
      </c>
      <c r="J141" t="s">
        <v>3</v>
      </c>
      <c r="K141" t="s">
        <v>504</v>
      </c>
      <c r="L141">
        <v>1354</v>
      </c>
      <c r="N141">
        <v>1010</v>
      </c>
      <c r="O141" t="s">
        <v>251</v>
      </c>
      <c r="P141" t="s">
        <v>251</v>
      </c>
      <c r="Q141">
        <v>1</v>
      </c>
      <c r="X141">
        <v>1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 t="s">
        <v>70</v>
      </c>
      <c r="AG141">
        <v>1</v>
      </c>
      <c r="AH141">
        <v>3</v>
      </c>
      <c r="AI141">
        <v>-1</v>
      </c>
      <c r="AJ141" t="s">
        <v>3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</row>
    <row r="142" spans="1:44" x14ac:dyDescent="0.25">
      <c r="A142">
        <f>ROW(Source!A100)</f>
        <v>100</v>
      </c>
      <c r="B142">
        <v>57015305</v>
      </c>
      <c r="C142">
        <v>57015304</v>
      </c>
      <c r="D142">
        <v>55424304</v>
      </c>
      <c r="E142">
        <v>1081</v>
      </c>
      <c r="F142">
        <v>1</v>
      </c>
      <c r="G142">
        <v>1081</v>
      </c>
      <c r="H142">
        <v>1</v>
      </c>
      <c r="I142" t="s">
        <v>385</v>
      </c>
      <c r="J142" t="s">
        <v>3</v>
      </c>
      <c r="K142" t="s">
        <v>386</v>
      </c>
      <c r="L142">
        <v>1191</v>
      </c>
      <c r="N142">
        <v>1013</v>
      </c>
      <c r="O142" t="s">
        <v>387</v>
      </c>
      <c r="P142" t="s">
        <v>387</v>
      </c>
      <c r="Q142">
        <v>1</v>
      </c>
      <c r="X142">
        <v>3.09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1</v>
      </c>
      <c r="AE142">
        <v>1</v>
      </c>
      <c r="AF142" t="s">
        <v>71</v>
      </c>
      <c r="AG142">
        <v>3.7079999999999997</v>
      </c>
      <c r="AH142">
        <v>2</v>
      </c>
      <c r="AI142">
        <v>57015305</v>
      </c>
      <c r="AJ142">
        <v>111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</row>
    <row r="143" spans="1:44" x14ac:dyDescent="0.25">
      <c r="A143">
        <f>ROW(Source!A100)</f>
        <v>100</v>
      </c>
      <c r="B143">
        <v>57015306</v>
      </c>
      <c r="C143">
        <v>57015304</v>
      </c>
      <c r="D143">
        <v>55490209</v>
      </c>
      <c r="E143">
        <v>1</v>
      </c>
      <c r="F143">
        <v>1</v>
      </c>
      <c r="G143">
        <v>1081</v>
      </c>
      <c r="H143">
        <v>2</v>
      </c>
      <c r="I143" t="s">
        <v>460</v>
      </c>
      <c r="J143" t="s">
        <v>461</v>
      </c>
      <c r="K143" t="s">
        <v>462</v>
      </c>
      <c r="L143">
        <v>1368</v>
      </c>
      <c r="N143">
        <v>1011</v>
      </c>
      <c r="O143" t="s">
        <v>391</v>
      </c>
      <c r="P143" t="s">
        <v>391</v>
      </c>
      <c r="Q143">
        <v>1</v>
      </c>
      <c r="X143">
        <v>2.3E-2</v>
      </c>
      <c r="Y143">
        <v>0</v>
      </c>
      <c r="Z143">
        <v>83.1</v>
      </c>
      <c r="AA143">
        <v>12.62</v>
      </c>
      <c r="AB143">
        <v>0</v>
      </c>
      <c r="AC143">
        <v>0</v>
      </c>
      <c r="AD143">
        <v>1</v>
      </c>
      <c r="AE143">
        <v>0</v>
      </c>
      <c r="AF143" t="s">
        <v>71</v>
      </c>
      <c r="AG143">
        <v>2.76E-2</v>
      </c>
      <c r="AH143">
        <v>2</v>
      </c>
      <c r="AI143">
        <v>57015306</v>
      </c>
      <c r="AJ143">
        <v>112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</row>
    <row r="144" spans="1:44" x14ac:dyDescent="0.25">
      <c r="A144">
        <f>ROW(Source!A100)</f>
        <v>100</v>
      </c>
      <c r="B144">
        <v>57015307</v>
      </c>
      <c r="C144">
        <v>57015304</v>
      </c>
      <c r="D144">
        <v>55440939</v>
      </c>
      <c r="E144">
        <v>1081</v>
      </c>
      <c r="F144">
        <v>1</v>
      </c>
      <c r="G144">
        <v>1081</v>
      </c>
      <c r="H144">
        <v>3</v>
      </c>
      <c r="I144" t="s">
        <v>503</v>
      </c>
      <c r="J144" t="s">
        <v>3</v>
      </c>
      <c r="K144" t="s">
        <v>504</v>
      </c>
      <c r="L144">
        <v>1354</v>
      </c>
      <c r="N144">
        <v>1010</v>
      </c>
      <c r="O144" t="s">
        <v>251</v>
      </c>
      <c r="P144" t="s">
        <v>251</v>
      </c>
      <c r="Q144">
        <v>1</v>
      </c>
      <c r="X144">
        <v>1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 t="s">
        <v>70</v>
      </c>
      <c r="AG144">
        <v>1</v>
      </c>
      <c r="AH144">
        <v>3</v>
      </c>
      <c r="AI144">
        <v>-1</v>
      </c>
      <c r="AJ144" t="s">
        <v>3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</row>
    <row r="145" spans="1:44" x14ac:dyDescent="0.25">
      <c r="A145">
        <f>ROW(Source!A101)</f>
        <v>101</v>
      </c>
      <c r="B145">
        <v>57014534</v>
      </c>
      <c r="C145">
        <v>57014532</v>
      </c>
      <c r="D145">
        <v>55424304</v>
      </c>
      <c r="E145">
        <v>1081</v>
      </c>
      <c r="F145">
        <v>1</v>
      </c>
      <c r="G145">
        <v>1081</v>
      </c>
      <c r="H145">
        <v>1</v>
      </c>
      <c r="I145" t="s">
        <v>385</v>
      </c>
      <c r="J145" t="s">
        <v>3</v>
      </c>
      <c r="K145" t="s">
        <v>386</v>
      </c>
      <c r="L145">
        <v>1191</v>
      </c>
      <c r="N145">
        <v>1013</v>
      </c>
      <c r="O145" t="s">
        <v>387</v>
      </c>
      <c r="P145" t="s">
        <v>387</v>
      </c>
      <c r="Q145">
        <v>1</v>
      </c>
      <c r="X145">
        <v>7.2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1</v>
      </c>
      <c r="AE145">
        <v>1</v>
      </c>
      <c r="AF145" t="s">
        <v>71</v>
      </c>
      <c r="AG145">
        <v>8.64</v>
      </c>
      <c r="AH145">
        <v>2</v>
      </c>
      <c r="AI145">
        <v>57014533</v>
      </c>
      <c r="AJ145">
        <v>113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</row>
    <row r="146" spans="1:44" x14ac:dyDescent="0.25">
      <c r="A146">
        <f>ROW(Source!A102)</f>
        <v>102</v>
      </c>
      <c r="B146">
        <v>57014534</v>
      </c>
      <c r="C146">
        <v>57014532</v>
      </c>
      <c r="D146">
        <v>55424304</v>
      </c>
      <c r="E146">
        <v>1081</v>
      </c>
      <c r="F146">
        <v>1</v>
      </c>
      <c r="G146">
        <v>1081</v>
      </c>
      <c r="H146">
        <v>1</v>
      </c>
      <c r="I146" t="s">
        <v>385</v>
      </c>
      <c r="J146" t="s">
        <v>3</v>
      </c>
      <c r="K146" t="s">
        <v>386</v>
      </c>
      <c r="L146">
        <v>1191</v>
      </c>
      <c r="N146">
        <v>1013</v>
      </c>
      <c r="O146" t="s">
        <v>387</v>
      </c>
      <c r="P146" t="s">
        <v>387</v>
      </c>
      <c r="Q146">
        <v>1</v>
      </c>
      <c r="X146">
        <v>7.2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1</v>
      </c>
      <c r="AE146">
        <v>1</v>
      </c>
      <c r="AF146" t="s">
        <v>71</v>
      </c>
      <c r="AG146">
        <v>8.64</v>
      </c>
      <c r="AH146">
        <v>2</v>
      </c>
      <c r="AI146">
        <v>57014533</v>
      </c>
      <c r="AJ146">
        <v>114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</row>
    <row r="147" spans="1:44" x14ac:dyDescent="0.25">
      <c r="A147">
        <f>ROW(Source!A105)</f>
        <v>105</v>
      </c>
      <c r="B147">
        <v>57014547</v>
      </c>
      <c r="C147">
        <v>57014540</v>
      </c>
      <c r="D147">
        <v>55424304</v>
      </c>
      <c r="E147">
        <v>1081</v>
      </c>
      <c r="F147">
        <v>1</v>
      </c>
      <c r="G147">
        <v>1081</v>
      </c>
      <c r="H147">
        <v>1</v>
      </c>
      <c r="I147" t="s">
        <v>385</v>
      </c>
      <c r="J147" t="s">
        <v>3</v>
      </c>
      <c r="K147" t="s">
        <v>386</v>
      </c>
      <c r="L147">
        <v>1191</v>
      </c>
      <c r="N147">
        <v>1013</v>
      </c>
      <c r="O147" t="s">
        <v>387</v>
      </c>
      <c r="P147" t="s">
        <v>387</v>
      </c>
      <c r="Q147">
        <v>1</v>
      </c>
      <c r="X147">
        <v>1.36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1</v>
      </c>
      <c r="AE147">
        <v>1</v>
      </c>
      <c r="AF147" t="s">
        <v>71</v>
      </c>
      <c r="AG147">
        <v>1.6320000000000001</v>
      </c>
      <c r="AH147">
        <v>2</v>
      </c>
      <c r="AI147">
        <v>57014541</v>
      </c>
      <c r="AJ147">
        <v>115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</row>
    <row r="148" spans="1:44" x14ac:dyDescent="0.25">
      <c r="A148">
        <f>ROW(Source!A105)</f>
        <v>105</v>
      </c>
      <c r="B148">
        <v>57014548</v>
      </c>
      <c r="C148">
        <v>57014540</v>
      </c>
      <c r="D148">
        <v>55490330</v>
      </c>
      <c r="E148">
        <v>1</v>
      </c>
      <c r="F148">
        <v>1</v>
      </c>
      <c r="G148">
        <v>1081</v>
      </c>
      <c r="H148">
        <v>2</v>
      </c>
      <c r="I148" t="s">
        <v>403</v>
      </c>
      <c r="J148" t="s">
        <v>404</v>
      </c>
      <c r="K148" t="s">
        <v>405</v>
      </c>
      <c r="L148">
        <v>1368</v>
      </c>
      <c r="N148">
        <v>1011</v>
      </c>
      <c r="O148" t="s">
        <v>391</v>
      </c>
      <c r="P148" t="s">
        <v>391</v>
      </c>
      <c r="Q148">
        <v>1</v>
      </c>
      <c r="X148">
        <v>1.7000000000000001E-2</v>
      </c>
      <c r="Y148">
        <v>0</v>
      </c>
      <c r="Z148">
        <v>0.8</v>
      </c>
      <c r="AA148">
        <v>0</v>
      </c>
      <c r="AB148">
        <v>0</v>
      </c>
      <c r="AC148">
        <v>0</v>
      </c>
      <c r="AD148">
        <v>1</v>
      </c>
      <c r="AE148">
        <v>0</v>
      </c>
      <c r="AF148" t="s">
        <v>71</v>
      </c>
      <c r="AG148">
        <v>2.0400000000000001E-2</v>
      </c>
      <c r="AH148">
        <v>2</v>
      </c>
      <c r="AI148">
        <v>57014542</v>
      </c>
      <c r="AJ148">
        <v>116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</row>
    <row r="149" spans="1:44" x14ac:dyDescent="0.25">
      <c r="A149">
        <f>ROW(Source!A105)</f>
        <v>105</v>
      </c>
      <c r="B149">
        <v>57014549</v>
      </c>
      <c r="C149">
        <v>57014540</v>
      </c>
      <c r="D149">
        <v>55490296</v>
      </c>
      <c r="E149">
        <v>1</v>
      </c>
      <c r="F149">
        <v>1</v>
      </c>
      <c r="G149">
        <v>1081</v>
      </c>
      <c r="H149">
        <v>2</v>
      </c>
      <c r="I149" t="s">
        <v>415</v>
      </c>
      <c r="J149" t="s">
        <v>416</v>
      </c>
      <c r="K149" t="s">
        <v>417</v>
      </c>
      <c r="L149">
        <v>1368</v>
      </c>
      <c r="N149">
        <v>1011</v>
      </c>
      <c r="O149" t="s">
        <v>391</v>
      </c>
      <c r="P149" t="s">
        <v>391</v>
      </c>
      <c r="Q149">
        <v>1</v>
      </c>
      <c r="X149">
        <v>0.02</v>
      </c>
      <c r="Y149">
        <v>0</v>
      </c>
      <c r="Z149">
        <v>0.47</v>
      </c>
      <c r="AA149">
        <v>0</v>
      </c>
      <c r="AB149">
        <v>0</v>
      </c>
      <c r="AC149">
        <v>0</v>
      </c>
      <c r="AD149">
        <v>1</v>
      </c>
      <c r="AE149">
        <v>0</v>
      </c>
      <c r="AF149" t="s">
        <v>71</v>
      </c>
      <c r="AG149">
        <v>2.4E-2</v>
      </c>
      <c r="AH149">
        <v>2</v>
      </c>
      <c r="AI149">
        <v>57014543</v>
      </c>
      <c r="AJ149">
        <v>117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</row>
    <row r="150" spans="1:44" x14ac:dyDescent="0.25">
      <c r="A150">
        <f>ROW(Source!A105)</f>
        <v>105</v>
      </c>
      <c r="B150">
        <v>57014550</v>
      </c>
      <c r="C150">
        <v>57014540</v>
      </c>
      <c r="D150">
        <v>55461074</v>
      </c>
      <c r="E150">
        <v>1</v>
      </c>
      <c r="F150">
        <v>1</v>
      </c>
      <c r="G150">
        <v>1081</v>
      </c>
      <c r="H150">
        <v>3</v>
      </c>
      <c r="I150" t="s">
        <v>418</v>
      </c>
      <c r="J150" t="s">
        <v>419</v>
      </c>
      <c r="K150" t="s">
        <v>420</v>
      </c>
      <c r="L150">
        <v>1346</v>
      </c>
      <c r="N150">
        <v>1009</v>
      </c>
      <c r="O150" t="s">
        <v>365</v>
      </c>
      <c r="P150" t="s">
        <v>365</v>
      </c>
      <c r="Q150">
        <v>1</v>
      </c>
      <c r="X150">
        <v>6.2700000000000004E-3</v>
      </c>
      <c r="Y150">
        <v>27.62</v>
      </c>
      <c r="Z150">
        <v>0</v>
      </c>
      <c r="AA150">
        <v>0</v>
      </c>
      <c r="AB150">
        <v>0</v>
      </c>
      <c r="AC150">
        <v>0</v>
      </c>
      <c r="AD150">
        <v>1</v>
      </c>
      <c r="AE150">
        <v>0</v>
      </c>
      <c r="AF150" t="s">
        <v>70</v>
      </c>
      <c r="AG150">
        <v>6.2700000000000004E-3</v>
      </c>
      <c r="AH150">
        <v>2</v>
      </c>
      <c r="AI150">
        <v>57014544</v>
      </c>
      <c r="AJ150">
        <v>118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</row>
    <row r="151" spans="1:44" x14ac:dyDescent="0.25">
      <c r="A151">
        <f>ROW(Source!A105)</f>
        <v>105</v>
      </c>
      <c r="B151">
        <v>57014551</v>
      </c>
      <c r="C151">
        <v>57014540</v>
      </c>
      <c r="D151">
        <v>55459793</v>
      </c>
      <c r="E151">
        <v>1</v>
      </c>
      <c r="F151">
        <v>1</v>
      </c>
      <c r="G151">
        <v>1081</v>
      </c>
      <c r="H151">
        <v>3</v>
      </c>
      <c r="I151" t="s">
        <v>412</v>
      </c>
      <c r="J151" t="s">
        <v>413</v>
      </c>
      <c r="K151" t="s">
        <v>414</v>
      </c>
      <c r="L151">
        <v>1348</v>
      </c>
      <c r="N151">
        <v>1009</v>
      </c>
      <c r="O151" t="s">
        <v>361</v>
      </c>
      <c r="P151" t="s">
        <v>361</v>
      </c>
      <c r="Q151">
        <v>1000</v>
      </c>
      <c r="X151">
        <v>1.0000000000000001E-5</v>
      </c>
      <c r="Y151">
        <v>64123.05</v>
      </c>
      <c r="Z151">
        <v>0</v>
      </c>
      <c r="AA151">
        <v>0</v>
      </c>
      <c r="AB151">
        <v>0</v>
      </c>
      <c r="AC151">
        <v>0</v>
      </c>
      <c r="AD151">
        <v>1</v>
      </c>
      <c r="AE151">
        <v>0</v>
      </c>
      <c r="AF151" t="s">
        <v>70</v>
      </c>
      <c r="AG151">
        <v>1.0000000000000001E-5</v>
      </c>
      <c r="AH151">
        <v>2</v>
      </c>
      <c r="AI151">
        <v>57014545</v>
      </c>
      <c r="AJ151">
        <v>119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</row>
    <row r="152" spans="1:44" x14ac:dyDescent="0.25">
      <c r="A152">
        <f>ROW(Source!A105)</f>
        <v>105</v>
      </c>
      <c r="B152">
        <v>57014552</v>
      </c>
      <c r="C152">
        <v>57014540</v>
      </c>
      <c r="D152">
        <v>55469253</v>
      </c>
      <c r="E152">
        <v>1</v>
      </c>
      <c r="F152">
        <v>1</v>
      </c>
      <c r="G152">
        <v>1081</v>
      </c>
      <c r="H152">
        <v>3</v>
      </c>
      <c r="I152" t="s">
        <v>421</v>
      </c>
      <c r="J152" t="s">
        <v>422</v>
      </c>
      <c r="K152" t="s">
        <v>423</v>
      </c>
      <c r="L152">
        <v>1354</v>
      </c>
      <c r="N152">
        <v>1010</v>
      </c>
      <c r="O152" t="s">
        <v>251</v>
      </c>
      <c r="P152" t="s">
        <v>251</v>
      </c>
      <c r="Q152">
        <v>1</v>
      </c>
      <c r="X152">
        <v>0.1</v>
      </c>
      <c r="Y152">
        <v>15.25</v>
      </c>
      <c r="Z152">
        <v>0</v>
      </c>
      <c r="AA152">
        <v>0</v>
      </c>
      <c r="AB152">
        <v>0</v>
      </c>
      <c r="AC152">
        <v>0</v>
      </c>
      <c r="AD152">
        <v>1</v>
      </c>
      <c r="AE152">
        <v>0</v>
      </c>
      <c r="AF152" t="s">
        <v>70</v>
      </c>
      <c r="AG152">
        <v>0.1</v>
      </c>
      <c r="AH152">
        <v>2</v>
      </c>
      <c r="AI152">
        <v>57014546</v>
      </c>
      <c r="AJ152">
        <v>120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</row>
    <row r="153" spans="1:44" x14ac:dyDescent="0.25">
      <c r="A153">
        <f>ROW(Source!A105)</f>
        <v>105</v>
      </c>
      <c r="B153">
        <v>57014553</v>
      </c>
      <c r="C153">
        <v>57014540</v>
      </c>
      <c r="D153">
        <v>55441128</v>
      </c>
      <c r="E153">
        <v>1081</v>
      </c>
      <c r="F153">
        <v>1</v>
      </c>
      <c r="G153">
        <v>1081</v>
      </c>
      <c r="H153">
        <v>3</v>
      </c>
      <c r="I153" t="s">
        <v>485</v>
      </c>
      <c r="J153" t="s">
        <v>3</v>
      </c>
      <c r="K153" t="s">
        <v>486</v>
      </c>
      <c r="L153">
        <v>1354</v>
      </c>
      <c r="N153">
        <v>1010</v>
      </c>
      <c r="O153" t="s">
        <v>251</v>
      </c>
      <c r="P153" t="s">
        <v>251</v>
      </c>
      <c r="Q153">
        <v>1</v>
      </c>
      <c r="X153">
        <v>1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 t="s">
        <v>70</v>
      </c>
      <c r="AG153">
        <v>1</v>
      </c>
      <c r="AH153">
        <v>3</v>
      </c>
      <c r="AI153">
        <v>-1</v>
      </c>
      <c r="AJ153" t="s">
        <v>3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</row>
    <row r="154" spans="1:44" x14ac:dyDescent="0.25">
      <c r="A154">
        <f>ROW(Source!A106)</f>
        <v>106</v>
      </c>
      <c r="B154">
        <v>57014547</v>
      </c>
      <c r="C154">
        <v>57014540</v>
      </c>
      <c r="D154">
        <v>55424304</v>
      </c>
      <c r="E154">
        <v>1081</v>
      </c>
      <c r="F154">
        <v>1</v>
      </c>
      <c r="G154">
        <v>1081</v>
      </c>
      <c r="H154">
        <v>1</v>
      </c>
      <c r="I154" t="s">
        <v>385</v>
      </c>
      <c r="J154" t="s">
        <v>3</v>
      </c>
      <c r="K154" t="s">
        <v>386</v>
      </c>
      <c r="L154">
        <v>1191</v>
      </c>
      <c r="N154">
        <v>1013</v>
      </c>
      <c r="O154" t="s">
        <v>387</v>
      </c>
      <c r="P154" t="s">
        <v>387</v>
      </c>
      <c r="Q154">
        <v>1</v>
      </c>
      <c r="X154">
        <v>1.36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1</v>
      </c>
      <c r="AE154">
        <v>1</v>
      </c>
      <c r="AF154" t="s">
        <v>71</v>
      </c>
      <c r="AG154">
        <v>1.6320000000000001</v>
      </c>
      <c r="AH154">
        <v>2</v>
      </c>
      <c r="AI154">
        <v>57014541</v>
      </c>
      <c r="AJ154">
        <v>121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</row>
    <row r="155" spans="1:44" x14ac:dyDescent="0.25">
      <c r="A155">
        <f>ROW(Source!A106)</f>
        <v>106</v>
      </c>
      <c r="B155">
        <v>57014548</v>
      </c>
      <c r="C155">
        <v>57014540</v>
      </c>
      <c r="D155">
        <v>55490330</v>
      </c>
      <c r="E155">
        <v>1</v>
      </c>
      <c r="F155">
        <v>1</v>
      </c>
      <c r="G155">
        <v>1081</v>
      </c>
      <c r="H155">
        <v>2</v>
      </c>
      <c r="I155" t="s">
        <v>403</v>
      </c>
      <c r="J155" t="s">
        <v>404</v>
      </c>
      <c r="K155" t="s">
        <v>405</v>
      </c>
      <c r="L155">
        <v>1368</v>
      </c>
      <c r="N155">
        <v>1011</v>
      </c>
      <c r="O155" t="s">
        <v>391</v>
      </c>
      <c r="P155" t="s">
        <v>391</v>
      </c>
      <c r="Q155">
        <v>1</v>
      </c>
      <c r="X155">
        <v>1.7000000000000001E-2</v>
      </c>
      <c r="Y155">
        <v>0</v>
      </c>
      <c r="Z155">
        <v>0.8</v>
      </c>
      <c r="AA155">
        <v>0</v>
      </c>
      <c r="AB155">
        <v>0</v>
      </c>
      <c r="AC155">
        <v>0</v>
      </c>
      <c r="AD155">
        <v>1</v>
      </c>
      <c r="AE155">
        <v>0</v>
      </c>
      <c r="AF155" t="s">
        <v>71</v>
      </c>
      <c r="AG155">
        <v>2.0400000000000001E-2</v>
      </c>
      <c r="AH155">
        <v>2</v>
      </c>
      <c r="AI155">
        <v>57014542</v>
      </c>
      <c r="AJ155">
        <v>122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</row>
    <row r="156" spans="1:44" x14ac:dyDescent="0.25">
      <c r="A156">
        <f>ROW(Source!A106)</f>
        <v>106</v>
      </c>
      <c r="B156">
        <v>57014549</v>
      </c>
      <c r="C156">
        <v>57014540</v>
      </c>
      <c r="D156">
        <v>55490296</v>
      </c>
      <c r="E156">
        <v>1</v>
      </c>
      <c r="F156">
        <v>1</v>
      </c>
      <c r="G156">
        <v>1081</v>
      </c>
      <c r="H156">
        <v>2</v>
      </c>
      <c r="I156" t="s">
        <v>415</v>
      </c>
      <c r="J156" t="s">
        <v>416</v>
      </c>
      <c r="K156" t="s">
        <v>417</v>
      </c>
      <c r="L156">
        <v>1368</v>
      </c>
      <c r="N156">
        <v>1011</v>
      </c>
      <c r="O156" t="s">
        <v>391</v>
      </c>
      <c r="P156" t="s">
        <v>391</v>
      </c>
      <c r="Q156">
        <v>1</v>
      </c>
      <c r="X156">
        <v>0.02</v>
      </c>
      <c r="Y156">
        <v>0</v>
      </c>
      <c r="Z156">
        <v>0.47</v>
      </c>
      <c r="AA156">
        <v>0</v>
      </c>
      <c r="AB156">
        <v>0</v>
      </c>
      <c r="AC156">
        <v>0</v>
      </c>
      <c r="AD156">
        <v>1</v>
      </c>
      <c r="AE156">
        <v>0</v>
      </c>
      <c r="AF156" t="s">
        <v>71</v>
      </c>
      <c r="AG156">
        <v>2.4E-2</v>
      </c>
      <c r="AH156">
        <v>2</v>
      </c>
      <c r="AI156">
        <v>57014543</v>
      </c>
      <c r="AJ156">
        <v>123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</row>
    <row r="157" spans="1:44" x14ac:dyDescent="0.25">
      <c r="A157">
        <f>ROW(Source!A106)</f>
        <v>106</v>
      </c>
      <c r="B157">
        <v>57014550</v>
      </c>
      <c r="C157">
        <v>57014540</v>
      </c>
      <c r="D157">
        <v>55461074</v>
      </c>
      <c r="E157">
        <v>1</v>
      </c>
      <c r="F157">
        <v>1</v>
      </c>
      <c r="G157">
        <v>1081</v>
      </c>
      <c r="H157">
        <v>3</v>
      </c>
      <c r="I157" t="s">
        <v>418</v>
      </c>
      <c r="J157" t="s">
        <v>419</v>
      </c>
      <c r="K157" t="s">
        <v>420</v>
      </c>
      <c r="L157">
        <v>1346</v>
      </c>
      <c r="N157">
        <v>1009</v>
      </c>
      <c r="O157" t="s">
        <v>365</v>
      </c>
      <c r="P157" t="s">
        <v>365</v>
      </c>
      <c r="Q157">
        <v>1</v>
      </c>
      <c r="X157">
        <v>6.2700000000000004E-3</v>
      </c>
      <c r="Y157">
        <v>27.62</v>
      </c>
      <c r="Z157">
        <v>0</v>
      </c>
      <c r="AA157">
        <v>0</v>
      </c>
      <c r="AB157">
        <v>0</v>
      </c>
      <c r="AC157">
        <v>0</v>
      </c>
      <c r="AD157">
        <v>1</v>
      </c>
      <c r="AE157">
        <v>0</v>
      </c>
      <c r="AF157" t="s">
        <v>70</v>
      </c>
      <c r="AG157">
        <v>6.2700000000000004E-3</v>
      </c>
      <c r="AH157">
        <v>2</v>
      </c>
      <c r="AI157">
        <v>57014544</v>
      </c>
      <c r="AJ157">
        <v>124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</row>
    <row r="158" spans="1:44" x14ac:dyDescent="0.25">
      <c r="A158">
        <f>ROW(Source!A106)</f>
        <v>106</v>
      </c>
      <c r="B158">
        <v>57014551</v>
      </c>
      <c r="C158">
        <v>57014540</v>
      </c>
      <c r="D158">
        <v>55459793</v>
      </c>
      <c r="E158">
        <v>1</v>
      </c>
      <c r="F158">
        <v>1</v>
      </c>
      <c r="G158">
        <v>1081</v>
      </c>
      <c r="H158">
        <v>3</v>
      </c>
      <c r="I158" t="s">
        <v>412</v>
      </c>
      <c r="J158" t="s">
        <v>413</v>
      </c>
      <c r="K158" t="s">
        <v>414</v>
      </c>
      <c r="L158">
        <v>1348</v>
      </c>
      <c r="N158">
        <v>1009</v>
      </c>
      <c r="O158" t="s">
        <v>361</v>
      </c>
      <c r="P158" t="s">
        <v>361</v>
      </c>
      <c r="Q158">
        <v>1000</v>
      </c>
      <c r="X158">
        <v>1.0000000000000001E-5</v>
      </c>
      <c r="Y158">
        <v>64123.05</v>
      </c>
      <c r="Z158">
        <v>0</v>
      </c>
      <c r="AA158">
        <v>0</v>
      </c>
      <c r="AB158">
        <v>0</v>
      </c>
      <c r="AC158">
        <v>0</v>
      </c>
      <c r="AD158">
        <v>1</v>
      </c>
      <c r="AE158">
        <v>0</v>
      </c>
      <c r="AF158" t="s">
        <v>70</v>
      </c>
      <c r="AG158">
        <v>1.0000000000000001E-5</v>
      </c>
      <c r="AH158">
        <v>2</v>
      </c>
      <c r="AI158">
        <v>57014545</v>
      </c>
      <c r="AJ158">
        <v>125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</row>
    <row r="159" spans="1:44" x14ac:dyDescent="0.25">
      <c r="A159">
        <f>ROW(Source!A106)</f>
        <v>106</v>
      </c>
      <c r="B159">
        <v>57014552</v>
      </c>
      <c r="C159">
        <v>57014540</v>
      </c>
      <c r="D159">
        <v>55469253</v>
      </c>
      <c r="E159">
        <v>1</v>
      </c>
      <c r="F159">
        <v>1</v>
      </c>
      <c r="G159">
        <v>1081</v>
      </c>
      <c r="H159">
        <v>3</v>
      </c>
      <c r="I159" t="s">
        <v>421</v>
      </c>
      <c r="J159" t="s">
        <v>422</v>
      </c>
      <c r="K159" t="s">
        <v>423</v>
      </c>
      <c r="L159">
        <v>1354</v>
      </c>
      <c r="N159">
        <v>1010</v>
      </c>
      <c r="O159" t="s">
        <v>251</v>
      </c>
      <c r="P159" t="s">
        <v>251</v>
      </c>
      <c r="Q159">
        <v>1</v>
      </c>
      <c r="X159">
        <v>0.1</v>
      </c>
      <c r="Y159">
        <v>15.25</v>
      </c>
      <c r="Z159">
        <v>0</v>
      </c>
      <c r="AA159">
        <v>0</v>
      </c>
      <c r="AB159">
        <v>0</v>
      </c>
      <c r="AC159">
        <v>0</v>
      </c>
      <c r="AD159">
        <v>1</v>
      </c>
      <c r="AE159">
        <v>0</v>
      </c>
      <c r="AF159" t="s">
        <v>70</v>
      </c>
      <c r="AG159">
        <v>0.1</v>
      </c>
      <c r="AH159">
        <v>2</v>
      </c>
      <c r="AI159">
        <v>57014546</v>
      </c>
      <c r="AJ159">
        <v>126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</row>
    <row r="160" spans="1:44" x14ac:dyDescent="0.25">
      <c r="A160">
        <f>ROW(Source!A106)</f>
        <v>106</v>
      </c>
      <c r="B160">
        <v>57014553</v>
      </c>
      <c r="C160">
        <v>57014540</v>
      </c>
      <c r="D160">
        <v>55441128</v>
      </c>
      <c r="E160">
        <v>1081</v>
      </c>
      <c r="F160">
        <v>1</v>
      </c>
      <c r="G160">
        <v>1081</v>
      </c>
      <c r="H160">
        <v>3</v>
      </c>
      <c r="I160" t="s">
        <v>485</v>
      </c>
      <c r="J160" t="s">
        <v>3</v>
      </c>
      <c r="K160" t="s">
        <v>486</v>
      </c>
      <c r="L160">
        <v>1354</v>
      </c>
      <c r="N160">
        <v>1010</v>
      </c>
      <c r="O160" t="s">
        <v>251</v>
      </c>
      <c r="P160" t="s">
        <v>251</v>
      </c>
      <c r="Q160">
        <v>1</v>
      </c>
      <c r="X160">
        <v>1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 t="s">
        <v>70</v>
      </c>
      <c r="AG160">
        <v>1</v>
      </c>
      <c r="AH160">
        <v>3</v>
      </c>
      <c r="AI160">
        <v>-1</v>
      </c>
      <c r="AJ160" t="s">
        <v>3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</row>
    <row r="161" spans="1:44" x14ac:dyDescent="0.25">
      <c r="A161">
        <f>ROW(Source!A109)</f>
        <v>109</v>
      </c>
      <c r="B161">
        <v>57015330</v>
      </c>
      <c r="C161">
        <v>57015329</v>
      </c>
      <c r="D161">
        <v>55424304</v>
      </c>
      <c r="E161">
        <v>1081</v>
      </c>
      <c r="F161">
        <v>1</v>
      </c>
      <c r="G161">
        <v>1081</v>
      </c>
      <c r="H161">
        <v>1</v>
      </c>
      <c r="I161" t="s">
        <v>385</v>
      </c>
      <c r="J161" t="s">
        <v>3</v>
      </c>
      <c r="K161" t="s">
        <v>386</v>
      </c>
      <c r="L161">
        <v>1191</v>
      </c>
      <c r="N161">
        <v>1013</v>
      </c>
      <c r="O161" t="s">
        <v>387</v>
      </c>
      <c r="P161" t="s">
        <v>387</v>
      </c>
      <c r="Q161">
        <v>1</v>
      </c>
      <c r="X161">
        <v>1.03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1</v>
      </c>
      <c r="AE161">
        <v>1</v>
      </c>
      <c r="AF161" t="s">
        <v>71</v>
      </c>
      <c r="AG161">
        <v>1.236</v>
      </c>
      <c r="AH161">
        <v>2</v>
      </c>
      <c r="AI161">
        <v>57015330</v>
      </c>
      <c r="AJ161">
        <v>127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</row>
    <row r="162" spans="1:44" x14ac:dyDescent="0.25">
      <c r="A162">
        <f>ROW(Source!A109)</f>
        <v>109</v>
      </c>
      <c r="B162">
        <v>57015331</v>
      </c>
      <c r="C162">
        <v>57015329</v>
      </c>
      <c r="D162">
        <v>55490209</v>
      </c>
      <c r="E162">
        <v>1</v>
      </c>
      <c r="F162">
        <v>1</v>
      </c>
      <c r="G162">
        <v>1081</v>
      </c>
      <c r="H162">
        <v>2</v>
      </c>
      <c r="I162" t="s">
        <v>460</v>
      </c>
      <c r="J162" t="s">
        <v>461</v>
      </c>
      <c r="K162" t="s">
        <v>462</v>
      </c>
      <c r="L162">
        <v>1368</v>
      </c>
      <c r="N162">
        <v>1011</v>
      </c>
      <c r="O162" t="s">
        <v>391</v>
      </c>
      <c r="P162" t="s">
        <v>391</v>
      </c>
      <c r="Q162">
        <v>1</v>
      </c>
      <c r="X162">
        <v>6.0000000000000001E-3</v>
      </c>
      <c r="Y162">
        <v>0</v>
      </c>
      <c r="Z162">
        <v>83.1</v>
      </c>
      <c r="AA162">
        <v>12.62</v>
      </c>
      <c r="AB162">
        <v>0</v>
      </c>
      <c r="AC162">
        <v>0</v>
      </c>
      <c r="AD162">
        <v>1</v>
      </c>
      <c r="AE162">
        <v>0</v>
      </c>
      <c r="AF162" t="s">
        <v>71</v>
      </c>
      <c r="AG162">
        <v>7.1999999999999998E-3</v>
      </c>
      <c r="AH162">
        <v>2</v>
      </c>
      <c r="AI162">
        <v>57015331</v>
      </c>
      <c r="AJ162">
        <v>128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</row>
    <row r="163" spans="1:44" x14ac:dyDescent="0.25">
      <c r="A163">
        <f>ROW(Source!A109)</f>
        <v>109</v>
      </c>
      <c r="B163">
        <v>57015332</v>
      </c>
      <c r="C163">
        <v>57015329</v>
      </c>
      <c r="D163">
        <v>55440939</v>
      </c>
      <c r="E163">
        <v>1081</v>
      </c>
      <c r="F163">
        <v>1</v>
      </c>
      <c r="G163">
        <v>1081</v>
      </c>
      <c r="H163">
        <v>3</v>
      </c>
      <c r="I163" t="s">
        <v>503</v>
      </c>
      <c r="J163" t="s">
        <v>3</v>
      </c>
      <c r="K163" t="s">
        <v>504</v>
      </c>
      <c r="L163">
        <v>1354</v>
      </c>
      <c r="N163">
        <v>1010</v>
      </c>
      <c r="O163" t="s">
        <v>251</v>
      </c>
      <c r="P163" t="s">
        <v>251</v>
      </c>
      <c r="Q163">
        <v>1</v>
      </c>
      <c r="X163">
        <v>1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 t="s">
        <v>70</v>
      </c>
      <c r="AG163">
        <v>1</v>
      </c>
      <c r="AH163">
        <v>3</v>
      </c>
      <c r="AI163">
        <v>-1</v>
      </c>
      <c r="AJ163" t="s">
        <v>3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</row>
    <row r="164" spans="1:44" x14ac:dyDescent="0.25">
      <c r="A164">
        <f>ROW(Source!A110)</f>
        <v>110</v>
      </c>
      <c r="B164">
        <v>57015330</v>
      </c>
      <c r="C164">
        <v>57015329</v>
      </c>
      <c r="D164">
        <v>55424304</v>
      </c>
      <c r="E164">
        <v>1081</v>
      </c>
      <c r="F164">
        <v>1</v>
      </c>
      <c r="G164">
        <v>1081</v>
      </c>
      <c r="H164">
        <v>1</v>
      </c>
      <c r="I164" t="s">
        <v>385</v>
      </c>
      <c r="J164" t="s">
        <v>3</v>
      </c>
      <c r="K164" t="s">
        <v>386</v>
      </c>
      <c r="L164">
        <v>1191</v>
      </c>
      <c r="N164">
        <v>1013</v>
      </c>
      <c r="O164" t="s">
        <v>387</v>
      </c>
      <c r="P164" t="s">
        <v>387</v>
      </c>
      <c r="Q164">
        <v>1</v>
      </c>
      <c r="X164">
        <v>1.03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1</v>
      </c>
      <c r="AE164">
        <v>1</v>
      </c>
      <c r="AF164" t="s">
        <v>71</v>
      </c>
      <c r="AG164">
        <v>1.236</v>
      </c>
      <c r="AH164">
        <v>2</v>
      </c>
      <c r="AI164">
        <v>57015330</v>
      </c>
      <c r="AJ164">
        <v>129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</row>
    <row r="165" spans="1:44" x14ac:dyDescent="0.25">
      <c r="A165">
        <f>ROW(Source!A110)</f>
        <v>110</v>
      </c>
      <c r="B165">
        <v>57015331</v>
      </c>
      <c r="C165">
        <v>57015329</v>
      </c>
      <c r="D165">
        <v>55490209</v>
      </c>
      <c r="E165">
        <v>1</v>
      </c>
      <c r="F165">
        <v>1</v>
      </c>
      <c r="G165">
        <v>1081</v>
      </c>
      <c r="H165">
        <v>2</v>
      </c>
      <c r="I165" t="s">
        <v>460</v>
      </c>
      <c r="J165" t="s">
        <v>461</v>
      </c>
      <c r="K165" t="s">
        <v>462</v>
      </c>
      <c r="L165">
        <v>1368</v>
      </c>
      <c r="N165">
        <v>1011</v>
      </c>
      <c r="O165" t="s">
        <v>391</v>
      </c>
      <c r="P165" t="s">
        <v>391</v>
      </c>
      <c r="Q165">
        <v>1</v>
      </c>
      <c r="X165">
        <v>6.0000000000000001E-3</v>
      </c>
      <c r="Y165">
        <v>0</v>
      </c>
      <c r="Z165">
        <v>83.1</v>
      </c>
      <c r="AA165">
        <v>12.62</v>
      </c>
      <c r="AB165">
        <v>0</v>
      </c>
      <c r="AC165">
        <v>0</v>
      </c>
      <c r="AD165">
        <v>1</v>
      </c>
      <c r="AE165">
        <v>0</v>
      </c>
      <c r="AF165" t="s">
        <v>71</v>
      </c>
      <c r="AG165">
        <v>7.1999999999999998E-3</v>
      </c>
      <c r="AH165">
        <v>2</v>
      </c>
      <c r="AI165">
        <v>57015331</v>
      </c>
      <c r="AJ165">
        <v>130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</row>
    <row r="166" spans="1:44" x14ac:dyDescent="0.25">
      <c r="A166">
        <f>ROW(Source!A110)</f>
        <v>110</v>
      </c>
      <c r="B166">
        <v>57015332</v>
      </c>
      <c r="C166">
        <v>57015329</v>
      </c>
      <c r="D166">
        <v>55440939</v>
      </c>
      <c r="E166">
        <v>1081</v>
      </c>
      <c r="F166">
        <v>1</v>
      </c>
      <c r="G166">
        <v>1081</v>
      </c>
      <c r="H166">
        <v>3</v>
      </c>
      <c r="I166" t="s">
        <v>503</v>
      </c>
      <c r="J166" t="s">
        <v>3</v>
      </c>
      <c r="K166" t="s">
        <v>504</v>
      </c>
      <c r="L166">
        <v>1354</v>
      </c>
      <c r="N166">
        <v>1010</v>
      </c>
      <c r="O166" t="s">
        <v>251</v>
      </c>
      <c r="P166" t="s">
        <v>251</v>
      </c>
      <c r="Q166">
        <v>1</v>
      </c>
      <c r="X166">
        <v>1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 t="s">
        <v>70</v>
      </c>
      <c r="AG166">
        <v>1</v>
      </c>
      <c r="AH166">
        <v>3</v>
      </c>
      <c r="AI166">
        <v>-1</v>
      </c>
      <c r="AJ166" t="s">
        <v>3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</row>
    <row r="167" spans="1:44" x14ac:dyDescent="0.25">
      <c r="A167">
        <f>ROW(Source!A111)</f>
        <v>111</v>
      </c>
      <c r="B167">
        <v>57014563</v>
      </c>
      <c r="C167">
        <v>57014559</v>
      </c>
      <c r="D167">
        <v>55424304</v>
      </c>
      <c r="E167">
        <v>1081</v>
      </c>
      <c r="F167">
        <v>1</v>
      </c>
      <c r="G167">
        <v>1081</v>
      </c>
      <c r="H167">
        <v>1</v>
      </c>
      <c r="I167" t="s">
        <v>385</v>
      </c>
      <c r="J167" t="s">
        <v>3</v>
      </c>
      <c r="K167" t="s">
        <v>386</v>
      </c>
      <c r="L167">
        <v>1191</v>
      </c>
      <c r="N167">
        <v>1013</v>
      </c>
      <c r="O167" t="s">
        <v>387</v>
      </c>
      <c r="P167" t="s">
        <v>387</v>
      </c>
      <c r="Q167">
        <v>1</v>
      </c>
      <c r="X167">
        <v>1.97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1</v>
      </c>
      <c r="AE167">
        <v>1</v>
      </c>
      <c r="AF167" t="s">
        <v>71</v>
      </c>
      <c r="AG167">
        <v>2.3639999999999999</v>
      </c>
      <c r="AH167">
        <v>2</v>
      </c>
      <c r="AI167">
        <v>57014560</v>
      </c>
      <c r="AJ167">
        <v>131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</row>
    <row r="168" spans="1:44" x14ac:dyDescent="0.25">
      <c r="A168">
        <f>ROW(Source!A111)</f>
        <v>111</v>
      </c>
      <c r="B168">
        <v>57014564</v>
      </c>
      <c r="C168">
        <v>57014559</v>
      </c>
      <c r="D168">
        <v>55490209</v>
      </c>
      <c r="E168">
        <v>1</v>
      </c>
      <c r="F168">
        <v>1</v>
      </c>
      <c r="G168">
        <v>1081</v>
      </c>
      <c r="H168">
        <v>2</v>
      </c>
      <c r="I168" t="s">
        <v>460</v>
      </c>
      <c r="J168" t="s">
        <v>461</v>
      </c>
      <c r="K168" t="s">
        <v>462</v>
      </c>
      <c r="L168">
        <v>1368</v>
      </c>
      <c r="N168">
        <v>1011</v>
      </c>
      <c r="O168" t="s">
        <v>391</v>
      </c>
      <c r="P168" t="s">
        <v>391</v>
      </c>
      <c r="Q168">
        <v>1</v>
      </c>
      <c r="X168">
        <v>0.08</v>
      </c>
      <c r="Y168">
        <v>0</v>
      </c>
      <c r="Z168">
        <v>83.1</v>
      </c>
      <c r="AA168">
        <v>12.62</v>
      </c>
      <c r="AB168">
        <v>0</v>
      </c>
      <c r="AC168">
        <v>0</v>
      </c>
      <c r="AD168">
        <v>1</v>
      </c>
      <c r="AE168">
        <v>0</v>
      </c>
      <c r="AF168" t="s">
        <v>71</v>
      </c>
      <c r="AG168">
        <v>9.6000000000000002E-2</v>
      </c>
      <c r="AH168">
        <v>2</v>
      </c>
      <c r="AI168">
        <v>57014561</v>
      </c>
      <c r="AJ168">
        <v>132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</row>
    <row r="169" spans="1:44" x14ac:dyDescent="0.25">
      <c r="A169">
        <f>ROW(Source!A111)</f>
        <v>111</v>
      </c>
      <c r="B169">
        <v>57014565</v>
      </c>
      <c r="C169">
        <v>57014559</v>
      </c>
      <c r="D169">
        <v>55460424</v>
      </c>
      <c r="E169">
        <v>1</v>
      </c>
      <c r="F169">
        <v>1</v>
      </c>
      <c r="G169">
        <v>1081</v>
      </c>
      <c r="H169">
        <v>3</v>
      </c>
      <c r="I169" t="s">
        <v>470</v>
      </c>
      <c r="J169" t="s">
        <v>471</v>
      </c>
      <c r="K169" t="s">
        <v>472</v>
      </c>
      <c r="L169">
        <v>1346</v>
      </c>
      <c r="N169">
        <v>1009</v>
      </c>
      <c r="O169" t="s">
        <v>365</v>
      </c>
      <c r="P169" t="s">
        <v>365</v>
      </c>
      <c r="Q169">
        <v>1</v>
      </c>
      <c r="X169">
        <v>0.02</v>
      </c>
      <c r="Y169">
        <v>159.06</v>
      </c>
      <c r="Z169">
        <v>0</v>
      </c>
      <c r="AA169">
        <v>0</v>
      </c>
      <c r="AB169">
        <v>0</v>
      </c>
      <c r="AC169">
        <v>0</v>
      </c>
      <c r="AD169">
        <v>1</v>
      </c>
      <c r="AE169">
        <v>0</v>
      </c>
      <c r="AF169" t="s">
        <v>70</v>
      </c>
      <c r="AG169">
        <v>0.02</v>
      </c>
      <c r="AH169">
        <v>2</v>
      </c>
      <c r="AI169">
        <v>57014562</v>
      </c>
      <c r="AJ169">
        <v>133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</row>
    <row r="170" spans="1:44" x14ac:dyDescent="0.25">
      <c r="A170">
        <f>ROW(Source!A111)</f>
        <v>111</v>
      </c>
      <c r="B170">
        <v>57014566</v>
      </c>
      <c r="C170">
        <v>57014559</v>
      </c>
      <c r="D170">
        <v>55433957</v>
      </c>
      <c r="E170">
        <v>1081</v>
      </c>
      <c r="F170">
        <v>1</v>
      </c>
      <c r="G170">
        <v>1081</v>
      </c>
      <c r="H170">
        <v>3</v>
      </c>
      <c r="I170" t="s">
        <v>507</v>
      </c>
      <c r="J170" t="s">
        <v>3</v>
      </c>
      <c r="K170" t="s">
        <v>508</v>
      </c>
      <c r="L170">
        <v>1354</v>
      </c>
      <c r="N170">
        <v>1010</v>
      </c>
      <c r="O170" t="s">
        <v>251</v>
      </c>
      <c r="P170" t="s">
        <v>251</v>
      </c>
      <c r="Q170">
        <v>1</v>
      </c>
      <c r="X170">
        <v>1.02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 t="s">
        <v>70</v>
      </c>
      <c r="AG170">
        <v>1.02</v>
      </c>
      <c r="AH170">
        <v>3</v>
      </c>
      <c r="AI170">
        <v>-1</v>
      </c>
      <c r="AJ170" t="s">
        <v>3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</row>
    <row r="171" spans="1:44" x14ac:dyDescent="0.25">
      <c r="A171">
        <f>ROW(Source!A111)</f>
        <v>111</v>
      </c>
      <c r="B171">
        <v>57014567</v>
      </c>
      <c r="C171">
        <v>57014559</v>
      </c>
      <c r="D171">
        <v>55434208</v>
      </c>
      <c r="E171">
        <v>1081</v>
      </c>
      <c r="F171">
        <v>1</v>
      </c>
      <c r="G171">
        <v>1081</v>
      </c>
      <c r="H171">
        <v>3</v>
      </c>
      <c r="I171" t="s">
        <v>509</v>
      </c>
      <c r="J171" t="s">
        <v>3</v>
      </c>
      <c r="K171" t="s">
        <v>510</v>
      </c>
      <c r="L171">
        <v>1354</v>
      </c>
      <c r="N171">
        <v>1010</v>
      </c>
      <c r="O171" t="s">
        <v>251</v>
      </c>
      <c r="P171" t="s">
        <v>251</v>
      </c>
      <c r="Q171">
        <v>1</v>
      </c>
      <c r="X171">
        <v>1.02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 t="s">
        <v>70</v>
      </c>
      <c r="AG171">
        <v>1.02</v>
      </c>
      <c r="AH171">
        <v>3</v>
      </c>
      <c r="AI171">
        <v>-1</v>
      </c>
      <c r="AJ171" t="s">
        <v>3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</row>
    <row r="172" spans="1:44" x14ac:dyDescent="0.25">
      <c r="A172">
        <f>ROW(Source!A111)</f>
        <v>111</v>
      </c>
      <c r="B172">
        <v>57014568</v>
      </c>
      <c r="C172">
        <v>57014559</v>
      </c>
      <c r="D172">
        <v>55434388</v>
      </c>
      <c r="E172">
        <v>1081</v>
      </c>
      <c r="F172">
        <v>1</v>
      </c>
      <c r="G172">
        <v>1081</v>
      </c>
      <c r="H172">
        <v>3</v>
      </c>
      <c r="I172" t="s">
        <v>511</v>
      </c>
      <c r="J172" t="s">
        <v>3</v>
      </c>
      <c r="K172" t="s">
        <v>512</v>
      </c>
      <c r="L172">
        <v>1354</v>
      </c>
      <c r="N172">
        <v>1010</v>
      </c>
      <c r="O172" t="s">
        <v>251</v>
      </c>
      <c r="P172" t="s">
        <v>251</v>
      </c>
      <c r="Q172">
        <v>1</v>
      </c>
      <c r="X172">
        <v>1.02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 t="s">
        <v>70</v>
      </c>
      <c r="AG172">
        <v>1.02</v>
      </c>
      <c r="AH172">
        <v>3</v>
      </c>
      <c r="AI172">
        <v>-1</v>
      </c>
      <c r="AJ172" t="s">
        <v>3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</row>
    <row r="173" spans="1:44" x14ac:dyDescent="0.25">
      <c r="A173">
        <f>ROW(Source!A112)</f>
        <v>112</v>
      </c>
      <c r="B173">
        <v>57014563</v>
      </c>
      <c r="C173">
        <v>57014559</v>
      </c>
      <c r="D173">
        <v>55424304</v>
      </c>
      <c r="E173">
        <v>1081</v>
      </c>
      <c r="F173">
        <v>1</v>
      </c>
      <c r="G173">
        <v>1081</v>
      </c>
      <c r="H173">
        <v>1</v>
      </c>
      <c r="I173" t="s">
        <v>385</v>
      </c>
      <c r="J173" t="s">
        <v>3</v>
      </c>
      <c r="K173" t="s">
        <v>386</v>
      </c>
      <c r="L173">
        <v>1191</v>
      </c>
      <c r="N173">
        <v>1013</v>
      </c>
      <c r="O173" t="s">
        <v>387</v>
      </c>
      <c r="P173" t="s">
        <v>387</v>
      </c>
      <c r="Q173">
        <v>1</v>
      </c>
      <c r="X173">
        <v>1.97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1</v>
      </c>
      <c r="AE173">
        <v>1</v>
      </c>
      <c r="AF173" t="s">
        <v>71</v>
      </c>
      <c r="AG173">
        <v>2.3639999999999999</v>
      </c>
      <c r="AH173">
        <v>2</v>
      </c>
      <c r="AI173">
        <v>57014560</v>
      </c>
      <c r="AJ173">
        <v>134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</row>
    <row r="174" spans="1:44" x14ac:dyDescent="0.25">
      <c r="A174">
        <f>ROW(Source!A112)</f>
        <v>112</v>
      </c>
      <c r="B174">
        <v>57014564</v>
      </c>
      <c r="C174">
        <v>57014559</v>
      </c>
      <c r="D174">
        <v>55490209</v>
      </c>
      <c r="E174">
        <v>1</v>
      </c>
      <c r="F174">
        <v>1</v>
      </c>
      <c r="G174">
        <v>1081</v>
      </c>
      <c r="H174">
        <v>2</v>
      </c>
      <c r="I174" t="s">
        <v>460</v>
      </c>
      <c r="J174" t="s">
        <v>461</v>
      </c>
      <c r="K174" t="s">
        <v>462</v>
      </c>
      <c r="L174">
        <v>1368</v>
      </c>
      <c r="N174">
        <v>1011</v>
      </c>
      <c r="O174" t="s">
        <v>391</v>
      </c>
      <c r="P174" t="s">
        <v>391</v>
      </c>
      <c r="Q174">
        <v>1</v>
      </c>
      <c r="X174">
        <v>0.08</v>
      </c>
      <c r="Y174">
        <v>0</v>
      </c>
      <c r="Z174">
        <v>83.1</v>
      </c>
      <c r="AA174">
        <v>12.62</v>
      </c>
      <c r="AB174">
        <v>0</v>
      </c>
      <c r="AC174">
        <v>0</v>
      </c>
      <c r="AD174">
        <v>1</v>
      </c>
      <c r="AE174">
        <v>0</v>
      </c>
      <c r="AF174" t="s">
        <v>71</v>
      </c>
      <c r="AG174">
        <v>9.6000000000000002E-2</v>
      </c>
      <c r="AH174">
        <v>2</v>
      </c>
      <c r="AI174">
        <v>57014561</v>
      </c>
      <c r="AJ174">
        <v>135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</row>
    <row r="175" spans="1:44" x14ac:dyDescent="0.25">
      <c r="A175">
        <f>ROW(Source!A112)</f>
        <v>112</v>
      </c>
      <c r="B175">
        <v>57014565</v>
      </c>
      <c r="C175">
        <v>57014559</v>
      </c>
      <c r="D175">
        <v>55460424</v>
      </c>
      <c r="E175">
        <v>1</v>
      </c>
      <c r="F175">
        <v>1</v>
      </c>
      <c r="G175">
        <v>1081</v>
      </c>
      <c r="H175">
        <v>3</v>
      </c>
      <c r="I175" t="s">
        <v>470</v>
      </c>
      <c r="J175" t="s">
        <v>471</v>
      </c>
      <c r="K175" t="s">
        <v>472</v>
      </c>
      <c r="L175">
        <v>1346</v>
      </c>
      <c r="N175">
        <v>1009</v>
      </c>
      <c r="O175" t="s">
        <v>365</v>
      </c>
      <c r="P175" t="s">
        <v>365</v>
      </c>
      <c r="Q175">
        <v>1</v>
      </c>
      <c r="X175">
        <v>0.02</v>
      </c>
      <c r="Y175">
        <v>159.06</v>
      </c>
      <c r="Z175">
        <v>0</v>
      </c>
      <c r="AA175">
        <v>0</v>
      </c>
      <c r="AB175">
        <v>0</v>
      </c>
      <c r="AC175">
        <v>0</v>
      </c>
      <c r="AD175">
        <v>1</v>
      </c>
      <c r="AE175">
        <v>0</v>
      </c>
      <c r="AF175" t="s">
        <v>70</v>
      </c>
      <c r="AG175">
        <v>0.02</v>
      </c>
      <c r="AH175">
        <v>2</v>
      </c>
      <c r="AI175">
        <v>57014562</v>
      </c>
      <c r="AJ175">
        <v>136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</row>
    <row r="176" spans="1:44" x14ac:dyDescent="0.25">
      <c r="A176">
        <f>ROW(Source!A112)</f>
        <v>112</v>
      </c>
      <c r="B176">
        <v>57014566</v>
      </c>
      <c r="C176">
        <v>57014559</v>
      </c>
      <c r="D176">
        <v>55433957</v>
      </c>
      <c r="E176">
        <v>1081</v>
      </c>
      <c r="F176">
        <v>1</v>
      </c>
      <c r="G176">
        <v>1081</v>
      </c>
      <c r="H176">
        <v>3</v>
      </c>
      <c r="I176" t="s">
        <v>507</v>
      </c>
      <c r="J176" t="s">
        <v>3</v>
      </c>
      <c r="K176" t="s">
        <v>508</v>
      </c>
      <c r="L176">
        <v>1354</v>
      </c>
      <c r="N176">
        <v>1010</v>
      </c>
      <c r="O176" t="s">
        <v>251</v>
      </c>
      <c r="P176" t="s">
        <v>251</v>
      </c>
      <c r="Q176">
        <v>1</v>
      </c>
      <c r="X176">
        <v>1.02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 t="s">
        <v>70</v>
      </c>
      <c r="AG176">
        <v>1.02</v>
      </c>
      <c r="AH176">
        <v>3</v>
      </c>
      <c r="AI176">
        <v>-1</v>
      </c>
      <c r="AJ176" t="s">
        <v>3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</row>
    <row r="177" spans="1:44" x14ac:dyDescent="0.25">
      <c r="A177">
        <f>ROW(Source!A112)</f>
        <v>112</v>
      </c>
      <c r="B177">
        <v>57014567</v>
      </c>
      <c r="C177">
        <v>57014559</v>
      </c>
      <c r="D177">
        <v>55434208</v>
      </c>
      <c r="E177">
        <v>1081</v>
      </c>
      <c r="F177">
        <v>1</v>
      </c>
      <c r="G177">
        <v>1081</v>
      </c>
      <c r="H177">
        <v>3</v>
      </c>
      <c r="I177" t="s">
        <v>509</v>
      </c>
      <c r="J177" t="s">
        <v>3</v>
      </c>
      <c r="K177" t="s">
        <v>510</v>
      </c>
      <c r="L177">
        <v>1354</v>
      </c>
      <c r="N177">
        <v>1010</v>
      </c>
      <c r="O177" t="s">
        <v>251</v>
      </c>
      <c r="P177" t="s">
        <v>251</v>
      </c>
      <c r="Q177">
        <v>1</v>
      </c>
      <c r="X177">
        <v>1.02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 t="s">
        <v>70</v>
      </c>
      <c r="AG177">
        <v>1.02</v>
      </c>
      <c r="AH177">
        <v>3</v>
      </c>
      <c r="AI177">
        <v>-1</v>
      </c>
      <c r="AJ177" t="s">
        <v>3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</row>
    <row r="178" spans="1:44" x14ac:dyDescent="0.25">
      <c r="A178">
        <f>ROW(Source!A112)</f>
        <v>112</v>
      </c>
      <c r="B178">
        <v>57014568</v>
      </c>
      <c r="C178">
        <v>57014559</v>
      </c>
      <c r="D178">
        <v>55434388</v>
      </c>
      <c r="E178">
        <v>1081</v>
      </c>
      <c r="F178">
        <v>1</v>
      </c>
      <c r="G178">
        <v>1081</v>
      </c>
      <c r="H178">
        <v>3</v>
      </c>
      <c r="I178" t="s">
        <v>511</v>
      </c>
      <c r="J178" t="s">
        <v>3</v>
      </c>
      <c r="K178" t="s">
        <v>512</v>
      </c>
      <c r="L178">
        <v>1354</v>
      </c>
      <c r="N178">
        <v>1010</v>
      </c>
      <c r="O178" t="s">
        <v>251</v>
      </c>
      <c r="P178" t="s">
        <v>251</v>
      </c>
      <c r="Q178">
        <v>1</v>
      </c>
      <c r="X178">
        <v>1.02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 t="s">
        <v>70</v>
      </c>
      <c r="AG178">
        <v>1.02</v>
      </c>
      <c r="AH178">
        <v>3</v>
      </c>
      <c r="AI178">
        <v>-1</v>
      </c>
      <c r="AJ178" t="s">
        <v>3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</row>
    <row r="179" spans="1:44" x14ac:dyDescent="0.25">
      <c r="A179">
        <f>ROW(Source!A115)</f>
        <v>115</v>
      </c>
      <c r="B179">
        <v>57014577</v>
      </c>
      <c r="C179">
        <v>57014574</v>
      </c>
      <c r="D179">
        <v>55424304</v>
      </c>
      <c r="E179">
        <v>1081</v>
      </c>
      <c r="F179">
        <v>1</v>
      </c>
      <c r="G179">
        <v>1081</v>
      </c>
      <c r="H179">
        <v>1</v>
      </c>
      <c r="I179" t="s">
        <v>385</v>
      </c>
      <c r="J179" t="s">
        <v>3</v>
      </c>
      <c r="K179" t="s">
        <v>386</v>
      </c>
      <c r="L179">
        <v>1191</v>
      </c>
      <c r="N179">
        <v>1013</v>
      </c>
      <c r="O179" t="s">
        <v>387</v>
      </c>
      <c r="P179" t="s">
        <v>387</v>
      </c>
      <c r="Q179">
        <v>1</v>
      </c>
      <c r="X179">
        <v>1.03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1</v>
      </c>
      <c r="AE179">
        <v>1</v>
      </c>
      <c r="AF179" t="s">
        <v>71</v>
      </c>
      <c r="AG179">
        <v>1.236</v>
      </c>
      <c r="AH179">
        <v>2</v>
      </c>
      <c r="AI179">
        <v>57014575</v>
      </c>
      <c r="AJ179">
        <v>137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</row>
    <row r="180" spans="1:44" x14ac:dyDescent="0.25">
      <c r="A180">
        <f>ROW(Source!A115)</f>
        <v>115</v>
      </c>
      <c r="B180">
        <v>57014578</v>
      </c>
      <c r="C180">
        <v>57014574</v>
      </c>
      <c r="D180">
        <v>55490209</v>
      </c>
      <c r="E180">
        <v>1</v>
      </c>
      <c r="F180">
        <v>1</v>
      </c>
      <c r="G180">
        <v>1081</v>
      </c>
      <c r="H180">
        <v>2</v>
      </c>
      <c r="I180" t="s">
        <v>460</v>
      </c>
      <c r="J180" t="s">
        <v>461</v>
      </c>
      <c r="K180" t="s">
        <v>462</v>
      </c>
      <c r="L180">
        <v>1368</v>
      </c>
      <c r="N180">
        <v>1011</v>
      </c>
      <c r="O180" t="s">
        <v>391</v>
      </c>
      <c r="P180" t="s">
        <v>391</v>
      </c>
      <c r="Q180">
        <v>1</v>
      </c>
      <c r="X180">
        <v>6.0000000000000001E-3</v>
      </c>
      <c r="Y180">
        <v>0</v>
      </c>
      <c r="Z180">
        <v>83.1</v>
      </c>
      <c r="AA180">
        <v>12.62</v>
      </c>
      <c r="AB180">
        <v>0</v>
      </c>
      <c r="AC180">
        <v>0</v>
      </c>
      <c r="AD180">
        <v>1</v>
      </c>
      <c r="AE180">
        <v>0</v>
      </c>
      <c r="AF180" t="s">
        <v>71</v>
      </c>
      <c r="AG180">
        <v>7.1999999999999998E-3</v>
      </c>
      <c r="AH180">
        <v>2</v>
      </c>
      <c r="AI180">
        <v>57014576</v>
      </c>
      <c r="AJ180">
        <v>138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</row>
    <row r="181" spans="1:44" x14ac:dyDescent="0.25">
      <c r="A181">
        <f>ROW(Source!A115)</f>
        <v>115</v>
      </c>
      <c r="B181">
        <v>57014579</v>
      </c>
      <c r="C181">
        <v>57014574</v>
      </c>
      <c r="D181">
        <v>55440932</v>
      </c>
      <c r="E181">
        <v>1081</v>
      </c>
      <c r="F181">
        <v>1</v>
      </c>
      <c r="G181">
        <v>1081</v>
      </c>
      <c r="H181">
        <v>3</v>
      </c>
      <c r="I181" t="s">
        <v>503</v>
      </c>
      <c r="J181" t="s">
        <v>3</v>
      </c>
      <c r="K181" t="s">
        <v>504</v>
      </c>
      <c r="L181">
        <v>1354</v>
      </c>
      <c r="N181">
        <v>1010</v>
      </c>
      <c r="O181" t="s">
        <v>251</v>
      </c>
      <c r="P181" t="s">
        <v>251</v>
      </c>
      <c r="Q181">
        <v>1</v>
      </c>
      <c r="X181">
        <v>1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 t="s">
        <v>70</v>
      </c>
      <c r="AG181">
        <v>1</v>
      </c>
      <c r="AH181">
        <v>3</v>
      </c>
      <c r="AI181">
        <v>-1</v>
      </c>
      <c r="AJ181" t="s">
        <v>3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</row>
    <row r="182" spans="1:44" x14ac:dyDescent="0.25">
      <c r="A182">
        <f>ROW(Source!A116)</f>
        <v>116</v>
      </c>
      <c r="B182">
        <v>57014577</v>
      </c>
      <c r="C182">
        <v>57014574</v>
      </c>
      <c r="D182">
        <v>55424304</v>
      </c>
      <c r="E182">
        <v>1081</v>
      </c>
      <c r="F182">
        <v>1</v>
      </c>
      <c r="G182">
        <v>1081</v>
      </c>
      <c r="H182">
        <v>1</v>
      </c>
      <c r="I182" t="s">
        <v>385</v>
      </c>
      <c r="J182" t="s">
        <v>3</v>
      </c>
      <c r="K182" t="s">
        <v>386</v>
      </c>
      <c r="L182">
        <v>1191</v>
      </c>
      <c r="N182">
        <v>1013</v>
      </c>
      <c r="O182" t="s">
        <v>387</v>
      </c>
      <c r="P182" t="s">
        <v>387</v>
      </c>
      <c r="Q182">
        <v>1</v>
      </c>
      <c r="X182">
        <v>1.03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1</v>
      </c>
      <c r="AE182">
        <v>1</v>
      </c>
      <c r="AF182" t="s">
        <v>71</v>
      </c>
      <c r="AG182">
        <v>1.236</v>
      </c>
      <c r="AH182">
        <v>2</v>
      </c>
      <c r="AI182">
        <v>57014575</v>
      </c>
      <c r="AJ182">
        <v>139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</row>
    <row r="183" spans="1:44" x14ac:dyDescent="0.25">
      <c r="A183">
        <f>ROW(Source!A116)</f>
        <v>116</v>
      </c>
      <c r="B183">
        <v>57014578</v>
      </c>
      <c r="C183">
        <v>57014574</v>
      </c>
      <c r="D183">
        <v>55490209</v>
      </c>
      <c r="E183">
        <v>1</v>
      </c>
      <c r="F183">
        <v>1</v>
      </c>
      <c r="G183">
        <v>1081</v>
      </c>
      <c r="H183">
        <v>2</v>
      </c>
      <c r="I183" t="s">
        <v>460</v>
      </c>
      <c r="J183" t="s">
        <v>461</v>
      </c>
      <c r="K183" t="s">
        <v>462</v>
      </c>
      <c r="L183">
        <v>1368</v>
      </c>
      <c r="N183">
        <v>1011</v>
      </c>
      <c r="O183" t="s">
        <v>391</v>
      </c>
      <c r="P183" t="s">
        <v>391</v>
      </c>
      <c r="Q183">
        <v>1</v>
      </c>
      <c r="X183">
        <v>6.0000000000000001E-3</v>
      </c>
      <c r="Y183">
        <v>0</v>
      </c>
      <c r="Z183">
        <v>83.1</v>
      </c>
      <c r="AA183">
        <v>12.62</v>
      </c>
      <c r="AB183">
        <v>0</v>
      </c>
      <c r="AC183">
        <v>0</v>
      </c>
      <c r="AD183">
        <v>1</v>
      </c>
      <c r="AE183">
        <v>0</v>
      </c>
      <c r="AF183" t="s">
        <v>71</v>
      </c>
      <c r="AG183">
        <v>7.1999999999999998E-3</v>
      </c>
      <c r="AH183">
        <v>2</v>
      </c>
      <c r="AI183">
        <v>57014576</v>
      </c>
      <c r="AJ183">
        <v>140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</row>
    <row r="184" spans="1:44" x14ac:dyDescent="0.25">
      <c r="A184">
        <f>ROW(Source!A116)</f>
        <v>116</v>
      </c>
      <c r="B184">
        <v>57014579</v>
      </c>
      <c r="C184">
        <v>57014574</v>
      </c>
      <c r="D184">
        <v>55440932</v>
      </c>
      <c r="E184">
        <v>1081</v>
      </c>
      <c r="F184">
        <v>1</v>
      </c>
      <c r="G184">
        <v>1081</v>
      </c>
      <c r="H184">
        <v>3</v>
      </c>
      <c r="I184" t="s">
        <v>503</v>
      </c>
      <c r="J184" t="s">
        <v>3</v>
      </c>
      <c r="K184" t="s">
        <v>504</v>
      </c>
      <c r="L184">
        <v>1354</v>
      </c>
      <c r="N184">
        <v>1010</v>
      </c>
      <c r="O184" t="s">
        <v>251</v>
      </c>
      <c r="P184" t="s">
        <v>251</v>
      </c>
      <c r="Q184">
        <v>1</v>
      </c>
      <c r="X184">
        <v>1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 t="s">
        <v>70</v>
      </c>
      <c r="AG184">
        <v>1</v>
      </c>
      <c r="AH184">
        <v>3</v>
      </c>
      <c r="AI184">
        <v>-1</v>
      </c>
      <c r="AJ184" t="s">
        <v>3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</row>
    <row r="185" spans="1:44" x14ac:dyDescent="0.25">
      <c r="A185">
        <f>ROW(Source!A119)</f>
        <v>119</v>
      </c>
      <c r="B185">
        <v>57014592</v>
      </c>
      <c r="C185">
        <v>57014585</v>
      </c>
      <c r="D185">
        <v>55424304</v>
      </c>
      <c r="E185">
        <v>1081</v>
      </c>
      <c r="F185">
        <v>1</v>
      </c>
      <c r="G185">
        <v>1081</v>
      </c>
      <c r="H185">
        <v>1</v>
      </c>
      <c r="I185" t="s">
        <v>385</v>
      </c>
      <c r="J185" t="s">
        <v>3</v>
      </c>
      <c r="K185" t="s">
        <v>386</v>
      </c>
      <c r="L185">
        <v>1191</v>
      </c>
      <c r="N185">
        <v>1013</v>
      </c>
      <c r="O185" t="s">
        <v>387</v>
      </c>
      <c r="P185" t="s">
        <v>387</v>
      </c>
      <c r="Q185">
        <v>1</v>
      </c>
      <c r="X185">
        <v>1.36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1</v>
      </c>
      <c r="AE185">
        <v>1</v>
      </c>
      <c r="AF185" t="s">
        <v>71</v>
      </c>
      <c r="AG185">
        <v>1.6320000000000001</v>
      </c>
      <c r="AH185">
        <v>2</v>
      </c>
      <c r="AI185">
        <v>57014586</v>
      </c>
      <c r="AJ185">
        <v>141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</row>
    <row r="186" spans="1:44" x14ac:dyDescent="0.25">
      <c r="A186">
        <f>ROW(Source!A119)</f>
        <v>119</v>
      </c>
      <c r="B186">
        <v>57014593</v>
      </c>
      <c r="C186">
        <v>57014585</v>
      </c>
      <c r="D186">
        <v>55490330</v>
      </c>
      <c r="E186">
        <v>1</v>
      </c>
      <c r="F186">
        <v>1</v>
      </c>
      <c r="G186">
        <v>1081</v>
      </c>
      <c r="H186">
        <v>2</v>
      </c>
      <c r="I186" t="s">
        <v>403</v>
      </c>
      <c r="J186" t="s">
        <v>404</v>
      </c>
      <c r="K186" t="s">
        <v>405</v>
      </c>
      <c r="L186">
        <v>1368</v>
      </c>
      <c r="N186">
        <v>1011</v>
      </c>
      <c r="O186" t="s">
        <v>391</v>
      </c>
      <c r="P186" t="s">
        <v>391</v>
      </c>
      <c r="Q186">
        <v>1</v>
      </c>
      <c r="X186">
        <v>1.7000000000000001E-2</v>
      </c>
      <c r="Y186">
        <v>0</v>
      </c>
      <c r="Z186">
        <v>0.8</v>
      </c>
      <c r="AA186">
        <v>0</v>
      </c>
      <c r="AB186">
        <v>0</v>
      </c>
      <c r="AC186">
        <v>0</v>
      </c>
      <c r="AD186">
        <v>1</v>
      </c>
      <c r="AE186">
        <v>0</v>
      </c>
      <c r="AF186" t="s">
        <v>71</v>
      </c>
      <c r="AG186">
        <v>2.0400000000000001E-2</v>
      </c>
      <c r="AH186">
        <v>2</v>
      </c>
      <c r="AI186">
        <v>57014587</v>
      </c>
      <c r="AJ186">
        <v>142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</row>
    <row r="187" spans="1:44" x14ac:dyDescent="0.25">
      <c r="A187">
        <f>ROW(Source!A119)</f>
        <v>119</v>
      </c>
      <c r="B187">
        <v>57014594</v>
      </c>
      <c r="C187">
        <v>57014585</v>
      </c>
      <c r="D187">
        <v>55490296</v>
      </c>
      <c r="E187">
        <v>1</v>
      </c>
      <c r="F187">
        <v>1</v>
      </c>
      <c r="G187">
        <v>1081</v>
      </c>
      <c r="H187">
        <v>2</v>
      </c>
      <c r="I187" t="s">
        <v>415</v>
      </c>
      <c r="J187" t="s">
        <v>416</v>
      </c>
      <c r="K187" t="s">
        <v>417</v>
      </c>
      <c r="L187">
        <v>1368</v>
      </c>
      <c r="N187">
        <v>1011</v>
      </c>
      <c r="O187" t="s">
        <v>391</v>
      </c>
      <c r="P187" t="s">
        <v>391</v>
      </c>
      <c r="Q187">
        <v>1</v>
      </c>
      <c r="X187">
        <v>0.02</v>
      </c>
      <c r="Y187">
        <v>0</v>
      </c>
      <c r="Z187">
        <v>0.47</v>
      </c>
      <c r="AA187">
        <v>0</v>
      </c>
      <c r="AB187">
        <v>0</v>
      </c>
      <c r="AC187">
        <v>0</v>
      </c>
      <c r="AD187">
        <v>1</v>
      </c>
      <c r="AE187">
        <v>0</v>
      </c>
      <c r="AF187" t="s">
        <v>71</v>
      </c>
      <c r="AG187">
        <v>2.4E-2</v>
      </c>
      <c r="AH187">
        <v>2</v>
      </c>
      <c r="AI187">
        <v>57014588</v>
      </c>
      <c r="AJ187">
        <v>143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</row>
    <row r="188" spans="1:44" x14ac:dyDescent="0.25">
      <c r="A188">
        <f>ROW(Source!A119)</f>
        <v>119</v>
      </c>
      <c r="B188">
        <v>57014595</v>
      </c>
      <c r="C188">
        <v>57014585</v>
      </c>
      <c r="D188">
        <v>55461074</v>
      </c>
      <c r="E188">
        <v>1</v>
      </c>
      <c r="F188">
        <v>1</v>
      </c>
      <c r="G188">
        <v>1081</v>
      </c>
      <c r="H188">
        <v>3</v>
      </c>
      <c r="I188" t="s">
        <v>418</v>
      </c>
      <c r="J188" t="s">
        <v>419</v>
      </c>
      <c r="K188" t="s">
        <v>420</v>
      </c>
      <c r="L188">
        <v>1346</v>
      </c>
      <c r="N188">
        <v>1009</v>
      </c>
      <c r="O188" t="s">
        <v>365</v>
      </c>
      <c r="P188" t="s">
        <v>365</v>
      </c>
      <c r="Q188">
        <v>1</v>
      </c>
      <c r="X188">
        <v>6.2700000000000004E-3</v>
      </c>
      <c r="Y188">
        <v>27.62</v>
      </c>
      <c r="Z188">
        <v>0</v>
      </c>
      <c r="AA188">
        <v>0</v>
      </c>
      <c r="AB188">
        <v>0</v>
      </c>
      <c r="AC188">
        <v>0</v>
      </c>
      <c r="AD188">
        <v>1</v>
      </c>
      <c r="AE188">
        <v>0</v>
      </c>
      <c r="AF188" t="s">
        <v>70</v>
      </c>
      <c r="AG188">
        <v>6.2700000000000004E-3</v>
      </c>
      <c r="AH188">
        <v>2</v>
      </c>
      <c r="AI188">
        <v>57014589</v>
      </c>
      <c r="AJ188">
        <v>144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</row>
    <row r="189" spans="1:44" x14ac:dyDescent="0.25">
      <c r="A189">
        <f>ROW(Source!A119)</f>
        <v>119</v>
      </c>
      <c r="B189">
        <v>57014596</v>
      </c>
      <c r="C189">
        <v>57014585</v>
      </c>
      <c r="D189">
        <v>55459793</v>
      </c>
      <c r="E189">
        <v>1</v>
      </c>
      <c r="F189">
        <v>1</v>
      </c>
      <c r="G189">
        <v>1081</v>
      </c>
      <c r="H189">
        <v>3</v>
      </c>
      <c r="I189" t="s">
        <v>412</v>
      </c>
      <c r="J189" t="s">
        <v>413</v>
      </c>
      <c r="K189" t="s">
        <v>414</v>
      </c>
      <c r="L189">
        <v>1348</v>
      </c>
      <c r="N189">
        <v>1009</v>
      </c>
      <c r="O189" t="s">
        <v>361</v>
      </c>
      <c r="P189" t="s">
        <v>361</v>
      </c>
      <c r="Q189">
        <v>1000</v>
      </c>
      <c r="X189">
        <v>1.0000000000000001E-5</v>
      </c>
      <c r="Y189">
        <v>64123.05</v>
      </c>
      <c r="Z189">
        <v>0</v>
      </c>
      <c r="AA189">
        <v>0</v>
      </c>
      <c r="AB189">
        <v>0</v>
      </c>
      <c r="AC189">
        <v>0</v>
      </c>
      <c r="AD189">
        <v>1</v>
      </c>
      <c r="AE189">
        <v>0</v>
      </c>
      <c r="AF189" t="s">
        <v>70</v>
      </c>
      <c r="AG189">
        <v>1.0000000000000001E-5</v>
      </c>
      <c r="AH189">
        <v>2</v>
      </c>
      <c r="AI189">
        <v>57014590</v>
      </c>
      <c r="AJ189">
        <v>145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</row>
    <row r="190" spans="1:44" x14ac:dyDescent="0.25">
      <c r="A190">
        <f>ROW(Source!A119)</f>
        <v>119</v>
      </c>
      <c r="B190">
        <v>57014597</v>
      </c>
      <c r="C190">
        <v>57014585</v>
      </c>
      <c r="D190">
        <v>55469253</v>
      </c>
      <c r="E190">
        <v>1</v>
      </c>
      <c r="F190">
        <v>1</v>
      </c>
      <c r="G190">
        <v>1081</v>
      </c>
      <c r="H190">
        <v>3</v>
      </c>
      <c r="I190" t="s">
        <v>421</v>
      </c>
      <c r="J190" t="s">
        <v>422</v>
      </c>
      <c r="K190" t="s">
        <v>423</v>
      </c>
      <c r="L190">
        <v>1354</v>
      </c>
      <c r="N190">
        <v>1010</v>
      </c>
      <c r="O190" t="s">
        <v>251</v>
      </c>
      <c r="P190" t="s">
        <v>251</v>
      </c>
      <c r="Q190">
        <v>1</v>
      </c>
      <c r="X190">
        <v>0.1</v>
      </c>
      <c r="Y190">
        <v>15.25</v>
      </c>
      <c r="Z190">
        <v>0</v>
      </c>
      <c r="AA190">
        <v>0</v>
      </c>
      <c r="AB190">
        <v>0</v>
      </c>
      <c r="AC190">
        <v>0</v>
      </c>
      <c r="AD190">
        <v>1</v>
      </c>
      <c r="AE190">
        <v>0</v>
      </c>
      <c r="AF190" t="s">
        <v>70</v>
      </c>
      <c r="AG190">
        <v>0.1</v>
      </c>
      <c r="AH190">
        <v>2</v>
      </c>
      <c r="AI190">
        <v>57014591</v>
      </c>
      <c r="AJ190">
        <v>146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</row>
    <row r="191" spans="1:44" x14ac:dyDescent="0.25">
      <c r="A191">
        <f>ROW(Source!A119)</f>
        <v>119</v>
      </c>
      <c r="B191">
        <v>57014598</v>
      </c>
      <c r="C191">
        <v>57014585</v>
      </c>
      <c r="D191">
        <v>55441128</v>
      </c>
      <c r="E191">
        <v>1081</v>
      </c>
      <c r="F191">
        <v>1</v>
      </c>
      <c r="G191">
        <v>1081</v>
      </c>
      <c r="H191">
        <v>3</v>
      </c>
      <c r="I191" t="s">
        <v>485</v>
      </c>
      <c r="J191" t="s">
        <v>3</v>
      </c>
      <c r="K191" t="s">
        <v>486</v>
      </c>
      <c r="L191">
        <v>1354</v>
      </c>
      <c r="N191">
        <v>1010</v>
      </c>
      <c r="O191" t="s">
        <v>251</v>
      </c>
      <c r="P191" t="s">
        <v>251</v>
      </c>
      <c r="Q191">
        <v>1</v>
      </c>
      <c r="X191">
        <v>1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 t="s">
        <v>70</v>
      </c>
      <c r="AG191">
        <v>1</v>
      </c>
      <c r="AH191">
        <v>3</v>
      </c>
      <c r="AI191">
        <v>-1</v>
      </c>
      <c r="AJ191" t="s">
        <v>3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</row>
    <row r="192" spans="1:44" x14ac:dyDescent="0.25">
      <c r="A192">
        <f>ROW(Source!A120)</f>
        <v>120</v>
      </c>
      <c r="B192">
        <v>57014592</v>
      </c>
      <c r="C192">
        <v>57014585</v>
      </c>
      <c r="D192">
        <v>55424304</v>
      </c>
      <c r="E192">
        <v>1081</v>
      </c>
      <c r="F192">
        <v>1</v>
      </c>
      <c r="G192">
        <v>1081</v>
      </c>
      <c r="H192">
        <v>1</v>
      </c>
      <c r="I192" t="s">
        <v>385</v>
      </c>
      <c r="J192" t="s">
        <v>3</v>
      </c>
      <c r="K192" t="s">
        <v>386</v>
      </c>
      <c r="L192">
        <v>1191</v>
      </c>
      <c r="N192">
        <v>1013</v>
      </c>
      <c r="O192" t="s">
        <v>387</v>
      </c>
      <c r="P192" t="s">
        <v>387</v>
      </c>
      <c r="Q192">
        <v>1</v>
      </c>
      <c r="X192">
        <v>1.36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1</v>
      </c>
      <c r="AE192">
        <v>1</v>
      </c>
      <c r="AF192" t="s">
        <v>71</v>
      </c>
      <c r="AG192">
        <v>1.6320000000000001</v>
      </c>
      <c r="AH192">
        <v>2</v>
      </c>
      <c r="AI192">
        <v>57014586</v>
      </c>
      <c r="AJ192">
        <v>147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</row>
    <row r="193" spans="1:44" x14ac:dyDescent="0.25">
      <c r="A193">
        <f>ROW(Source!A120)</f>
        <v>120</v>
      </c>
      <c r="B193">
        <v>57014593</v>
      </c>
      <c r="C193">
        <v>57014585</v>
      </c>
      <c r="D193">
        <v>55490330</v>
      </c>
      <c r="E193">
        <v>1</v>
      </c>
      <c r="F193">
        <v>1</v>
      </c>
      <c r="G193">
        <v>1081</v>
      </c>
      <c r="H193">
        <v>2</v>
      </c>
      <c r="I193" t="s">
        <v>403</v>
      </c>
      <c r="J193" t="s">
        <v>404</v>
      </c>
      <c r="K193" t="s">
        <v>405</v>
      </c>
      <c r="L193">
        <v>1368</v>
      </c>
      <c r="N193">
        <v>1011</v>
      </c>
      <c r="O193" t="s">
        <v>391</v>
      </c>
      <c r="P193" t="s">
        <v>391</v>
      </c>
      <c r="Q193">
        <v>1</v>
      </c>
      <c r="X193">
        <v>1.7000000000000001E-2</v>
      </c>
      <c r="Y193">
        <v>0</v>
      </c>
      <c r="Z193">
        <v>0.8</v>
      </c>
      <c r="AA193">
        <v>0</v>
      </c>
      <c r="AB193">
        <v>0</v>
      </c>
      <c r="AC193">
        <v>0</v>
      </c>
      <c r="AD193">
        <v>1</v>
      </c>
      <c r="AE193">
        <v>0</v>
      </c>
      <c r="AF193" t="s">
        <v>71</v>
      </c>
      <c r="AG193">
        <v>2.0400000000000001E-2</v>
      </c>
      <c r="AH193">
        <v>2</v>
      </c>
      <c r="AI193">
        <v>57014587</v>
      </c>
      <c r="AJ193">
        <v>148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</row>
    <row r="194" spans="1:44" x14ac:dyDescent="0.25">
      <c r="A194">
        <f>ROW(Source!A120)</f>
        <v>120</v>
      </c>
      <c r="B194">
        <v>57014594</v>
      </c>
      <c r="C194">
        <v>57014585</v>
      </c>
      <c r="D194">
        <v>55490296</v>
      </c>
      <c r="E194">
        <v>1</v>
      </c>
      <c r="F194">
        <v>1</v>
      </c>
      <c r="G194">
        <v>1081</v>
      </c>
      <c r="H194">
        <v>2</v>
      </c>
      <c r="I194" t="s">
        <v>415</v>
      </c>
      <c r="J194" t="s">
        <v>416</v>
      </c>
      <c r="K194" t="s">
        <v>417</v>
      </c>
      <c r="L194">
        <v>1368</v>
      </c>
      <c r="N194">
        <v>1011</v>
      </c>
      <c r="O194" t="s">
        <v>391</v>
      </c>
      <c r="P194" t="s">
        <v>391</v>
      </c>
      <c r="Q194">
        <v>1</v>
      </c>
      <c r="X194">
        <v>0.02</v>
      </c>
      <c r="Y194">
        <v>0</v>
      </c>
      <c r="Z194">
        <v>0.47</v>
      </c>
      <c r="AA194">
        <v>0</v>
      </c>
      <c r="AB194">
        <v>0</v>
      </c>
      <c r="AC194">
        <v>0</v>
      </c>
      <c r="AD194">
        <v>1</v>
      </c>
      <c r="AE194">
        <v>0</v>
      </c>
      <c r="AF194" t="s">
        <v>71</v>
      </c>
      <c r="AG194">
        <v>2.4E-2</v>
      </c>
      <c r="AH194">
        <v>2</v>
      </c>
      <c r="AI194">
        <v>57014588</v>
      </c>
      <c r="AJ194">
        <v>149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</row>
    <row r="195" spans="1:44" x14ac:dyDescent="0.25">
      <c r="A195">
        <f>ROW(Source!A120)</f>
        <v>120</v>
      </c>
      <c r="B195">
        <v>57014595</v>
      </c>
      <c r="C195">
        <v>57014585</v>
      </c>
      <c r="D195">
        <v>55461074</v>
      </c>
      <c r="E195">
        <v>1</v>
      </c>
      <c r="F195">
        <v>1</v>
      </c>
      <c r="G195">
        <v>1081</v>
      </c>
      <c r="H195">
        <v>3</v>
      </c>
      <c r="I195" t="s">
        <v>418</v>
      </c>
      <c r="J195" t="s">
        <v>419</v>
      </c>
      <c r="K195" t="s">
        <v>420</v>
      </c>
      <c r="L195">
        <v>1346</v>
      </c>
      <c r="N195">
        <v>1009</v>
      </c>
      <c r="O195" t="s">
        <v>365</v>
      </c>
      <c r="P195" t="s">
        <v>365</v>
      </c>
      <c r="Q195">
        <v>1</v>
      </c>
      <c r="X195">
        <v>6.2700000000000004E-3</v>
      </c>
      <c r="Y195">
        <v>27.62</v>
      </c>
      <c r="Z195">
        <v>0</v>
      </c>
      <c r="AA195">
        <v>0</v>
      </c>
      <c r="AB195">
        <v>0</v>
      </c>
      <c r="AC195">
        <v>0</v>
      </c>
      <c r="AD195">
        <v>1</v>
      </c>
      <c r="AE195">
        <v>0</v>
      </c>
      <c r="AF195" t="s">
        <v>70</v>
      </c>
      <c r="AG195">
        <v>6.2700000000000004E-3</v>
      </c>
      <c r="AH195">
        <v>2</v>
      </c>
      <c r="AI195">
        <v>57014589</v>
      </c>
      <c r="AJ195">
        <v>150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</row>
    <row r="196" spans="1:44" x14ac:dyDescent="0.25">
      <c r="A196">
        <f>ROW(Source!A120)</f>
        <v>120</v>
      </c>
      <c r="B196">
        <v>57014596</v>
      </c>
      <c r="C196">
        <v>57014585</v>
      </c>
      <c r="D196">
        <v>55459793</v>
      </c>
      <c r="E196">
        <v>1</v>
      </c>
      <c r="F196">
        <v>1</v>
      </c>
      <c r="G196">
        <v>1081</v>
      </c>
      <c r="H196">
        <v>3</v>
      </c>
      <c r="I196" t="s">
        <v>412</v>
      </c>
      <c r="J196" t="s">
        <v>413</v>
      </c>
      <c r="K196" t="s">
        <v>414</v>
      </c>
      <c r="L196">
        <v>1348</v>
      </c>
      <c r="N196">
        <v>1009</v>
      </c>
      <c r="O196" t="s">
        <v>361</v>
      </c>
      <c r="P196" t="s">
        <v>361</v>
      </c>
      <c r="Q196">
        <v>1000</v>
      </c>
      <c r="X196">
        <v>1.0000000000000001E-5</v>
      </c>
      <c r="Y196">
        <v>64123.05</v>
      </c>
      <c r="Z196">
        <v>0</v>
      </c>
      <c r="AA196">
        <v>0</v>
      </c>
      <c r="AB196">
        <v>0</v>
      </c>
      <c r="AC196">
        <v>0</v>
      </c>
      <c r="AD196">
        <v>1</v>
      </c>
      <c r="AE196">
        <v>0</v>
      </c>
      <c r="AF196" t="s">
        <v>70</v>
      </c>
      <c r="AG196">
        <v>1.0000000000000001E-5</v>
      </c>
      <c r="AH196">
        <v>2</v>
      </c>
      <c r="AI196">
        <v>57014590</v>
      </c>
      <c r="AJ196">
        <v>151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</row>
    <row r="197" spans="1:44" x14ac:dyDescent="0.25">
      <c r="A197">
        <f>ROW(Source!A120)</f>
        <v>120</v>
      </c>
      <c r="B197">
        <v>57014597</v>
      </c>
      <c r="C197">
        <v>57014585</v>
      </c>
      <c r="D197">
        <v>55469253</v>
      </c>
      <c r="E197">
        <v>1</v>
      </c>
      <c r="F197">
        <v>1</v>
      </c>
      <c r="G197">
        <v>1081</v>
      </c>
      <c r="H197">
        <v>3</v>
      </c>
      <c r="I197" t="s">
        <v>421</v>
      </c>
      <c r="J197" t="s">
        <v>422</v>
      </c>
      <c r="K197" t="s">
        <v>423</v>
      </c>
      <c r="L197">
        <v>1354</v>
      </c>
      <c r="N197">
        <v>1010</v>
      </c>
      <c r="O197" t="s">
        <v>251</v>
      </c>
      <c r="P197" t="s">
        <v>251</v>
      </c>
      <c r="Q197">
        <v>1</v>
      </c>
      <c r="X197">
        <v>0.1</v>
      </c>
      <c r="Y197">
        <v>15.25</v>
      </c>
      <c r="Z197">
        <v>0</v>
      </c>
      <c r="AA197">
        <v>0</v>
      </c>
      <c r="AB197">
        <v>0</v>
      </c>
      <c r="AC197">
        <v>0</v>
      </c>
      <c r="AD197">
        <v>1</v>
      </c>
      <c r="AE197">
        <v>0</v>
      </c>
      <c r="AF197" t="s">
        <v>70</v>
      </c>
      <c r="AG197">
        <v>0.1</v>
      </c>
      <c r="AH197">
        <v>2</v>
      </c>
      <c r="AI197">
        <v>57014591</v>
      </c>
      <c r="AJ197">
        <v>152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</row>
    <row r="198" spans="1:44" x14ac:dyDescent="0.25">
      <c r="A198">
        <f>ROW(Source!A120)</f>
        <v>120</v>
      </c>
      <c r="B198">
        <v>57014598</v>
      </c>
      <c r="C198">
        <v>57014585</v>
      </c>
      <c r="D198">
        <v>55441128</v>
      </c>
      <c r="E198">
        <v>1081</v>
      </c>
      <c r="F198">
        <v>1</v>
      </c>
      <c r="G198">
        <v>1081</v>
      </c>
      <c r="H198">
        <v>3</v>
      </c>
      <c r="I198" t="s">
        <v>485</v>
      </c>
      <c r="J198" t="s">
        <v>3</v>
      </c>
      <c r="K198" t="s">
        <v>486</v>
      </c>
      <c r="L198">
        <v>1354</v>
      </c>
      <c r="N198">
        <v>1010</v>
      </c>
      <c r="O198" t="s">
        <v>251</v>
      </c>
      <c r="P198" t="s">
        <v>251</v>
      </c>
      <c r="Q198">
        <v>1</v>
      </c>
      <c r="X198">
        <v>1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 t="s">
        <v>70</v>
      </c>
      <c r="AG198">
        <v>1</v>
      </c>
      <c r="AH198">
        <v>3</v>
      </c>
      <c r="AI198">
        <v>-1</v>
      </c>
      <c r="AJ198" t="s">
        <v>3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</row>
    <row r="199" spans="1:44" x14ac:dyDescent="0.25">
      <c r="A199">
        <f>ROW(Source!A125)</f>
        <v>125</v>
      </c>
      <c r="B199">
        <v>57015335</v>
      </c>
      <c r="C199">
        <v>57015334</v>
      </c>
      <c r="D199">
        <v>55424304</v>
      </c>
      <c r="E199">
        <v>1081</v>
      </c>
      <c r="F199">
        <v>1</v>
      </c>
      <c r="G199">
        <v>1081</v>
      </c>
      <c r="H199">
        <v>1</v>
      </c>
      <c r="I199" t="s">
        <v>385</v>
      </c>
      <c r="J199" t="s">
        <v>3</v>
      </c>
      <c r="K199" t="s">
        <v>386</v>
      </c>
      <c r="L199">
        <v>1191</v>
      </c>
      <c r="N199">
        <v>1013</v>
      </c>
      <c r="O199" t="s">
        <v>387</v>
      </c>
      <c r="P199" t="s">
        <v>387</v>
      </c>
      <c r="Q199">
        <v>1</v>
      </c>
      <c r="X199">
        <v>5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1</v>
      </c>
      <c r="AE199">
        <v>1</v>
      </c>
      <c r="AF199" t="s">
        <v>71</v>
      </c>
      <c r="AG199">
        <v>6</v>
      </c>
      <c r="AH199">
        <v>2</v>
      </c>
      <c r="AI199">
        <v>57015335</v>
      </c>
      <c r="AJ199">
        <v>153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</row>
    <row r="200" spans="1:44" x14ac:dyDescent="0.25">
      <c r="A200">
        <f>ROW(Source!A125)</f>
        <v>125</v>
      </c>
      <c r="B200">
        <v>57015336</v>
      </c>
      <c r="C200">
        <v>57015334</v>
      </c>
      <c r="D200">
        <v>55490330</v>
      </c>
      <c r="E200">
        <v>1</v>
      </c>
      <c r="F200">
        <v>1</v>
      </c>
      <c r="G200">
        <v>1081</v>
      </c>
      <c r="H200">
        <v>2</v>
      </c>
      <c r="I200" t="s">
        <v>403</v>
      </c>
      <c r="J200" t="s">
        <v>404</v>
      </c>
      <c r="K200" t="s">
        <v>405</v>
      </c>
      <c r="L200">
        <v>1368</v>
      </c>
      <c r="N200">
        <v>1011</v>
      </c>
      <c r="O200" t="s">
        <v>391</v>
      </c>
      <c r="P200" t="s">
        <v>391</v>
      </c>
      <c r="Q200">
        <v>1</v>
      </c>
      <c r="X200">
        <v>0.13</v>
      </c>
      <c r="Y200">
        <v>0</v>
      </c>
      <c r="Z200">
        <v>0.8</v>
      </c>
      <c r="AA200">
        <v>0</v>
      </c>
      <c r="AB200">
        <v>0</v>
      </c>
      <c r="AC200">
        <v>0</v>
      </c>
      <c r="AD200">
        <v>1</v>
      </c>
      <c r="AE200">
        <v>0</v>
      </c>
      <c r="AF200" t="s">
        <v>71</v>
      </c>
      <c r="AG200">
        <v>0.156</v>
      </c>
      <c r="AH200">
        <v>2</v>
      </c>
      <c r="AI200">
        <v>57015336</v>
      </c>
      <c r="AJ200">
        <v>154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</row>
    <row r="201" spans="1:44" x14ac:dyDescent="0.25">
      <c r="A201">
        <f>ROW(Source!A125)</f>
        <v>125</v>
      </c>
      <c r="B201">
        <v>57015337</v>
      </c>
      <c r="C201">
        <v>57015334</v>
      </c>
      <c r="D201">
        <v>55459340</v>
      </c>
      <c r="E201">
        <v>1</v>
      </c>
      <c r="F201">
        <v>1</v>
      </c>
      <c r="G201">
        <v>1081</v>
      </c>
      <c r="H201">
        <v>3</v>
      </c>
      <c r="I201" t="s">
        <v>406</v>
      </c>
      <c r="J201" t="s">
        <v>407</v>
      </c>
      <c r="K201" t="s">
        <v>408</v>
      </c>
      <c r="L201">
        <v>1354</v>
      </c>
      <c r="N201">
        <v>1010</v>
      </c>
      <c r="O201" t="s">
        <v>251</v>
      </c>
      <c r="P201" t="s">
        <v>251</v>
      </c>
      <c r="Q201">
        <v>1</v>
      </c>
      <c r="X201">
        <v>3</v>
      </c>
      <c r="Y201">
        <v>0.89</v>
      </c>
      <c r="Z201">
        <v>0</v>
      </c>
      <c r="AA201">
        <v>0</v>
      </c>
      <c r="AB201">
        <v>0</v>
      </c>
      <c r="AC201">
        <v>0</v>
      </c>
      <c r="AD201">
        <v>1</v>
      </c>
      <c r="AE201">
        <v>0</v>
      </c>
      <c r="AF201" t="s">
        <v>70</v>
      </c>
      <c r="AG201">
        <v>3</v>
      </c>
      <c r="AH201">
        <v>2</v>
      </c>
      <c r="AI201">
        <v>57015337</v>
      </c>
      <c r="AJ201">
        <v>155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</row>
    <row r="202" spans="1:44" x14ac:dyDescent="0.25">
      <c r="A202">
        <f>ROW(Source!A125)</f>
        <v>125</v>
      </c>
      <c r="B202">
        <v>57015338</v>
      </c>
      <c r="C202">
        <v>57015334</v>
      </c>
      <c r="D202">
        <v>55455624</v>
      </c>
      <c r="E202">
        <v>1081</v>
      </c>
      <c r="F202">
        <v>1</v>
      </c>
      <c r="G202">
        <v>1081</v>
      </c>
      <c r="H202">
        <v>3</v>
      </c>
      <c r="I202" t="s">
        <v>481</v>
      </c>
      <c r="J202" t="s">
        <v>3</v>
      </c>
      <c r="K202" t="s">
        <v>482</v>
      </c>
      <c r="L202">
        <v>1354</v>
      </c>
      <c r="N202">
        <v>1010</v>
      </c>
      <c r="O202" t="s">
        <v>251</v>
      </c>
      <c r="P202" t="s">
        <v>251</v>
      </c>
      <c r="Q202">
        <v>1</v>
      </c>
      <c r="X202">
        <v>1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 t="s">
        <v>70</v>
      </c>
      <c r="AG202">
        <v>1</v>
      </c>
      <c r="AH202">
        <v>3</v>
      </c>
      <c r="AI202">
        <v>-1</v>
      </c>
      <c r="AJ202" t="s">
        <v>3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</row>
    <row r="203" spans="1:44" x14ac:dyDescent="0.25">
      <c r="A203">
        <f>ROW(Source!A126)</f>
        <v>126</v>
      </c>
      <c r="B203">
        <v>57015335</v>
      </c>
      <c r="C203">
        <v>57015334</v>
      </c>
      <c r="D203">
        <v>55424304</v>
      </c>
      <c r="E203">
        <v>1081</v>
      </c>
      <c r="F203">
        <v>1</v>
      </c>
      <c r="G203">
        <v>1081</v>
      </c>
      <c r="H203">
        <v>1</v>
      </c>
      <c r="I203" t="s">
        <v>385</v>
      </c>
      <c r="J203" t="s">
        <v>3</v>
      </c>
      <c r="K203" t="s">
        <v>386</v>
      </c>
      <c r="L203">
        <v>1191</v>
      </c>
      <c r="N203">
        <v>1013</v>
      </c>
      <c r="O203" t="s">
        <v>387</v>
      </c>
      <c r="P203" t="s">
        <v>387</v>
      </c>
      <c r="Q203">
        <v>1</v>
      </c>
      <c r="X203">
        <v>5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1</v>
      </c>
      <c r="AE203">
        <v>1</v>
      </c>
      <c r="AF203" t="s">
        <v>71</v>
      </c>
      <c r="AG203">
        <v>6</v>
      </c>
      <c r="AH203">
        <v>2</v>
      </c>
      <c r="AI203">
        <v>57015335</v>
      </c>
      <c r="AJ203">
        <v>156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</row>
    <row r="204" spans="1:44" x14ac:dyDescent="0.25">
      <c r="A204">
        <f>ROW(Source!A126)</f>
        <v>126</v>
      </c>
      <c r="B204">
        <v>57015336</v>
      </c>
      <c r="C204">
        <v>57015334</v>
      </c>
      <c r="D204">
        <v>55490330</v>
      </c>
      <c r="E204">
        <v>1</v>
      </c>
      <c r="F204">
        <v>1</v>
      </c>
      <c r="G204">
        <v>1081</v>
      </c>
      <c r="H204">
        <v>2</v>
      </c>
      <c r="I204" t="s">
        <v>403</v>
      </c>
      <c r="J204" t="s">
        <v>404</v>
      </c>
      <c r="K204" t="s">
        <v>405</v>
      </c>
      <c r="L204">
        <v>1368</v>
      </c>
      <c r="N204">
        <v>1011</v>
      </c>
      <c r="O204" t="s">
        <v>391</v>
      </c>
      <c r="P204" t="s">
        <v>391</v>
      </c>
      <c r="Q204">
        <v>1</v>
      </c>
      <c r="X204">
        <v>0.13</v>
      </c>
      <c r="Y204">
        <v>0</v>
      </c>
      <c r="Z204">
        <v>0.8</v>
      </c>
      <c r="AA204">
        <v>0</v>
      </c>
      <c r="AB204">
        <v>0</v>
      </c>
      <c r="AC204">
        <v>0</v>
      </c>
      <c r="AD204">
        <v>1</v>
      </c>
      <c r="AE204">
        <v>0</v>
      </c>
      <c r="AF204" t="s">
        <v>71</v>
      </c>
      <c r="AG204">
        <v>0.156</v>
      </c>
      <c r="AH204">
        <v>2</v>
      </c>
      <c r="AI204">
        <v>57015336</v>
      </c>
      <c r="AJ204">
        <v>157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</row>
    <row r="205" spans="1:44" x14ac:dyDescent="0.25">
      <c r="A205">
        <f>ROW(Source!A126)</f>
        <v>126</v>
      </c>
      <c r="B205">
        <v>57015337</v>
      </c>
      <c r="C205">
        <v>57015334</v>
      </c>
      <c r="D205">
        <v>55459340</v>
      </c>
      <c r="E205">
        <v>1</v>
      </c>
      <c r="F205">
        <v>1</v>
      </c>
      <c r="G205">
        <v>1081</v>
      </c>
      <c r="H205">
        <v>3</v>
      </c>
      <c r="I205" t="s">
        <v>406</v>
      </c>
      <c r="J205" t="s">
        <v>407</v>
      </c>
      <c r="K205" t="s">
        <v>408</v>
      </c>
      <c r="L205">
        <v>1354</v>
      </c>
      <c r="N205">
        <v>1010</v>
      </c>
      <c r="O205" t="s">
        <v>251</v>
      </c>
      <c r="P205" t="s">
        <v>251</v>
      </c>
      <c r="Q205">
        <v>1</v>
      </c>
      <c r="X205">
        <v>3</v>
      </c>
      <c r="Y205">
        <v>0.89</v>
      </c>
      <c r="Z205">
        <v>0</v>
      </c>
      <c r="AA205">
        <v>0</v>
      </c>
      <c r="AB205">
        <v>0</v>
      </c>
      <c r="AC205">
        <v>0</v>
      </c>
      <c r="AD205">
        <v>1</v>
      </c>
      <c r="AE205">
        <v>0</v>
      </c>
      <c r="AF205" t="s">
        <v>70</v>
      </c>
      <c r="AG205">
        <v>3</v>
      </c>
      <c r="AH205">
        <v>2</v>
      </c>
      <c r="AI205">
        <v>57015337</v>
      </c>
      <c r="AJ205">
        <v>158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</row>
    <row r="206" spans="1:44" x14ac:dyDescent="0.25">
      <c r="A206">
        <f>ROW(Source!A126)</f>
        <v>126</v>
      </c>
      <c r="B206">
        <v>57015338</v>
      </c>
      <c r="C206">
        <v>57015334</v>
      </c>
      <c r="D206">
        <v>55455624</v>
      </c>
      <c r="E206">
        <v>1081</v>
      </c>
      <c r="F206">
        <v>1</v>
      </c>
      <c r="G206">
        <v>1081</v>
      </c>
      <c r="H206">
        <v>3</v>
      </c>
      <c r="I206" t="s">
        <v>481</v>
      </c>
      <c r="J206" t="s">
        <v>3</v>
      </c>
      <c r="K206" t="s">
        <v>482</v>
      </c>
      <c r="L206">
        <v>1354</v>
      </c>
      <c r="N206">
        <v>1010</v>
      </c>
      <c r="O206" t="s">
        <v>251</v>
      </c>
      <c r="P206" t="s">
        <v>251</v>
      </c>
      <c r="Q206">
        <v>1</v>
      </c>
      <c r="X206">
        <v>1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 t="s">
        <v>70</v>
      </c>
      <c r="AG206">
        <v>1</v>
      </c>
      <c r="AH206">
        <v>3</v>
      </c>
      <c r="AI206">
        <v>-1</v>
      </c>
      <c r="AJ206" t="s">
        <v>3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</row>
    <row r="207" spans="1:44" x14ac:dyDescent="0.25">
      <c r="A207">
        <f>ROW(Source!A127)</f>
        <v>127</v>
      </c>
      <c r="B207">
        <v>57014613</v>
      </c>
      <c r="C207">
        <v>57014609</v>
      </c>
      <c r="D207">
        <v>55424304</v>
      </c>
      <c r="E207">
        <v>1081</v>
      </c>
      <c r="F207">
        <v>1</v>
      </c>
      <c r="G207">
        <v>1081</v>
      </c>
      <c r="H207">
        <v>1</v>
      </c>
      <c r="I207" t="s">
        <v>385</v>
      </c>
      <c r="J207" t="s">
        <v>3</v>
      </c>
      <c r="K207" t="s">
        <v>386</v>
      </c>
      <c r="L207">
        <v>1191</v>
      </c>
      <c r="N207">
        <v>1013</v>
      </c>
      <c r="O207" t="s">
        <v>387</v>
      </c>
      <c r="P207" t="s">
        <v>387</v>
      </c>
      <c r="Q207">
        <v>1</v>
      </c>
      <c r="X207">
        <v>9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1</v>
      </c>
      <c r="AE207">
        <v>1</v>
      </c>
      <c r="AF207" t="s">
        <v>71</v>
      </c>
      <c r="AG207">
        <v>10.799999999999999</v>
      </c>
      <c r="AH207">
        <v>2</v>
      </c>
      <c r="AI207">
        <v>57014610</v>
      </c>
      <c r="AJ207">
        <v>159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</row>
    <row r="208" spans="1:44" x14ac:dyDescent="0.25">
      <c r="A208">
        <f>ROW(Source!A127)</f>
        <v>127</v>
      </c>
      <c r="B208">
        <v>57014614</v>
      </c>
      <c r="C208">
        <v>57014609</v>
      </c>
      <c r="D208">
        <v>55490330</v>
      </c>
      <c r="E208">
        <v>1</v>
      </c>
      <c r="F208">
        <v>1</v>
      </c>
      <c r="G208">
        <v>1081</v>
      </c>
      <c r="H208">
        <v>2</v>
      </c>
      <c r="I208" t="s">
        <v>403</v>
      </c>
      <c r="J208" t="s">
        <v>404</v>
      </c>
      <c r="K208" t="s">
        <v>405</v>
      </c>
      <c r="L208">
        <v>1368</v>
      </c>
      <c r="N208">
        <v>1011</v>
      </c>
      <c r="O208" t="s">
        <v>391</v>
      </c>
      <c r="P208" t="s">
        <v>391</v>
      </c>
      <c r="Q208">
        <v>1</v>
      </c>
      <c r="X208">
        <v>0.22</v>
      </c>
      <c r="Y208">
        <v>0</v>
      </c>
      <c r="Z208">
        <v>0.8</v>
      </c>
      <c r="AA208">
        <v>0</v>
      </c>
      <c r="AB208">
        <v>0</v>
      </c>
      <c r="AC208">
        <v>0</v>
      </c>
      <c r="AD208">
        <v>1</v>
      </c>
      <c r="AE208">
        <v>0</v>
      </c>
      <c r="AF208" t="s">
        <v>71</v>
      </c>
      <c r="AG208">
        <v>0.26400000000000001</v>
      </c>
      <c r="AH208">
        <v>2</v>
      </c>
      <c r="AI208">
        <v>57014611</v>
      </c>
      <c r="AJ208">
        <v>160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</row>
    <row r="209" spans="1:44" x14ac:dyDescent="0.25">
      <c r="A209">
        <f>ROW(Source!A127)</f>
        <v>127</v>
      </c>
      <c r="B209">
        <v>57014615</v>
      </c>
      <c r="C209">
        <v>57014609</v>
      </c>
      <c r="D209">
        <v>55459340</v>
      </c>
      <c r="E209">
        <v>1</v>
      </c>
      <c r="F209">
        <v>1</v>
      </c>
      <c r="G209">
        <v>1081</v>
      </c>
      <c r="H209">
        <v>3</v>
      </c>
      <c r="I209" t="s">
        <v>406</v>
      </c>
      <c r="J209" t="s">
        <v>407</v>
      </c>
      <c r="K209" t="s">
        <v>408</v>
      </c>
      <c r="L209">
        <v>1354</v>
      </c>
      <c r="N209">
        <v>1010</v>
      </c>
      <c r="O209" t="s">
        <v>251</v>
      </c>
      <c r="P209" t="s">
        <v>251</v>
      </c>
      <c r="Q209">
        <v>1</v>
      </c>
      <c r="X209">
        <v>5</v>
      </c>
      <c r="Y209">
        <v>0.89</v>
      </c>
      <c r="Z209">
        <v>0</v>
      </c>
      <c r="AA209">
        <v>0</v>
      </c>
      <c r="AB209">
        <v>0</v>
      </c>
      <c r="AC209">
        <v>0</v>
      </c>
      <c r="AD209">
        <v>1</v>
      </c>
      <c r="AE209">
        <v>0</v>
      </c>
      <c r="AF209" t="s">
        <v>70</v>
      </c>
      <c r="AG209">
        <v>5</v>
      </c>
      <c r="AH209">
        <v>2</v>
      </c>
      <c r="AI209">
        <v>57014612</v>
      </c>
      <c r="AJ209">
        <v>161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</row>
    <row r="210" spans="1:44" x14ac:dyDescent="0.25">
      <c r="A210">
        <f>ROW(Source!A127)</f>
        <v>127</v>
      </c>
      <c r="B210">
        <v>57014616</v>
      </c>
      <c r="C210">
        <v>57014609</v>
      </c>
      <c r="D210">
        <v>55455624</v>
      </c>
      <c r="E210">
        <v>1081</v>
      </c>
      <c r="F210">
        <v>1</v>
      </c>
      <c r="G210">
        <v>1081</v>
      </c>
      <c r="H210">
        <v>3</v>
      </c>
      <c r="I210" t="s">
        <v>481</v>
      </c>
      <c r="J210" t="s">
        <v>3</v>
      </c>
      <c r="K210" t="s">
        <v>482</v>
      </c>
      <c r="L210">
        <v>1354</v>
      </c>
      <c r="N210">
        <v>1010</v>
      </c>
      <c r="O210" t="s">
        <v>251</v>
      </c>
      <c r="P210" t="s">
        <v>251</v>
      </c>
      <c r="Q210">
        <v>1</v>
      </c>
      <c r="X210">
        <v>1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 t="s">
        <v>70</v>
      </c>
      <c r="AG210">
        <v>1</v>
      </c>
      <c r="AH210">
        <v>3</v>
      </c>
      <c r="AI210">
        <v>-1</v>
      </c>
      <c r="AJ210" t="s">
        <v>3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</row>
    <row r="211" spans="1:44" x14ac:dyDescent="0.25">
      <c r="A211">
        <f>ROW(Source!A128)</f>
        <v>128</v>
      </c>
      <c r="B211">
        <v>57014613</v>
      </c>
      <c r="C211">
        <v>57014609</v>
      </c>
      <c r="D211">
        <v>55424304</v>
      </c>
      <c r="E211">
        <v>1081</v>
      </c>
      <c r="F211">
        <v>1</v>
      </c>
      <c r="G211">
        <v>1081</v>
      </c>
      <c r="H211">
        <v>1</v>
      </c>
      <c r="I211" t="s">
        <v>385</v>
      </c>
      <c r="J211" t="s">
        <v>3</v>
      </c>
      <c r="K211" t="s">
        <v>386</v>
      </c>
      <c r="L211">
        <v>1191</v>
      </c>
      <c r="N211">
        <v>1013</v>
      </c>
      <c r="O211" t="s">
        <v>387</v>
      </c>
      <c r="P211" t="s">
        <v>387</v>
      </c>
      <c r="Q211">
        <v>1</v>
      </c>
      <c r="X211">
        <v>9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1</v>
      </c>
      <c r="AE211">
        <v>1</v>
      </c>
      <c r="AF211" t="s">
        <v>71</v>
      </c>
      <c r="AG211">
        <v>10.799999999999999</v>
      </c>
      <c r="AH211">
        <v>2</v>
      </c>
      <c r="AI211">
        <v>57014610</v>
      </c>
      <c r="AJ211">
        <v>162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</row>
    <row r="212" spans="1:44" x14ac:dyDescent="0.25">
      <c r="A212">
        <f>ROW(Source!A128)</f>
        <v>128</v>
      </c>
      <c r="B212">
        <v>57014614</v>
      </c>
      <c r="C212">
        <v>57014609</v>
      </c>
      <c r="D212">
        <v>55490330</v>
      </c>
      <c r="E212">
        <v>1</v>
      </c>
      <c r="F212">
        <v>1</v>
      </c>
      <c r="G212">
        <v>1081</v>
      </c>
      <c r="H212">
        <v>2</v>
      </c>
      <c r="I212" t="s">
        <v>403</v>
      </c>
      <c r="J212" t="s">
        <v>404</v>
      </c>
      <c r="K212" t="s">
        <v>405</v>
      </c>
      <c r="L212">
        <v>1368</v>
      </c>
      <c r="N212">
        <v>1011</v>
      </c>
      <c r="O212" t="s">
        <v>391</v>
      </c>
      <c r="P212" t="s">
        <v>391</v>
      </c>
      <c r="Q212">
        <v>1</v>
      </c>
      <c r="X212">
        <v>0.22</v>
      </c>
      <c r="Y212">
        <v>0</v>
      </c>
      <c r="Z212">
        <v>0.8</v>
      </c>
      <c r="AA212">
        <v>0</v>
      </c>
      <c r="AB212">
        <v>0</v>
      </c>
      <c r="AC212">
        <v>0</v>
      </c>
      <c r="AD212">
        <v>1</v>
      </c>
      <c r="AE212">
        <v>0</v>
      </c>
      <c r="AF212" t="s">
        <v>71</v>
      </c>
      <c r="AG212">
        <v>0.26400000000000001</v>
      </c>
      <c r="AH212">
        <v>2</v>
      </c>
      <c r="AI212">
        <v>57014611</v>
      </c>
      <c r="AJ212">
        <v>163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</row>
    <row r="213" spans="1:44" x14ac:dyDescent="0.25">
      <c r="A213">
        <f>ROW(Source!A128)</f>
        <v>128</v>
      </c>
      <c r="B213">
        <v>57014615</v>
      </c>
      <c r="C213">
        <v>57014609</v>
      </c>
      <c r="D213">
        <v>55459340</v>
      </c>
      <c r="E213">
        <v>1</v>
      </c>
      <c r="F213">
        <v>1</v>
      </c>
      <c r="G213">
        <v>1081</v>
      </c>
      <c r="H213">
        <v>3</v>
      </c>
      <c r="I213" t="s">
        <v>406</v>
      </c>
      <c r="J213" t="s">
        <v>407</v>
      </c>
      <c r="K213" t="s">
        <v>408</v>
      </c>
      <c r="L213">
        <v>1354</v>
      </c>
      <c r="N213">
        <v>1010</v>
      </c>
      <c r="O213" t="s">
        <v>251</v>
      </c>
      <c r="P213" t="s">
        <v>251</v>
      </c>
      <c r="Q213">
        <v>1</v>
      </c>
      <c r="X213">
        <v>5</v>
      </c>
      <c r="Y213">
        <v>0.89</v>
      </c>
      <c r="Z213">
        <v>0</v>
      </c>
      <c r="AA213">
        <v>0</v>
      </c>
      <c r="AB213">
        <v>0</v>
      </c>
      <c r="AC213">
        <v>0</v>
      </c>
      <c r="AD213">
        <v>1</v>
      </c>
      <c r="AE213">
        <v>0</v>
      </c>
      <c r="AF213" t="s">
        <v>70</v>
      </c>
      <c r="AG213">
        <v>5</v>
      </c>
      <c r="AH213">
        <v>2</v>
      </c>
      <c r="AI213">
        <v>57014612</v>
      </c>
      <c r="AJ213">
        <v>164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</row>
    <row r="214" spans="1:44" x14ac:dyDescent="0.25">
      <c r="A214">
        <f>ROW(Source!A128)</f>
        <v>128</v>
      </c>
      <c r="B214">
        <v>57014616</v>
      </c>
      <c r="C214">
        <v>57014609</v>
      </c>
      <c r="D214">
        <v>55455624</v>
      </c>
      <c r="E214">
        <v>1081</v>
      </c>
      <c r="F214">
        <v>1</v>
      </c>
      <c r="G214">
        <v>1081</v>
      </c>
      <c r="H214">
        <v>3</v>
      </c>
      <c r="I214" t="s">
        <v>481</v>
      </c>
      <c r="J214" t="s">
        <v>3</v>
      </c>
      <c r="K214" t="s">
        <v>482</v>
      </c>
      <c r="L214">
        <v>1354</v>
      </c>
      <c r="N214">
        <v>1010</v>
      </c>
      <c r="O214" t="s">
        <v>251</v>
      </c>
      <c r="P214" t="s">
        <v>251</v>
      </c>
      <c r="Q214">
        <v>1</v>
      </c>
      <c r="X214">
        <v>1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 t="s">
        <v>70</v>
      </c>
      <c r="AG214">
        <v>1</v>
      </c>
      <c r="AH214">
        <v>3</v>
      </c>
      <c r="AI214">
        <v>-1</v>
      </c>
      <c r="AJ214" t="s">
        <v>3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</row>
    <row r="215" spans="1:44" x14ac:dyDescent="0.25">
      <c r="A215">
        <f>ROW(Source!A131)</f>
        <v>131</v>
      </c>
      <c r="B215">
        <v>57015341</v>
      </c>
      <c r="C215">
        <v>57015340</v>
      </c>
      <c r="D215">
        <v>55424304</v>
      </c>
      <c r="E215">
        <v>1081</v>
      </c>
      <c r="F215">
        <v>1</v>
      </c>
      <c r="G215">
        <v>1081</v>
      </c>
      <c r="H215">
        <v>1</v>
      </c>
      <c r="I215" t="s">
        <v>385</v>
      </c>
      <c r="J215" t="s">
        <v>3</v>
      </c>
      <c r="K215" t="s">
        <v>386</v>
      </c>
      <c r="L215">
        <v>1191</v>
      </c>
      <c r="N215">
        <v>1013</v>
      </c>
      <c r="O215" t="s">
        <v>387</v>
      </c>
      <c r="P215" t="s">
        <v>387</v>
      </c>
      <c r="Q215">
        <v>1</v>
      </c>
      <c r="X215">
        <v>7.2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1</v>
      </c>
      <c r="AE215">
        <v>1</v>
      </c>
      <c r="AF215" t="s">
        <v>71</v>
      </c>
      <c r="AG215">
        <v>8.64</v>
      </c>
      <c r="AH215">
        <v>2</v>
      </c>
      <c r="AI215">
        <v>57015341</v>
      </c>
      <c r="AJ215">
        <v>165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</row>
    <row r="216" spans="1:44" x14ac:dyDescent="0.25">
      <c r="A216">
        <f>ROW(Source!A132)</f>
        <v>132</v>
      </c>
      <c r="B216">
        <v>57015341</v>
      </c>
      <c r="C216">
        <v>57015340</v>
      </c>
      <c r="D216">
        <v>55424304</v>
      </c>
      <c r="E216">
        <v>1081</v>
      </c>
      <c r="F216">
        <v>1</v>
      </c>
      <c r="G216">
        <v>1081</v>
      </c>
      <c r="H216">
        <v>1</v>
      </c>
      <c r="I216" t="s">
        <v>385</v>
      </c>
      <c r="J216" t="s">
        <v>3</v>
      </c>
      <c r="K216" t="s">
        <v>386</v>
      </c>
      <c r="L216">
        <v>1191</v>
      </c>
      <c r="N216">
        <v>1013</v>
      </c>
      <c r="O216" t="s">
        <v>387</v>
      </c>
      <c r="P216" t="s">
        <v>387</v>
      </c>
      <c r="Q216">
        <v>1</v>
      </c>
      <c r="X216">
        <v>7.2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1</v>
      </c>
      <c r="AE216">
        <v>1</v>
      </c>
      <c r="AF216" t="s">
        <v>71</v>
      </c>
      <c r="AG216">
        <v>8.64</v>
      </c>
      <c r="AH216">
        <v>2</v>
      </c>
      <c r="AI216">
        <v>57015341</v>
      </c>
      <c r="AJ216">
        <v>166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</row>
    <row r="217" spans="1:44" x14ac:dyDescent="0.25">
      <c r="A217">
        <f>ROW(Source!A133)</f>
        <v>133</v>
      </c>
      <c r="B217">
        <v>57014624</v>
      </c>
      <c r="C217">
        <v>57014622</v>
      </c>
      <c r="D217">
        <v>55424304</v>
      </c>
      <c r="E217">
        <v>1081</v>
      </c>
      <c r="F217">
        <v>1</v>
      </c>
      <c r="G217">
        <v>1081</v>
      </c>
      <c r="H217">
        <v>1</v>
      </c>
      <c r="I217" t="s">
        <v>385</v>
      </c>
      <c r="J217" t="s">
        <v>3</v>
      </c>
      <c r="K217" t="s">
        <v>386</v>
      </c>
      <c r="L217">
        <v>1191</v>
      </c>
      <c r="N217">
        <v>1013</v>
      </c>
      <c r="O217" t="s">
        <v>387</v>
      </c>
      <c r="P217" t="s">
        <v>387</v>
      </c>
      <c r="Q217">
        <v>1</v>
      </c>
      <c r="X217">
        <v>11.7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1</v>
      </c>
      <c r="AE217">
        <v>1</v>
      </c>
      <c r="AF217" t="s">
        <v>71</v>
      </c>
      <c r="AG217">
        <v>14.04</v>
      </c>
      <c r="AH217">
        <v>2</v>
      </c>
      <c r="AI217">
        <v>57014623</v>
      </c>
      <c r="AJ217">
        <v>167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</row>
    <row r="218" spans="1:44" x14ac:dyDescent="0.25">
      <c r="A218">
        <f>ROW(Source!A134)</f>
        <v>134</v>
      </c>
      <c r="B218">
        <v>57014624</v>
      </c>
      <c r="C218">
        <v>57014622</v>
      </c>
      <c r="D218">
        <v>55424304</v>
      </c>
      <c r="E218">
        <v>1081</v>
      </c>
      <c r="F218">
        <v>1</v>
      </c>
      <c r="G218">
        <v>1081</v>
      </c>
      <c r="H218">
        <v>1</v>
      </c>
      <c r="I218" t="s">
        <v>385</v>
      </c>
      <c r="J218" t="s">
        <v>3</v>
      </c>
      <c r="K218" t="s">
        <v>386</v>
      </c>
      <c r="L218">
        <v>1191</v>
      </c>
      <c r="N218">
        <v>1013</v>
      </c>
      <c r="O218" t="s">
        <v>387</v>
      </c>
      <c r="P218" t="s">
        <v>387</v>
      </c>
      <c r="Q218">
        <v>1</v>
      </c>
      <c r="X218">
        <v>11.7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1</v>
      </c>
      <c r="AE218">
        <v>1</v>
      </c>
      <c r="AF218" t="s">
        <v>71</v>
      </c>
      <c r="AG218">
        <v>14.04</v>
      </c>
      <c r="AH218">
        <v>2</v>
      </c>
      <c r="AI218">
        <v>57014623</v>
      </c>
      <c r="AJ218">
        <v>168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</row>
    <row r="219" spans="1:44" x14ac:dyDescent="0.25">
      <c r="A219">
        <f>ROW(Source!A137)</f>
        <v>137</v>
      </c>
      <c r="B219">
        <v>57014635</v>
      </c>
      <c r="C219">
        <v>57014630</v>
      </c>
      <c r="D219">
        <v>55424304</v>
      </c>
      <c r="E219">
        <v>1081</v>
      </c>
      <c r="F219">
        <v>1</v>
      </c>
      <c r="G219">
        <v>1081</v>
      </c>
      <c r="H219">
        <v>1</v>
      </c>
      <c r="I219" t="s">
        <v>385</v>
      </c>
      <c r="J219" t="s">
        <v>3</v>
      </c>
      <c r="K219" t="s">
        <v>386</v>
      </c>
      <c r="L219">
        <v>1191</v>
      </c>
      <c r="N219">
        <v>1013</v>
      </c>
      <c r="O219" t="s">
        <v>387</v>
      </c>
      <c r="P219" t="s">
        <v>387</v>
      </c>
      <c r="Q219">
        <v>1</v>
      </c>
      <c r="X219">
        <v>6.2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1</v>
      </c>
      <c r="AE219">
        <v>1</v>
      </c>
      <c r="AF219" t="s">
        <v>71</v>
      </c>
      <c r="AG219">
        <v>7.4399999999999995</v>
      </c>
      <c r="AH219">
        <v>2</v>
      </c>
      <c r="AI219">
        <v>57014631</v>
      </c>
      <c r="AJ219">
        <v>169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</row>
    <row r="220" spans="1:44" x14ac:dyDescent="0.25">
      <c r="A220">
        <f>ROW(Source!A137)</f>
        <v>137</v>
      </c>
      <c r="B220">
        <v>57014636</v>
      </c>
      <c r="C220">
        <v>57014630</v>
      </c>
      <c r="D220">
        <v>55489513</v>
      </c>
      <c r="E220">
        <v>1</v>
      </c>
      <c r="F220">
        <v>1</v>
      </c>
      <c r="G220">
        <v>1081</v>
      </c>
      <c r="H220">
        <v>2</v>
      </c>
      <c r="I220" t="s">
        <v>388</v>
      </c>
      <c r="J220" t="s">
        <v>389</v>
      </c>
      <c r="K220" t="s">
        <v>390</v>
      </c>
      <c r="L220">
        <v>1368</v>
      </c>
      <c r="N220">
        <v>1011</v>
      </c>
      <c r="O220" t="s">
        <v>391</v>
      </c>
      <c r="P220" t="s">
        <v>391</v>
      </c>
      <c r="Q220">
        <v>1</v>
      </c>
      <c r="X220">
        <v>0.25</v>
      </c>
      <c r="Y220">
        <v>0</v>
      </c>
      <c r="Z220">
        <v>114.83</v>
      </c>
      <c r="AA220">
        <v>12.62</v>
      </c>
      <c r="AB220">
        <v>0</v>
      </c>
      <c r="AC220">
        <v>0</v>
      </c>
      <c r="AD220">
        <v>1</v>
      </c>
      <c r="AE220">
        <v>0</v>
      </c>
      <c r="AF220" t="s">
        <v>71</v>
      </c>
      <c r="AG220">
        <v>0.3</v>
      </c>
      <c r="AH220">
        <v>2</v>
      </c>
      <c r="AI220">
        <v>57014632</v>
      </c>
      <c r="AJ220">
        <v>170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</row>
    <row r="221" spans="1:44" x14ac:dyDescent="0.25">
      <c r="A221">
        <f>ROW(Source!A137)</f>
        <v>137</v>
      </c>
      <c r="B221">
        <v>57014637</v>
      </c>
      <c r="C221">
        <v>57014630</v>
      </c>
      <c r="D221">
        <v>55461719</v>
      </c>
      <c r="E221">
        <v>1</v>
      </c>
      <c r="F221">
        <v>1</v>
      </c>
      <c r="G221">
        <v>1081</v>
      </c>
      <c r="H221">
        <v>3</v>
      </c>
      <c r="I221" t="s">
        <v>409</v>
      </c>
      <c r="J221" t="s">
        <v>410</v>
      </c>
      <c r="K221" t="s">
        <v>411</v>
      </c>
      <c r="L221">
        <v>1348</v>
      </c>
      <c r="N221">
        <v>1009</v>
      </c>
      <c r="O221" t="s">
        <v>361</v>
      </c>
      <c r="P221" t="s">
        <v>361</v>
      </c>
      <c r="Q221">
        <v>1000</v>
      </c>
      <c r="X221">
        <v>1.1000000000000001E-3</v>
      </c>
      <c r="Y221">
        <v>10643.18</v>
      </c>
      <c r="Z221">
        <v>0</v>
      </c>
      <c r="AA221">
        <v>0</v>
      </c>
      <c r="AB221">
        <v>0</v>
      </c>
      <c r="AC221">
        <v>0</v>
      </c>
      <c r="AD221">
        <v>1</v>
      </c>
      <c r="AE221">
        <v>0</v>
      </c>
      <c r="AF221" t="s">
        <v>70</v>
      </c>
      <c r="AG221">
        <v>1.1000000000000001E-3</v>
      </c>
      <c r="AH221">
        <v>2</v>
      </c>
      <c r="AI221">
        <v>57014633</v>
      </c>
      <c r="AJ221">
        <v>171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</row>
    <row r="222" spans="1:44" x14ac:dyDescent="0.25">
      <c r="A222">
        <f>ROW(Source!A137)</f>
        <v>137</v>
      </c>
      <c r="B222">
        <v>57014638</v>
      </c>
      <c r="C222">
        <v>57014630</v>
      </c>
      <c r="D222">
        <v>55459793</v>
      </c>
      <c r="E222">
        <v>1</v>
      </c>
      <c r="F222">
        <v>1</v>
      </c>
      <c r="G222">
        <v>1081</v>
      </c>
      <c r="H222">
        <v>3</v>
      </c>
      <c r="I222" t="s">
        <v>412</v>
      </c>
      <c r="J222" t="s">
        <v>413</v>
      </c>
      <c r="K222" t="s">
        <v>414</v>
      </c>
      <c r="L222">
        <v>1348</v>
      </c>
      <c r="N222">
        <v>1009</v>
      </c>
      <c r="O222" t="s">
        <v>361</v>
      </c>
      <c r="P222" t="s">
        <v>361</v>
      </c>
      <c r="Q222">
        <v>1000</v>
      </c>
      <c r="X222">
        <v>1.0000000000000001E-5</v>
      </c>
      <c r="Y222">
        <v>64123.05</v>
      </c>
      <c r="Z222">
        <v>0</v>
      </c>
      <c r="AA222">
        <v>0</v>
      </c>
      <c r="AB222">
        <v>0</v>
      </c>
      <c r="AC222">
        <v>0</v>
      </c>
      <c r="AD222">
        <v>1</v>
      </c>
      <c r="AE222">
        <v>0</v>
      </c>
      <c r="AF222" t="s">
        <v>70</v>
      </c>
      <c r="AG222">
        <v>1.0000000000000001E-5</v>
      </c>
      <c r="AH222">
        <v>2</v>
      </c>
      <c r="AI222">
        <v>57014634</v>
      </c>
      <c r="AJ222">
        <v>172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</row>
    <row r="223" spans="1:44" x14ac:dyDescent="0.25">
      <c r="A223">
        <f>ROW(Source!A137)</f>
        <v>137</v>
      </c>
      <c r="B223">
        <v>57014639</v>
      </c>
      <c r="C223">
        <v>57014630</v>
      </c>
      <c r="D223">
        <v>55448109</v>
      </c>
      <c r="E223">
        <v>1081</v>
      </c>
      <c r="F223">
        <v>1</v>
      </c>
      <c r="G223">
        <v>1081</v>
      </c>
      <c r="H223">
        <v>3</v>
      </c>
      <c r="I223" t="s">
        <v>483</v>
      </c>
      <c r="J223" t="s">
        <v>3</v>
      </c>
      <c r="K223" t="s">
        <v>484</v>
      </c>
      <c r="L223">
        <v>1354</v>
      </c>
      <c r="N223">
        <v>1010</v>
      </c>
      <c r="O223" t="s">
        <v>251</v>
      </c>
      <c r="P223" t="s">
        <v>251</v>
      </c>
      <c r="Q223">
        <v>1</v>
      </c>
      <c r="X223">
        <v>1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 t="s">
        <v>70</v>
      </c>
      <c r="AG223">
        <v>1</v>
      </c>
      <c r="AH223">
        <v>3</v>
      </c>
      <c r="AI223">
        <v>-1</v>
      </c>
      <c r="AJ223" t="s">
        <v>3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</row>
    <row r="224" spans="1:44" x14ac:dyDescent="0.25">
      <c r="A224">
        <f>ROW(Source!A138)</f>
        <v>138</v>
      </c>
      <c r="B224">
        <v>57014635</v>
      </c>
      <c r="C224">
        <v>57014630</v>
      </c>
      <c r="D224">
        <v>55424304</v>
      </c>
      <c r="E224">
        <v>1081</v>
      </c>
      <c r="F224">
        <v>1</v>
      </c>
      <c r="G224">
        <v>1081</v>
      </c>
      <c r="H224">
        <v>1</v>
      </c>
      <c r="I224" t="s">
        <v>385</v>
      </c>
      <c r="J224" t="s">
        <v>3</v>
      </c>
      <c r="K224" t="s">
        <v>386</v>
      </c>
      <c r="L224">
        <v>1191</v>
      </c>
      <c r="N224">
        <v>1013</v>
      </c>
      <c r="O224" t="s">
        <v>387</v>
      </c>
      <c r="P224" t="s">
        <v>387</v>
      </c>
      <c r="Q224">
        <v>1</v>
      </c>
      <c r="X224">
        <v>6.2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1</v>
      </c>
      <c r="AE224">
        <v>1</v>
      </c>
      <c r="AF224" t="s">
        <v>71</v>
      </c>
      <c r="AG224">
        <v>7.4399999999999995</v>
      </c>
      <c r="AH224">
        <v>2</v>
      </c>
      <c r="AI224">
        <v>57014631</v>
      </c>
      <c r="AJ224">
        <v>173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</row>
    <row r="225" spans="1:44" x14ac:dyDescent="0.25">
      <c r="A225">
        <f>ROW(Source!A138)</f>
        <v>138</v>
      </c>
      <c r="B225">
        <v>57014636</v>
      </c>
      <c r="C225">
        <v>57014630</v>
      </c>
      <c r="D225">
        <v>55489513</v>
      </c>
      <c r="E225">
        <v>1</v>
      </c>
      <c r="F225">
        <v>1</v>
      </c>
      <c r="G225">
        <v>1081</v>
      </c>
      <c r="H225">
        <v>2</v>
      </c>
      <c r="I225" t="s">
        <v>388</v>
      </c>
      <c r="J225" t="s">
        <v>389</v>
      </c>
      <c r="K225" t="s">
        <v>390</v>
      </c>
      <c r="L225">
        <v>1368</v>
      </c>
      <c r="N225">
        <v>1011</v>
      </c>
      <c r="O225" t="s">
        <v>391</v>
      </c>
      <c r="P225" t="s">
        <v>391</v>
      </c>
      <c r="Q225">
        <v>1</v>
      </c>
      <c r="X225">
        <v>0.25</v>
      </c>
      <c r="Y225">
        <v>0</v>
      </c>
      <c r="Z225">
        <v>114.83</v>
      </c>
      <c r="AA225">
        <v>12.62</v>
      </c>
      <c r="AB225">
        <v>0</v>
      </c>
      <c r="AC225">
        <v>0</v>
      </c>
      <c r="AD225">
        <v>1</v>
      </c>
      <c r="AE225">
        <v>0</v>
      </c>
      <c r="AF225" t="s">
        <v>71</v>
      </c>
      <c r="AG225">
        <v>0.3</v>
      </c>
      <c r="AH225">
        <v>2</v>
      </c>
      <c r="AI225">
        <v>57014632</v>
      </c>
      <c r="AJ225">
        <v>174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</row>
    <row r="226" spans="1:44" x14ac:dyDescent="0.25">
      <c r="A226">
        <f>ROW(Source!A138)</f>
        <v>138</v>
      </c>
      <c r="B226">
        <v>57014637</v>
      </c>
      <c r="C226">
        <v>57014630</v>
      </c>
      <c r="D226">
        <v>55461719</v>
      </c>
      <c r="E226">
        <v>1</v>
      </c>
      <c r="F226">
        <v>1</v>
      </c>
      <c r="G226">
        <v>1081</v>
      </c>
      <c r="H226">
        <v>3</v>
      </c>
      <c r="I226" t="s">
        <v>409</v>
      </c>
      <c r="J226" t="s">
        <v>410</v>
      </c>
      <c r="K226" t="s">
        <v>411</v>
      </c>
      <c r="L226">
        <v>1348</v>
      </c>
      <c r="N226">
        <v>1009</v>
      </c>
      <c r="O226" t="s">
        <v>361</v>
      </c>
      <c r="P226" t="s">
        <v>361</v>
      </c>
      <c r="Q226">
        <v>1000</v>
      </c>
      <c r="X226">
        <v>1.1000000000000001E-3</v>
      </c>
      <c r="Y226">
        <v>10643.18</v>
      </c>
      <c r="Z226">
        <v>0</v>
      </c>
      <c r="AA226">
        <v>0</v>
      </c>
      <c r="AB226">
        <v>0</v>
      </c>
      <c r="AC226">
        <v>0</v>
      </c>
      <c r="AD226">
        <v>1</v>
      </c>
      <c r="AE226">
        <v>0</v>
      </c>
      <c r="AF226" t="s">
        <v>70</v>
      </c>
      <c r="AG226">
        <v>1.1000000000000001E-3</v>
      </c>
      <c r="AH226">
        <v>2</v>
      </c>
      <c r="AI226">
        <v>57014633</v>
      </c>
      <c r="AJ226">
        <v>175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</row>
    <row r="227" spans="1:44" x14ac:dyDescent="0.25">
      <c r="A227">
        <f>ROW(Source!A138)</f>
        <v>138</v>
      </c>
      <c r="B227">
        <v>57014638</v>
      </c>
      <c r="C227">
        <v>57014630</v>
      </c>
      <c r="D227">
        <v>55459793</v>
      </c>
      <c r="E227">
        <v>1</v>
      </c>
      <c r="F227">
        <v>1</v>
      </c>
      <c r="G227">
        <v>1081</v>
      </c>
      <c r="H227">
        <v>3</v>
      </c>
      <c r="I227" t="s">
        <v>412</v>
      </c>
      <c r="J227" t="s">
        <v>413</v>
      </c>
      <c r="K227" t="s">
        <v>414</v>
      </c>
      <c r="L227">
        <v>1348</v>
      </c>
      <c r="N227">
        <v>1009</v>
      </c>
      <c r="O227" t="s">
        <v>361</v>
      </c>
      <c r="P227" t="s">
        <v>361</v>
      </c>
      <c r="Q227">
        <v>1000</v>
      </c>
      <c r="X227">
        <v>1.0000000000000001E-5</v>
      </c>
      <c r="Y227">
        <v>64123.05</v>
      </c>
      <c r="Z227">
        <v>0</v>
      </c>
      <c r="AA227">
        <v>0</v>
      </c>
      <c r="AB227">
        <v>0</v>
      </c>
      <c r="AC227">
        <v>0</v>
      </c>
      <c r="AD227">
        <v>1</v>
      </c>
      <c r="AE227">
        <v>0</v>
      </c>
      <c r="AF227" t="s">
        <v>70</v>
      </c>
      <c r="AG227">
        <v>1.0000000000000001E-5</v>
      </c>
      <c r="AH227">
        <v>2</v>
      </c>
      <c r="AI227">
        <v>57014634</v>
      </c>
      <c r="AJ227">
        <v>176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</row>
    <row r="228" spans="1:44" x14ac:dyDescent="0.25">
      <c r="A228">
        <f>ROW(Source!A138)</f>
        <v>138</v>
      </c>
      <c r="B228">
        <v>57014639</v>
      </c>
      <c r="C228">
        <v>57014630</v>
      </c>
      <c r="D228">
        <v>55448109</v>
      </c>
      <c r="E228">
        <v>1081</v>
      </c>
      <c r="F228">
        <v>1</v>
      </c>
      <c r="G228">
        <v>1081</v>
      </c>
      <c r="H228">
        <v>3</v>
      </c>
      <c r="I228" t="s">
        <v>483</v>
      </c>
      <c r="J228" t="s">
        <v>3</v>
      </c>
      <c r="K228" t="s">
        <v>484</v>
      </c>
      <c r="L228">
        <v>1354</v>
      </c>
      <c r="N228">
        <v>1010</v>
      </c>
      <c r="O228" t="s">
        <v>251</v>
      </c>
      <c r="P228" t="s">
        <v>251</v>
      </c>
      <c r="Q228">
        <v>1</v>
      </c>
      <c r="X228">
        <v>1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 t="s">
        <v>70</v>
      </c>
      <c r="AG228">
        <v>1</v>
      </c>
      <c r="AH228">
        <v>3</v>
      </c>
      <c r="AI228">
        <v>-1</v>
      </c>
      <c r="AJ228" t="s">
        <v>3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</row>
    <row r="229" spans="1:44" x14ac:dyDescent="0.25">
      <c r="A229">
        <f>ROW(Source!A141)</f>
        <v>141</v>
      </c>
      <c r="B229">
        <v>57014652</v>
      </c>
      <c r="C229">
        <v>57014645</v>
      </c>
      <c r="D229">
        <v>55424304</v>
      </c>
      <c r="E229">
        <v>1081</v>
      </c>
      <c r="F229">
        <v>1</v>
      </c>
      <c r="G229">
        <v>1081</v>
      </c>
      <c r="H229">
        <v>1</v>
      </c>
      <c r="I229" t="s">
        <v>385</v>
      </c>
      <c r="J229" t="s">
        <v>3</v>
      </c>
      <c r="K229" t="s">
        <v>386</v>
      </c>
      <c r="L229">
        <v>1191</v>
      </c>
      <c r="N229">
        <v>1013</v>
      </c>
      <c r="O229" t="s">
        <v>387</v>
      </c>
      <c r="P229" t="s">
        <v>387</v>
      </c>
      <c r="Q229">
        <v>1</v>
      </c>
      <c r="X229">
        <v>1.36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1</v>
      </c>
      <c r="AE229">
        <v>1</v>
      </c>
      <c r="AF229" t="s">
        <v>71</v>
      </c>
      <c r="AG229">
        <v>1.6320000000000001</v>
      </c>
      <c r="AH229">
        <v>2</v>
      </c>
      <c r="AI229">
        <v>57014649</v>
      </c>
      <c r="AJ229">
        <v>177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</row>
    <row r="230" spans="1:44" x14ac:dyDescent="0.25">
      <c r="A230">
        <f>ROW(Source!A141)</f>
        <v>141</v>
      </c>
      <c r="B230">
        <v>57014653</v>
      </c>
      <c r="C230">
        <v>57014645</v>
      </c>
      <c r="D230">
        <v>55490330</v>
      </c>
      <c r="E230">
        <v>1</v>
      </c>
      <c r="F230">
        <v>1</v>
      </c>
      <c r="G230">
        <v>1081</v>
      </c>
      <c r="H230">
        <v>2</v>
      </c>
      <c r="I230" t="s">
        <v>403</v>
      </c>
      <c r="J230" t="s">
        <v>404</v>
      </c>
      <c r="K230" t="s">
        <v>405</v>
      </c>
      <c r="L230">
        <v>1368</v>
      </c>
      <c r="N230">
        <v>1011</v>
      </c>
      <c r="O230" t="s">
        <v>391</v>
      </c>
      <c r="P230" t="s">
        <v>391</v>
      </c>
      <c r="Q230">
        <v>1</v>
      </c>
      <c r="X230">
        <v>1.7000000000000001E-2</v>
      </c>
      <c r="Y230">
        <v>0</v>
      </c>
      <c r="Z230">
        <v>0.8</v>
      </c>
      <c r="AA230">
        <v>0</v>
      </c>
      <c r="AB230">
        <v>0</v>
      </c>
      <c r="AC230">
        <v>0</v>
      </c>
      <c r="AD230">
        <v>1</v>
      </c>
      <c r="AE230">
        <v>0</v>
      </c>
      <c r="AF230" t="s">
        <v>71</v>
      </c>
      <c r="AG230">
        <v>2.0400000000000001E-2</v>
      </c>
      <c r="AH230">
        <v>2</v>
      </c>
      <c r="AI230">
        <v>57014650</v>
      </c>
      <c r="AJ230">
        <v>178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</row>
    <row r="231" spans="1:44" x14ac:dyDescent="0.25">
      <c r="A231">
        <f>ROW(Source!A141)</f>
        <v>141</v>
      </c>
      <c r="B231">
        <v>57014654</v>
      </c>
      <c r="C231">
        <v>57014645</v>
      </c>
      <c r="D231">
        <v>55490296</v>
      </c>
      <c r="E231">
        <v>1</v>
      </c>
      <c r="F231">
        <v>1</v>
      </c>
      <c r="G231">
        <v>1081</v>
      </c>
      <c r="H231">
        <v>2</v>
      </c>
      <c r="I231" t="s">
        <v>415</v>
      </c>
      <c r="J231" t="s">
        <v>416</v>
      </c>
      <c r="K231" t="s">
        <v>417</v>
      </c>
      <c r="L231">
        <v>1368</v>
      </c>
      <c r="N231">
        <v>1011</v>
      </c>
      <c r="O231" t="s">
        <v>391</v>
      </c>
      <c r="P231" t="s">
        <v>391</v>
      </c>
      <c r="Q231">
        <v>1</v>
      </c>
      <c r="X231">
        <v>0.02</v>
      </c>
      <c r="Y231">
        <v>0</v>
      </c>
      <c r="Z231">
        <v>0.47</v>
      </c>
      <c r="AA231">
        <v>0</v>
      </c>
      <c r="AB231">
        <v>0</v>
      </c>
      <c r="AC231">
        <v>0</v>
      </c>
      <c r="AD231">
        <v>1</v>
      </c>
      <c r="AE231">
        <v>0</v>
      </c>
      <c r="AF231" t="s">
        <v>71</v>
      </c>
      <c r="AG231">
        <v>2.4E-2</v>
      </c>
      <c r="AH231">
        <v>2</v>
      </c>
      <c r="AI231">
        <v>57014651</v>
      </c>
      <c r="AJ231">
        <v>179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</row>
    <row r="232" spans="1:44" x14ac:dyDescent="0.25">
      <c r="A232">
        <f>ROW(Source!A141)</f>
        <v>141</v>
      </c>
      <c r="B232">
        <v>57014655</v>
      </c>
      <c r="C232">
        <v>57014645</v>
      </c>
      <c r="D232">
        <v>55461074</v>
      </c>
      <c r="E232">
        <v>1</v>
      </c>
      <c r="F232">
        <v>1</v>
      </c>
      <c r="G232">
        <v>1081</v>
      </c>
      <c r="H232">
        <v>3</v>
      </c>
      <c r="I232" t="s">
        <v>418</v>
      </c>
      <c r="J232" t="s">
        <v>419</v>
      </c>
      <c r="K232" t="s">
        <v>420</v>
      </c>
      <c r="L232">
        <v>1346</v>
      </c>
      <c r="N232">
        <v>1009</v>
      </c>
      <c r="O232" t="s">
        <v>365</v>
      </c>
      <c r="P232" t="s">
        <v>365</v>
      </c>
      <c r="Q232">
        <v>1</v>
      </c>
      <c r="X232">
        <v>6.2700000000000004E-3</v>
      </c>
      <c r="Y232">
        <v>27.62</v>
      </c>
      <c r="Z232">
        <v>0</v>
      </c>
      <c r="AA232">
        <v>0</v>
      </c>
      <c r="AB232">
        <v>0</v>
      </c>
      <c r="AC232">
        <v>0</v>
      </c>
      <c r="AD232">
        <v>1</v>
      </c>
      <c r="AE232">
        <v>0</v>
      </c>
      <c r="AF232" t="s">
        <v>70</v>
      </c>
      <c r="AG232">
        <v>6.2700000000000004E-3</v>
      </c>
      <c r="AH232">
        <v>2</v>
      </c>
      <c r="AI232">
        <v>57014646</v>
      </c>
      <c r="AJ232">
        <v>180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</row>
    <row r="233" spans="1:44" x14ac:dyDescent="0.25">
      <c r="A233">
        <f>ROW(Source!A141)</f>
        <v>141</v>
      </c>
      <c r="B233">
        <v>57014656</v>
      </c>
      <c r="C233">
        <v>57014645</v>
      </c>
      <c r="D233">
        <v>55459793</v>
      </c>
      <c r="E233">
        <v>1</v>
      </c>
      <c r="F233">
        <v>1</v>
      </c>
      <c r="G233">
        <v>1081</v>
      </c>
      <c r="H233">
        <v>3</v>
      </c>
      <c r="I233" t="s">
        <v>412</v>
      </c>
      <c r="J233" t="s">
        <v>413</v>
      </c>
      <c r="K233" t="s">
        <v>414</v>
      </c>
      <c r="L233">
        <v>1348</v>
      </c>
      <c r="N233">
        <v>1009</v>
      </c>
      <c r="O233" t="s">
        <v>361</v>
      </c>
      <c r="P233" t="s">
        <v>361</v>
      </c>
      <c r="Q233">
        <v>1000</v>
      </c>
      <c r="X233">
        <v>1.0000000000000001E-5</v>
      </c>
      <c r="Y233">
        <v>64123.05</v>
      </c>
      <c r="Z233">
        <v>0</v>
      </c>
      <c r="AA233">
        <v>0</v>
      </c>
      <c r="AB233">
        <v>0</v>
      </c>
      <c r="AC233">
        <v>0</v>
      </c>
      <c r="AD233">
        <v>1</v>
      </c>
      <c r="AE233">
        <v>0</v>
      </c>
      <c r="AF233" t="s">
        <v>70</v>
      </c>
      <c r="AG233">
        <v>1.0000000000000001E-5</v>
      </c>
      <c r="AH233">
        <v>2</v>
      </c>
      <c r="AI233">
        <v>57014647</v>
      </c>
      <c r="AJ233">
        <v>181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</row>
    <row r="234" spans="1:44" x14ac:dyDescent="0.25">
      <c r="A234">
        <f>ROW(Source!A141)</f>
        <v>141</v>
      </c>
      <c r="B234">
        <v>57014657</v>
      </c>
      <c r="C234">
        <v>57014645</v>
      </c>
      <c r="D234">
        <v>55469253</v>
      </c>
      <c r="E234">
        <v>1</v>
      </c>
      <c r="F234">
        <v>1</v>
      </c>
      <c r="G234">
        <v>1081</v>
      </c>
      <c r="H234">
        <v>3</v>
      </c>
      <c r="I234" t="s">
        <v>421</v>
      </c>
      <c r="J234" t="s">
        <v>422</v>
      </c>
      <c r="K234" t="s">
        <v>423</v>
      </c>
      <c r="L234">
        <v>1354</v>
      </c>
      <c r="N234">
        <v>1010</v>
      </c>
      <c r="O234" t="s">
        <v>251</v>
      </c>
      <c r="P234" t="s">
        <v>251</v>
      </c>
      <c r="Q234">
        <v>1</v>
      </c>
      <c r="X234">
        <v>0.1</v>
      </c>
      <c r="Y234">
        <v>15.25</v>
      </c>
      <c r="Z234">
        <v>0</v>
      </c>
      <c r="AA234">
        <v>0</v>
      </c>
      <c r="AB234">
        <v>0</v>
      </c>
      <c r="AC234">
        <v>0</v>
      </c>
      <c r="AD234">
        <v>1</v>
      </c>
      <c r="AE234">
        <v>0</v>
      </c>
      <c r="AF234" t="s">
        <v>70</v>
      </c>
      <c r="AG234">
        <v>0.1</v>
      </c>
      <c r="AH234">
        <v>2</v>
      </c>
      <c r="AI234">
        <v>57014648</v>
      </c>
      <c r="AJ234">
        <v>182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</row>
    <row r="235" spans="1:44" x14ac:dyDescent="0.25">
      <c r="A235">
        <f>ROW(Source!A141)</f>
        <v>141</v>
      </c>
      <c r="B235">
        <v>57014658</v>
      </c>
      <c r="C235">
        <v>57014645</v>
      </c>
      <c r="D235">
        <v>55441128</v>
      </c>
      <c r="E235">
        <v>1081</v>
      </c>
      <c r="F235">
        <v>1</v>
      </c>
      <c r="G235">
        <v>1081</v>
      </c>
      <c r="H235">
        <v>3</v>
      </c>
      <c r="I235" t="s">
        <v>485</v>
      </c>
      <c r="J235" t="s">
        <v>3</v>
      </c>
      <c r="K235" t="s">
        <v>486</v>
      </c>
      <c r="L235">
        <v>1354</v>
      </c>
      <c r="N235">
        <v>1010</v>
      </c>
      <c r="O235" t="s">
        <v>251</v>
      </c>
      <c r="P235" t="s">
        <v>251</v>
      </c>
      <c r="Q235">
        <v>1</v>
      </c>
      <c r="X235">
        <v>1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 t="s">
        <v>70</v>
      </c>
      <c r="AG235">
        <v>1</v>
      </c>
      <c r="AH235">
        <v>3</v>
      </c>
      <c r="AI235">
        <v>-1</v>
      </c>
      <c r="AJ235" t="s">
        <v>3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</row>
    <row r="236" spans="1:44" x14ac:dyDescent="0.25">
      <c r="A236">
        <f>ROW(Source!A142)</f>
        <v>142</v>
      </c>
      <c r="B236">
        <v>57014652</v>
      </c>
      <c r="C236">
        <v>57014645</v>
      </c>
      <c r="D236">
        <v>55424304</v>
      </c>
      <c r="E236">
        <v>1081</v>
      </c>
      <c r="F236">
        <v>1</v>
      </c>
      <c r="G236">
        <v>1081</v>
      </c>
      <c r="H236">
        <v>1</v>
      </c>
      <c r="I236" t="s">
        <v>385</v>
      </c>
      <c r="J236" t="s">
        <v>3</v>
      </c>
      <c r="K236" t="s">
        <v>386</v>
      </c>
      <c r="L236">
        <v>1191</v>
      </c>
      <c r="N236">
        <v>1013</v>
      </c>
      <c r="O236" t="s">
        <v>387</v>
      </c>
      <c r="P236" t="s">
        <v>387</v>
      </c>
      <c r="Q236">
        <v>1</v>
      </c>
      <c r="X236">
        <v>1.36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1</v>
      </c>
      <c r="AE236">
        <v>1</v>
      </c>
      <c r="AF236" t="s">
        <v>71</v>
      </c>
      <c r="AG236">
        <v>1.6320000000000001</v>
      </c>
      <c r="AH236">
        <v>2</v>
      </c>
      <c r="AI236">
        <v>57014649</v>
      </c>
      <c r="AJ236">
        <v>183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</row>
    <row r="237" spans="1:44" x14ac:dyDescent="0.25">
      <c r="A237">
        <f>ROW(Source!A142)</f>
        <v>142</v>
      </c>
      <c r="B237">
        <v>57014653</v>
      </c>
      <c r="C237">
        <v>57014645</v>
      </c>
      <c r="D237">
        <v>55490330</v>
      </c>
      <c r="E237">
        <v>1</v>
      </c>
      <c r="F237">
        <v>1</v>
      </c>
      <c r="G237">
        <v>1081</v>
      </c>
      <c r="H237">
        <v>2</v>
      </c>
      <c r="I237" t="s">
        <v>403</v>
      </c>
      <c r="J237" t="s">
        <v>404</v>
      </c>
      <c r="K237" t="s">
        <v>405</v>
      </c>
      <c r="L237">
        <v>1368</v>
      </c>
      <c r="N237">
        <v>1011</v>
      </c>
      <c r="O237" t="s">
        <v>391</v>
      </c>
      <c r="P237" t="s">
        <v>391</v>
      </c>
      <c r="Q237">
        <v>1</v>
      </c>
      <c r="X237">
        <v>1.7000000000000001E-2</v>
      </c>
      <c r="Y237">
        <v>0</v>
      </c>
      <c r="Z237">
        <v>0.8</v>
      </c>
      <c r="AA237">
        <v>0</v>
      </c>
      <c r="AB237">
        <v>0</v>
      </c>
      <c r="AC237">
        <v>0</v>
      </c>
      <c r="AD237">
        <v>1</v>
      </c>
      <c r="AE237">
        <v>0</v>
      </c>
      <c r="AF237" t="s">
        <v>71</v>
      </c>
      <c r="AG237">
        <v>2.0400000000000001E-2</v>
      </c>
      <c r="AH237">
        <v>2</v>
      </c>
      <c r="AI237">
        <v>57014650</v>
      </c>
      <c r="AJ237">
        <v>184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</row>
    <row r="238" spans="1:44" x14ac:dyDescent="0.25">
      <c r="A238">
        <f>ROW(Source!A142)</f>
        <v>142</v>
      </c>
      <c r="B238">
        <v>57014654</v>
      </c>
      <c r="C238">
        <v>57014645</v>
      </c>
      <c r="D238">
        <v>55490296</v>
      </c>
      <c r="E238">
        <v>1</v>
      </c>
      <c r="F238">
        <v>1</v>
      </c>
      <c r="G238">
        <v>1081</v>
      </c>
      <c r="H238">
        <v>2</v>
      </c>
      <c r="I238" t="s">
        <v>415</v>
      </c>
      <c r="J238" t="s">
        <v>416</v>
      </c>
      <c r="K238" t="s">
        <v>417</v>
      </c>
      <c r="L238">
        <v>1368</v>
      </c>
      <c r="N238">
        <v>1011</v>
      </c>
      <c r="O238" t="s">
        <v>391</v>
      </c>
      <c r="P238" t="s">
        <v>391</v>
      </c>
      <c r="Q238">
        <v>1</v>
      </c>
      <c r="X238">
        <v>0.02</v>
      </c>
      <c r="Y238">
        <v>0</v>
      </c>
      <c r="Z238">
        <v>0.47</v>
      </c>
      <c r="AA238">
        <v>0</v>
      </c>
      <c r="AB238">
        <v>0</v>
      </c>
      <c r="AC238">
        <v>0</v>
      </c>
      <c r="AD238">
        <v>1</v>
      </c>
      <c r="AE238">
        <v>0</v>
      </c>
      <c r="AF238" t="s">
        <v>71</v>
      </c>
      <c r="AG238">
        <v>2.4E-2</v>
      </c>
      <c r="AH238">
        <v>2</v>
      </c>
      <c r="AI238">
        <v>57014651</v>
      </c>
      <c r="AJ238">
        <v>185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</row>
    <row r="239" spans="1:44" x14ac:dyDescent="0.25">
      <c r="A239">
        <f>ROW(Source!A142)</f>
        <v>142</v>
      </c>
      <c r="B239">
        <v>57014655</v>
      </c>
      <c r="C239">
        <v>57014645</v>
      </c>
      <c r="D239">
        <v>55461074</v>
      </c>
      <c r="E239">
        <v>1</v>
      </c>
      <c r="F239">
        <v>1</v>
      </c>
      <c r="G239">
        <v>1081</v>
      </c>
      <c r="H239">
        <v>3</v>
      </c>
      <c r="I239" t="s">
        <v>418</v>
      </c>
      <c r="J239" t="s">
        <v>419</v>
      </c>
      <c r="K239" t="s">
        <v>420</v>
      </c>
      <c r="L239">
        <v>1346</v>
      </c>
      <c r="N239">
        <v>1009</v>
      </c>
      <c r="O239" t="s">
        <v>365</v>
      </c>
      <c r="P239" t="s">
        <v>365</v>
      </c>
      <c r="Q239">
        <v>1</v>
      </c>
      <c r="X239">
        <v>6.2700000000000004E-3</v>
      </c>
      <c r="Y239">
        <v>27.62</v>
      </c>
      <c r="Z239">
        <v>0</v>
      </c>
      <c r="AA239">
        <v>0</v>
      </c>
      <c r="AB239">
        <v>0</v>
      </c>
      <c r="AC239">
        <v>0</v>
      </c>
      <c r="AD239">
        <v>1</v>
      </c>
      <c r="AE239">
        <v>0</v>
      </c>
      <c r="AF239" t="s">
        <v>70</v>
      </c>
      <c r="AG239">
        <v>6.2700000000000004E-3</v>
      </c>
      <c r="AH239">
        <v>2</v>
      </c>
      <c r="AI239">
        <v>57014646</v>
      </c>
      <c r="AJ239">
        <v>186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</row>
    <row r="240" spans="1:44" x14ac:dyDescent="0.25">
      <c r="A240">
        <f>ROW(Source!A142)</f>
        <v>142</v>
      </c>
      <c r="B240">
        <v>57014656</v>
      </c>
      <c r="C240">
        <v>57014645</v>
      </c>
      <c r="D240">
        <v>55459793</v>
      </c>
      <c r="E240">
        <v>1</v>
      </c>
      <c r="F240">
        <v>1</v>
      </c>
      <c r="G240">
        <v>1081</v>
      </c>
      <c r="H240">
        <v>3</v>
      </c>
      <c r="I240" t="s">
        <v>412</v>
      </c>
      <c r="J240" t="s">
        <v>413</v>
      </c>
      <c r="K240" t="s">
        <v>414</v>
      </c>
      <c r="L240">
        <v>1348</v>
      </c>
      <c r="N240">
        <v>1009</v>
      </c>
      <c r="O240" t="s">
        <v>361</v>
      </c>
      <c r="P240" t="s">
        <v>361</v>
      </c>
      <c r="Q240">
        <v>1000</v>
      </c>
      <c r="X240">
        <v>1.0000000000000001E-5</v>
      </c>
      <c r="Y240">
        <v>64123.05</v>
      </c>
      <c r="Z240">
        <v>0</v>
      </c>
      <c r="AA240">
        <v>0</v>
      </c>
      <c r="AB240">
        <v>0</v>
      </c>
      <c r="AC240">
        <v>0</v>
      </c>
      <c r="AD240">
        <v>1</v>
      </c>
      <c r="AE240">
        <v>0</v>
      </c>
      <c r="AF240" t="s">
        <v>70</v>
      </c>
      <c r="AG240">
        <v>1.0000000000000001E-5</v>
      </c>
      <c r="AH240">
        <v>2</v>
      </c>
      <c r="AI240">
        <v>57014647</v>
      </c>
      <c r="AJ240">
        <v>187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</row>
    <row r="241" spans="1:44" x14ac:dyDescent="0.25">
      <c r="A241">
        <f>ROW(Source!A142)</f>
        <v>142</v>
      </c>
      <c r="B241">
        <v>57014657</v>
      </c>
      <c r="C241">
        <v>57014645</v>
      </c>
      <c r="D241">
        <v>55469253</v>
      </c>
      <c r="E241">
        <v>1</v>
      </c>
      <c r="F241">
        <v>1</v>
      </c>
      <c r="G241">
        <v>1081</v>
      </c>
      <c r="H241">
        <v>3</v>
      </c>
      <c r="I241" t="s">
        <v>421</v>
      </c>
      <c r="J241" t="s">
        <v>422</v>
      </c>
      <c r="K241" t="s">
        <v>423</v>
      </c>
      <c r="L241">
        <v>1354</v>
      </c>
      <c r="N241">
        <v>1010</v>
      </c>
      <c r="O241" t="s">
        <v>251</v>
      </c>
      <c r="P241" t="s">
        <v>251</v>
      </c>
      <c r="Q241">
        <v>1</v>
      </c>
      <c r="X241">
        <v>0.1</v>
      </c>
      <c r="Y241">
        <v>15.25</v>
      </c>
      <c r="Z241">
        <v>0</v>
      </c>
      <c r="AA241">
        <v>0</v>
      </c>
      <c r="AB241">
        <v>0</v>
      </c>
      <c r="AC241">
        <v>0</v>
      </c>
      <c r="AD241">
        <v>1</v>
      </c>
      <c r="AE241">
        <v>0</v>
      </c>
      <c r="AF241" t="s">
        <v>70</v>
      </c>
      <c r="AG241">
        <v>0.1</v>
      </c>
      <c r="AH241">
        <v>2</v>
      </c>
      <c r="AI241">
        <v>57014648</v>
      </c>
      <c r="AJ241">
        <v>188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</row>
    <row r="242" spans="1:44" x14ac:dyDescent="0.25">
      <c r="A242">
        <f>ROW(Source!A142)</f>
        <v>142</v>
      </c>
      <c r="B242">
        <v>57014658</v>
      </c>
      <c r="C242">
        <v>57014645</v>
      </c>
      <c r="D242">
        <v>55441128</v>
      </c>
      <c r="E242">
        <v>1081</v>
      </c>
      <c r="F242">
        <v>1</v>
      </c>
      <c r="G242">
        <v>1081</v>
      </c>
      <c r="H242">
        <v>3</v>
      </c>
      <c r="I242" t="s">
        <v>485</v>
      </c>
      <c r="J242" t="s">
        <v>3</v>
      </c>
      <c r="K242" t="s">
        <v>486</v>
      </c>
      <c r="L242">
        <v>1354</v>
      </c>
      <c r="N242">
        <v>1010</v>
      </c>
      <c r="O242" t="s">
        <v>251</v>
      </c>
      <c r="P242" t="s">
        <v>251</v>
      </c>
      <c r="Q242">
        <v>1</v>
      </c>
      <c r="X242">
        <v>1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 t="s">
        <v>70</v>
      </c>
      <c r="AG242">
        <v>1</v>
      </c>
      <c r="AH242">
        <v>3</v>
      </c>
      <c r="AI242">
        <v>-1</v>
      </c>
      <c r="AJ242" t="s">
        <v>3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</row>
    <row r="243" spans="1:44" x14ac:dyDescent="0.25">
      <c r="A243">
        <f>ROW(Source!A186)</f>
        <v>186</v>
      </c>
      <c r="B243">
        <v>57015386</v>
      </c>
      <c r="C243">
        <v>57015385</v>
      </c>
      <c r="D243">
        <v>55424304</v>
      </c>
      <c r="E243">
        <v>1081</v>
      </c>
      <c r="F243">
        <v>1</v>
      </c>
      <c r="G243">
        <v>1081</v>
      </c>
      <c r="H243">
        <v>1</v>
      </c>
      <c r="I243" t="s">
        <v>385</v>
      </c>
      <c r="J243" t="s">
        <v>3</v>
      </c>
      <c r="K243" t="s">
        <v>386</v>
      </c>
      <c r="L243">
        <v>1191</v>
      </c>
      <c r="N243">
        <v>1013</v>
      </c>
      <c r="O243" t="s">
        <v>387</v>
      </c>
      <c r="P243" t="s">
        <v>387</v>
      </c>
      <c r="Q243">
        <v>1</v>
      </c>
      <c r="X243">
        <v>84.67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1</v>
      </c>
      <c r="AE243">
        <v>1</v>
      </c>
      <c r="AF243" t="s">
        <v>71</v>
      </c>
      <c r="AG243">
        <v>101.604</v>
      </c>
      <c r="AH243">
        <v>2</v>
      </c>
      <c r="AI243">
        <v>57015386</v>
      </c>
      <c r="AJ243">
        <v>189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</row>
    <row r="244" spans="1:44" x14ac:dyDescent="0.25">
      <c r="A244">
        <f>ROW(Source!A186)</f>
        <v>186</v>
      </c>
      <c r="B244">
        <v>57015387</v>
      </c>
      <c r="C244">
        <v>57015385</v>
      </c>
      <c r="D244">
        <v>55490209</v>
      </c>
      <c r="E244">
        <v>1</v>
      </c>
      <c r="F244">
        <v>1</v>
      </c>
      <c r="G244">
        <v>1081</v>
      </c>
      <c r="H244">
        <v>2</v>
      </c>
      <c r="I244" t="s">
        <v>460</v>
      </c>
      <c r="J244" t="s">
        <v>461</v>
      </c>
      <c r="K244" t="s">
        <v>462</v>
      </c>
      <c r="L244">
        <v>1368</v>
      </c>
      <c r="N244">
        <v>1011</v>
      </c>
      <c r="O244" t="s">
        <v>391</v>
      </c>
      <c r="P244" t="s">
        <v>391</v>
      </c>
      <c r="Q244">
        <v>1</v>
      </c>
      <c r="X244">
        <v>1.03</v>
      </c>
      <c r="Y244">
        <v>0</v>
      </c>
      <c r="Z244">
        <v>83.1</v>
      </c>
      <c r="AA244">
        <v>12.62</v>
      </c>
      <c r="AB244">
        <v>0</v>
      </c>
      <c r="AC244">
        <v>0</v>
      </c>
      <c r="AD244">
        <v>1</v>
      </c>
      <c r="AE244">
        <v>0</v>
      </c>
      <c r="AF244" t="s">
        <v>71</v>
      </c>
      <c r="AG244">
        <v>1.236</v>
      </c>
      <c r="AH244">
        <v>2</v>
      </c>
      <c r="AI244">
        <v>57015387</v>
      </c>
      <c r="AJ244">
        <v>190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</row>
    <row r="245" spans="1:44" x14ac:dyDescent="0.25">
      <c r="A245">
        <f>ROW(Source!A186)</f>
        <v>186</v>
      </c>
      <c r="B245">
        <v>57015388</v>
      </c>
      <c r="C245">
        <v>57015385</v>
      </c>
      <c r="D245">
        <v>55490324</v>
      </c>
      <c r="E245">
        <v>1</v>
      </c>
      <c r="F245">
        <v>1</v>
      </c>
      <c r="G245">
        <v>1081</v>
      </c>
      <c r="H245">
        <v>2</v>
      </c>
      <c r="I245" t="s">
        <v>473</v>
      </c>
      <c r="J245" t="s">
        <v>474</v>
      </c>
      <c r="K245" t="s">
        <v>475</v>
      </c>
      <c r="L245">
        <v>1368</v>
      </c>
      <c r="N245">
        <v>1011</v>
      </c>
      <c r="O245" t="s">
        <v>391</v>
      </c>
      <c r="P245" t="s">
        <v>391</v>
      </c>
      <c r="Q245">
        <v>1</v>
      </c>
      <c r="X245">
        <v>22.08</v>
      </c>
      <c r="Y245">
        <v>0</v>
      </c>
      <c r="Z245">
        <v>0.35</v>
      </c>
      <c r="AA245">
        <v>0</v>
      </c>
      <c r="AB245">
        <v>0</v>
      </c>
      <c r="AC245">
        <v>0</v>
      </c>
      <c r="AD245">
        <v>1</v>
      </c>
      <c r="AE245">
        <v>0</v>
      </c>
      <c r="AF245" t="s">
        <v>71</v>
      </c>
      <c r="AG245">
        <v>26.495999999999999</v>
      </c>
      <c r="AH245">
        <v>2</v>
      </c>
      <c r="AI245">
        <v>57015388</v>
      </c>
      <c r="AJ245">
        <v>191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</row>
    <row r="246" spans="1:44" x14ac:dyDescent="0.25">
      <c r="A246">
        <f>ROW(Source!A186)</f>
        <v>186</v>
      </c>
      <c r="B246">
        <v>57015389</v>
      </c>
      <c r="C246">
        <v>57015385</v>
      </c>
      <c r="D246">
        <v>55460424</v>
      </c>
      <c r="E246">
        <v>1</v>
      </c>
      <c r="F246">
        <v>1</v>
      </c>
      <c r="G246">
        <v>1081</v>
      </c>
      <c r="H246">
        <v>3</v>
      </c>
      <c r="I246" t="s">
        <v>470</v>
      </c>
      <c r="J246" t="s">
        <v>471</v>
      </c>
      <c r="K246" t="s">
        <v>472</v>
      </c>
      <c r="L246">
        <v>1346</v>
      </c>
      <c r="N246">
        <v>1009</v>
      </c>
      <c r="O246" t="s">
        <v>365</v>
      </c>
      <c r="P246" t="s">
        <v>365</v>
      </c>
      <c r="Q246">
        <v>1</v>
      </c>
      <c r="X246">
        <v>0.21</v>
      </c>
      <c r="Y246">
        <v>159.06</v>
      </c>
      <c r="Z246">
        <v>0</v>
      </c>
      <c r="AA246">
        <v>0</v>
      </c>
      <c r="AB246">
        <v>0</v>
      </c>
      <c r="AC246">
        <v>0</v>
      </c>
      <c r="AD246">
        <v>1</v>
      </c>
      <c r="AE246">
        <v>0</v>
      </c>
      <c r="AF246" t="s">
        <v>70</v>
      </c>
      <c r="AG246">
        <v>0.21</v>
      </c>
      <c r="AH246">
        <v>2</v>
      </c>
      <c r="AI246">
        <v>57015389</v>
      </c>
      <c r="AJ246">
        <v>192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</row>
    <row r="247" spans="1:44" x14ac:dyDescent="0.25">
      <c r="A247">
        <f>ROW(Source!A186)</f>
        <v>186</v>
      </c>
      <c r="B247">
        <v>57015390</v>
      </c>
      <c r="C247">
        <v>57015385</v>
      </c>
      <c r="D247">
        <v>55459340</v>
      </c>
      <c r="E247">
        <v>1</v>
      </c>
      <c r="F247">
        <v>1</v>
      </c>
      <c r="G247">
        <v>1081</v>
      </c>
      <c r="H247">
        <v>3</v>
      </c>
      <c r="I247" t="s">
        <v>406</v>
      </c>
      <c r="J247" t="s">
        <v>407</v>
      </c>
      <c r="K247" t="s">
        <v>408</v>
      </c>
      <c r="L247">
        <v>1354</v>
      </c>
      <c r="N247">
        <v>1010</v>
      </c>
      <c r="O247" t="s">
        <v>251</v>
      </c>
      <c r="P247" t="s">
        <v>251</v>
      </c>
      <c r="Q247">
        <v>1</v>
      </c>
      <c r="X247">
        <v>4.08</v>
      </c>
      <c r="Y247">
        <v>0.89</v>
      </c>
      <c r="Z247">
        <v>0</v>
      </c>
      <c r="AA247">
        <v>0</v>
      </c>
      <c r="AB247">
        <v>0</v>
      </c>
      <c r="AC247">
        <v>0</v>
      </c>
      <c r="AD247">
        <v>1</v>
      </c>
      <c r="AE247">
        <v>0</v>
      </c>
      <c r="AF247" t="s">
        <v>70</v>
      </c>
      <c r="AG247">
        <v>4.08</v>
      </c>
      <c r="AH247">
        <v>2</v>
      </c>
      <c r="AI247">
        <v>57015390</v>
      </c>
      <c r="AJ247">
        <v>193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</row>
    <row r="248" spans="1:44" x14ac:dyDescent="0.25">
      <c r="A248">
        <f>ROW(Source!A186)</f>
        <v>186</v>
      </c>
      <c r="B248">
        <v>57015391</v>
      </c>
      <c r="C248">
        <v>57015385</v>
      </c>
      <c r="D248">
        <v>55487873</v>
      </c>
      <c r="E248">
        <v>1</v>
      </c>
      <c r="F248">
        <v>1</v>
      </c>
      <c r="G248">
        <v>1081</v>
      </c>
      <c r="H248">
        <v>3</v>
      </c>
      <c r="I248" t="s">
        <v>476</v>
      </c>
      <c r="J248" t="s">
        <v>477</v>
      </c>
      <c r="K248" t="s">
        <v>478</v>
      </c>
      <c r="L248">
        <v>1303</v>
      </c>
      <c r="N248">
        <v>1003</v>
      </c>
      <c r="O248" t="s">
        <v>433</v>
      </c>
      <c r="P248" t="s">
        <v>433</v>
      </c>
      <c r="Q248">
        <v>1000</v>
      </c>
      <c r="X248">
        <v>1.5299999999999999E-2</v>
      </c>
      <c r="Y248">
        <v>2897.31</v>
      </c>
      <c r="Z248">
        <v>0</v>
      </c>
      <c r="AA248">
        <v>0</v>
      </c>
      <c r="AB248">
        <v>0</v>
      </c>
      <c r="AC248">
        <v>0</v>
      </c>
      <c r="AD248">
        <v>1</v>
      </c>
      <c r="AE248">
        <v>0</v>
      </c>
      <c r="AF248" t="s">
        <v>70</v>
      </c>
      <c r="AG248">
        <v>1.5299999999999999E-2</v>
      </c>
      <c r="AH248">
        <v>2</v>
      </c>
      <c r="AI248">
        <v>57015391</v>
      </c>
      <c r="AJ248">
        <v>194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</row>
    <row r="249" spans="1:44" x14ac:dyDescent="0.25">
      <c r="A249">
        <f>ROW(Source!A186)</f>
        <v>186</v>
      </c>
      <c r="B249">
        <v>57015392</v>
      </c>
      <c r="C249">
        <v>57015385</v>
      </c>
      <c r="D249">
        <v>55433775</v>
      </c>
      <c r="E249">
        <v>1081</v>
      </c>
      <c r="F249">
        <v>1</v>
      </c>
      <c r="G249">
        <v>1081</v>
      </c>
      <c r="H249">
        <v>3</v>
      </c>
      <c r="I249" t="s">
        <v>513</v>
      </c>
      <c r="J249" t="s">
        <v>3</v>
      </c>
      <c r="K249" t="s">
        <v>514</v>
      </c>
      <c r="L249">
        <v>1354</v>
      </c>
      <c r="N249">
        <v>1010</v>
      </c>
      <c r="O249" t="s">
        <v>251</v>
      </c>
      <c r="P249" t="s">
        <v>251</v>
      </c>
      <c r="Q249">
        <v>1</v>
      </c>
      <c r="X249">
        <v>100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 t="s">
        <v>70</v>
      </c>
      <c r="AG249">
        <v>100</v>
      </c>
      <c r="AH249">
        <v>3</v>
      </c>
      <c r="AI249">
        <v>-1</v>
      </c>
      <c r="AJ249" t="s">
        <v>3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</row>
    <row r="250" spans="1:44" x14ac:dyDescent="0.25">
      <c r="A250">
        <f>ROW(Source!A186)</f>
        <v>186</v>
      </c>
      <c r="B250">
        <v>57015393</v>
      </c>
      <c r="C250">
        <v>57015385</v>
      </c>
      <c r="D250">
        <v>55434288</v>
      </c>
      <c r="E250">
        <v>1081</v>
      </c>
      <c r="F250">
        <v>1</v>
      </c>
      <c r="G250">
        <v>1081</v>
      </c>
      <c r="H250">
        <v>3</v>
      </c>
      <c r="I250" t="s">
        <v>515</v>
      </c>
      <c r="J250" t="s">
        <v>3</v>
      </c>
      <c r="K250" t="s">
        <v>516</v>
      </c>
      <c r="L250">
        <v>1358</v>
      </c>
      <c r="N250">
        <v>1010</v>
      </c>
      <c r="O250" t="s">
        <v>517</v>
      </c>
      <c r="P250" t="s">
        <v>517</v>
      </c>
      <c r="Q250">
        <v>10</v>
      </c>
      <c r="X250">
        <v>10.199999999999999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 t="s">
        <v>70</v>
      </c>
      <c r="AG250">
        <v>10.199999999999999</v>
      </c>
      <c r="AH250">
        <v>3</v>
      </c>
      <c r="AI250">
        <v>-1</v>
      </c>
      <c r="AJ250" t="s">
        <v>3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</row>
    <row r="251" spans="1:44" x14ac:dyDescent="0.25">
      <c r="A251">
        <f>ROW(Source!A187)</f>
        <v>187</v>
      </c>
      <c r="B251">
        <v>57015386</v>
      </c>
      <c r="C251">
        <v>57015385</v>
      </c>
      <c r="D251">
        <v>55424304</v>
      </c>
      <c r="E251">
        <v>1081</v>
      </c>
      <c r="F251">
        <v>1</v>
      </c>
      <c r="G251">
        <v>1081</v>
      </c>
      <c r="H251">
        <v>1</v>
      </c>
      <c r="I251" t="s">
        <v>385</v>
      </c>
      <c r="J251" t="s">
        <v>3</v>
      </c>
      <c r="K251" t="s">
        <v>386</v>
      </c>
      <c r="L251">
        <v>1191</v>
      </c>
      <c r="N251">
        <v>1013</v>
      </c>
      <c r="O251" t="s">
        <v>387</v>
      </c>
      <c r="P251" t="s">
        <v>387</v>
      </c>
      <c r="Q251">
        <v>1</v>
      </c>
      <c r="X251">
        <v>84.67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1</v>
      </c>
      <c r="AE251">
        <v>1</v>
      </c>
      <c r="AF251" t="s">
        <v>71</v>
      </c>
      <c r="AG251">
        <v>101.604</v>
      </c>
      <c r="AH251">
        <v>2</v>
      </c>
      <c r="AI251">
        <v>57015386</v>
      </c>
      <c r="AJ251">
        <v>195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</row>
    <row r="252" spans="1:44" x14ac:dyDescent="0.25">
      <c r="A252">
        <f>ROW(Source!A187)</f>
        <v>187</v>
      </c>
      <c r="B252">
        <v>57015387</v>
      </c>
      <c r="C252">
        <v>57015385</v>
      </c>
      <c r="D252">
        <v>55490209</v>
      </c>
      <c r="E252">
        <v>1</v>
      </c>
      <c r="F252">
        <v>1</v>
      </c>
      <c r="G252">
        <v>1081</v>
      </c>
      <c r="H252">
        <v>2</v>
      </c>
      <c r="I252" t="s">
        <v>460</v>
      </c>
      <c r="J252" t="s">
        <v>461</v>
      </c>
      <c r="K252" t="s">
        <v>462</v>
      </c>
      <c r="L252">
        <v>1368</v>
      </c>
      <c r="N252">
        <v>1011</v>
      </c>
      <c r="O252" t="s">
        <v>391</v>
      </c>
      <c r="P252" t="s">
        <v>391</v>
      </c>
      <c r="Q252">
        <v>1</v>
      </c>
      <c r="X252">
        <v>1.03</v>
      </c>
      <c r="Y252">
        <v>0</v>
      </c>
      <c r="Z252">
        <v>83.1</v>
      </c>
      <c r="AA252">
        <v>12.62</v>
      </c>
      <c r="AB252">
        <v>0</v>
      </c>
      <c r="AC252">
        <v>0</v>
      </c>
      <c r="AD252">
        <v>1</v>
      </c>
      <c r="AE252">
        <v>0</v>
      </c>
      <c r="AF252" t="s">
        <v>71</v>
      </c>
      <c r="AG252">
        <v>1.236</v>
      </c>
      <c r="AH252">
        <v>2</v>
      </c>
      <c r="AI252">
        <v>57015387</v>
      </c>
      <c r="AJ252">
        <v>196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</row>
    <row r="253" spans="1:44" x14ac:dyDescent="0.25">
      <c r="A253">
        <f>ROW(Source!A187)</f>
        <v>187</v>
      </c>
      <c r="B253">
        <v>57015388</v>
      </c>
      <c r="C253">
        <v>57015385</v>
      </c>
      <c r="D253">
        <v>55490324</v>
      </c>
      <c r="E253">
        <v>1</v>
      </c>
      <c r="F253">
        <v>1</v>
      </c>
      <c r="G253">
        <v>1081</v>
      </c>
      <c r="H253">
        <v>2</v>
      </c>
      <c r="I253" t="s">
        <v>473</v>
      </c>
      <c r="J253" t="s">
        <v>474</v>
      </c>
      <c r="K253" t="s">
        <v>475</v>
      </c>
      <c r="L253">
        <v>1368</v>
      </c>
      <c r="N253">
        <v>1011</v>
      </c>
      <c r="O253" t="s">
        <v>391</v>
      </c>
      <c r="P253" t="s">
        <v>391</v>
      </c>
      <c r="Q253">
        <v>1</v>
      </c>
      <c r="X253">
        <v>22.08</v>
      </c>
      <c r="Y253">
        <v>0</v>
      </c>
      <c r="Z253">
        <v>0.35</v>
      </c>
      <c r="AA253">
        <v>0</v>
      </c>
      <c r="AB253">
        <v>0</v>
      </c>
      <c r="AC253">
        <v>0</v>
      </c>
      <c r="AD253">
        <v>1</v>
      </c>
      <c r="AE253">
        <v>0</v>
      </c>
      <c r="AF253" t="s">
        <v>71</v>
      </c>
      <c r="AG253">
        <v>26.495999999999999</v>
      </c>
      <c r="AH253">
        <v>2</v>
      </c>
      <c r="AI253">
        <v>57015388</v>
      </c>
      <c r="AJ253">
        <v>197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</row>
    <row r="254" spans="1:44" x14ac:dyDescent="0.25">
      <c r="A254">
        <f>ROW(Source!A187)</f>
        <v>187</v>
      </c>
      <c r="B254">
        <v>57015389</v>
      </c>
      <c r="C254">
        <v>57015385</v>
      </c>
      <c r="D254">
        <v>55460424</v>
      </c>
      <c r="E254">
        <v>1</v>
      </c>
      <c r="F254">
        <v>1</v>
      </c>
      <c r="G254">
        <v>1081</v>
      </c>
      <c r="H254">
        <v>3</v>
      </c>
      <c r="I254" t="s">
        <v>470</v>
      </c>
      <c r="J254" t="s">
        <v>471</v>
      </c>
      <c r="K254" t="s">
        <v>472</v>
      </c>
      <c r="L254">
        <v>1346</v>
      </c>
      <c r="N254">
        <v>1009</v>
      </c>
      <c r="O254" t="s">
        <v>365</v>
      </c>
      <c r="P254" t="s">
        <v>365</v>
      </c>
      <c r="Q254">
        <v>1</v>
      </c>
      <c r="X254">
        <v>0.21</v>
      </c>
      <c r="Y254">
        <v>159.06</v>
      </c>
      <c r="Z254">
        <v>0</v>
      </c>
      <c r="AA254">
        <v>0</v>
      </c>
      <c r="AB254">
        <v>0</v>
      </c>
      <c r="AC254">
        <v>0</v>
      </c>
      <c r="AD254">
        <v>1</v>
      </c>
      <c r="AE254">
        <v>0</v>
      </c>
      <c r="AF254" t="s">
        <v>70</v>
      </c>
      <c r="AG254">
        <v>0.21</v>
      </c>
      <c r="AH254">
        <v>2</v>
      </c>
      <c r="AI254">
        <v>57015389</v>
      </c>
      <c r="AJ254">
        <v>198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</row>
    <row r="255" spans="1:44" x14ac:dyDescent="0.25">
      <c r="A255">
        <f>ROW(Source!A187)</f>
        <v>187</v>
      </c>
      <c r="B255">
        <v>57015390</v>
      </c>
      <c r="C255">
        <v>57015385</v>
      </c>
      <c r="D255">
        <v>55459340</v>
      </c>
      <c r="E255">
        <v>1</v>
      </c>
      <c r="F255">
        <v>1</v>
      </c>
      <c r="G255">
        <v>1081</v>
      </c>
      <c r="H255">
        <v>3</v>
      </c>
      <c r="I255" t="s">
        <v>406</v>
      </c>
      <c r="J255" t="s">
        <v>407</v>
      </c>
      <c r="K255" t="s">
        <v>408</v>
      </c>
      <c r="L255">
        <v>1354</v>
      </c>
      <c r="N255">
        <v>1010</v>
      </c>
      <c r="O255" t="s">
        <v>251</v>
      </c>
      <c r="P255" t="s">
        <v>251</v>
      </c>
      <c r="Q255">
        <v>1</v>
      </c>
      <c r="X255">
        <v>4.08</v>
      </c>
      <c r="Y255">
        <v>0.89</v>
      </c>
      <c r="Z255">
        <v>0</v>
      </c>
      <c r="AA255">
        <v>0</v>
      </c>
      <c r="AB255">
        <v>0</v>
      </c>
      <c r="AC255">
        <v>0</v>
      </c>
      <c r="AD255">
        <v>1</v>
      </c>
      <c r="AE255">
        <v>0</v>
      </c>
      <c r="AF255" t="s">
        <v>70</v>
      </c>
      <c r="AG255">
        <v>4.08</v>
      </c>
      <c r="AH255">
        <v>2</v>
      </c>
      <c r="AI255">
        <v>57015390</v>
      </c>
      <c r="AJ255">
        <v>199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</row>
    <row r="256" spans="1:44" x14ac:dyDescent="0.25">
      <c r="A256">
        <f>ROW(Source!A187)</f>
        <v>187</v>
      </c>
      <c r="B256">
        <v>57015391</v>
      </c>
      <c r="C256">
        <v>57015385</v>
      </c>
      <c r="D256">
        <v>55487873</v>
      </c>
      <c r="E256">
        <v>1</v>
      </c>
      <c r="F256">
        <v>1</v>
      </c>
      <c r="G256">
        <v>1081</v>
      </c>
      <c r="H256">
        <v>3</v>
      </c>
      <c r="I256" t="s">
        <v>476</v>
      </c>
      <c r="J256" t="s">
        <v>477</v>
      </c>
      <c r="K256" t="s">
        <v>478</v>
      </c>
      <c r="L256">
        <v>1303</v>
      </c>
      <c r="N256">
        <v>1003</v>
      </c>
      <c r="O256" t="s">
        <v>433</v>
      </c>
      <c r="P256" t="s">
        <v>433</v>
      </c>
      <c r="Q256">
        <v>1000</v>
      </c>
      <c r="X256">
        <v>1.5299999999999999E-2</v>
      </c>
      <c r="Y256">
        <v>2897.31</v>
      </c>
      <c r="Z256">
        <v>0</v>
      </c>
      <c r="AA256">
        <v>0</v>
      </c>
      <c r="AB256">
        <v>0</v>
      </c>
      <c r="AC256">
        <v>0</v>
      </c>
      <c r="AD256">
        <v>1</v>
      </c>
      <c r="AE256">
        <v>0</v>
      </c>
      <c r="AF256" t="s">
        <v>70</v>
      </c>
      <c r="AG256">
        <v>1.5299999999999999E-2</v>
      </c>
      <c r="AH256">
        <v>2</v>
      </c>
      <c r="AI256">
        <v>57015391</v>
      </c>
      <c r="AJ256">
        <v>200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</row>
    <row r="257" spans="1:44" x14ac:dyDescent="0.25">
      <c r="A257">
        <f>ROW(Source!A187)</f>
        <v>187</v>
      </c>
      <c r="B257">
        <v>57015392</v>
      </c>
      <c r="C257">
        <v>57015385</v>
      </c>
      <c r="D257">
        <v>55433775</v>
      </c>
      <c r="E257">
        <v>1081</v>
      </c>
      <c r="F257">
        <v>1</v>
      </c>
      <c r="G257">
        <v>1081</v>
      </c>
      <c r="H257">
        <v>3</v>
      </c>
      <c r="I257" t="s">
        <v>513</v>
      </c>
      <c r="J257" t="s">
        <v>3</v>
      </c>
      <c r="K257" t="s">
        <v>514</v>
      </c>
      <c r="L257">
        <v>1354</v>
      </c>
      <c r="N257">
        <v>1010</v>
      </c>
      <c r="O257" t="s">
        <v>251</v>
      </c>
      <c r="P257" t="s">
        <v>251</v>
      </c>
      <c r="Q257">
        <v>1</v>
      </c>
      <c r="X257">
        <v>100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 t="s">
        <v>70</v>
      </c>
      <c r="AG257">
        <v>100</v>
      </c>
      <c r="AH257">
        <v>3</v>
      </c>
      <c r="AI257">
        <v>-1</v>
      </c>
      <c r="AJ257" t="s">
        <v>3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</row>
    <row r="258" spans="1:44" x14ac:dyDescent="0.25">
      <c r="A258">
        <f>ROW(Source!A187)</f>
        <v>187</v>
      </c>
      <c r="B258">
        <v>57015393</v>
      </c>
      <c r="C258">
        <v>57015385</v>
      </c>
      <c r="D258">
        <v>55434288</v>
      </c>
      <c r="E258">
        <v>1081</v>
      </c>
      <c r="F258">
        <v>1</v>
      </c>
      <c r="G258">
        <v>1081</v>
      </c>
      <c r="H258">
        <v>3</v>
      </c>
      <c r="I258" t="s">
        <v>515</v>
      </c>
      <c r="J258" t="s">
        <v>3</v>
      </c>
      <c r="K258" t="s">
        <v>516</v>
      </c>
      <c r="L258">
        <v>1358</v>
      </c>
      <c r="N258">
        <v>1010</v>
      </c>
      <c r="O258" t="s">
        <v>517</v>
      </c>
      <c r="P258" t="s">
        <v>517</v>
      </c>
      <c r="Q258">
        <v>10</v>
      </c>
      <c r="X258">
        <v>10.199999999999999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 t="s">
        <v>70</v>
      </c>
      <c r="AG258">
        <v>10.199999999999999</v>
      </c>
      <c r="AH258">
        <v>3</v>
      </c>
      <c r="AI258">
        <v>-1</v>
      </c>
      <c r="AJ258" t="s">
        <v>3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</row>
    <row r="259" spans="1:44" x14ac:dyDescent="0.25">
      <c r="A259">
        <f>ROW(Source!A188)</f>
        <v>188</v>
      </c>
      <c r="B259">
        <v>57014681</v>
      </c>
      <c r="C259">
        <v>57014679</v>
      </c>
      <c r="D259">
        <v>55424304</v>
      </c>
      <c r="E259">
        <v>1081</v>
      </c>
      <c r="F259">
        <v>1</v>
      </c>
      <c r="G259">
        <v>1081</v>
      </c>
      <c r="H259">
        <v>1</v>
      </c>
      <c r="I259" t="s">
        <v>385</v>
      </c>
      <c r="J259" t="s">
        <v>3</v>
      </c>
      <c r="K259" t="s">
        <v>386</v>
      </c>
      <c r="L259">
        <v>1191</v>
      </c>
      <c r="N259">
        <v>1013</v>
      </c>
      <c r="O259" t="s">
        <v>387</v>
      </c>
      <c r="P259" t="s">
        <v>387</v>
      </c>
      <c r="Q259">
        <v>1</v>
      </c>
      <c r="X259">
        <v>1.68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1</v>
      </c>
      <c r="AE259">
        <v>1</v>
      </c>
      <c r="AF259" t="s">
        <v>71</v>
      </c>
      <c r="AG259">
        <v>2.016</v>
      </c>
      <c r="AH259">
        <v>2</v>
      </c>
      <c r="AI259">
        <v>57014680</v>
      </c>
      <c r="AJ259">
        <v>201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</row>
    <row r="260" spans="1:44" x14ac:dyDescent="0.25">
      <c r="A260">
        <f>ROW(Source!A189)</f>
        <v>189</v>
      </c>
      <c r="B260">
        <v>57014681</v>
      </c>
      <c r="C260">
        <v>57014679</v>
      </c>
      <c r="D260">
        <v>55424304</v>
      </c>
      <c r="E260">
        <v>1081</v>
      </c>
      <c r="F260">
        <v>1</v>
      </c>
      <c r="G260">
        <v>1081</v>
      </c>
      <c r="H260">
        <v>1</v>
      </c>
      <c r="I260" t="s">
        <v>385</v>
      </c>
      <c r="J260" t="s">
        <v>3</v>
      </c>
      <c r="K260" t="s">
        <v>386</v>
      </c>
      <c r="L260">
        <v>1191</v>
      </c>
      <c r="N260">
        <v>1013</v>
      </c>
      <c r="O260" t="s">
        <v>387</v>
      </c>
      <c r="P260" t="s">
        <v>387</v>
      </c>
      <c r="Q260">
        <v>1</v>
      </c>
      <c r="X260">
        <v>1.68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1</v>
      </c>
      <c r="AE260">
        <v>1</v>
      </c>
      <c r="AF260" t="s">
        <v>71</v>
      </c>
      <c r="AG260">
        <v>2.016</v>
      </c>
      <c r="AH260">
        <v>2</v>
      </c>
      <c r="AI260">
        <v>57014680</v>
      </c>
      <c r="AJ260">
        <v>202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</row>
    <row r="261" spans="1:44" x14ac:dyDescent="0.25">
      <c r="A261">
        <f>ROW(Source!A206)</f>
        <v>206</v>
      </c>
      <c r="B261">
        <v>57015343</v>
      </c>
      <c r="C261">
        <v>57015342</v>
      </c>
      <c r="D261">
        <v>55424304</v>
      </c>
      <c r="E261">
        <v>1081</v>
      </c>
      <c r="F261">
        <v>1</v>
      </c>
      <c r="G261">
        <v>1081</v>
      </c>
      <c r="H261">
        <v>1</v>
      </c>
      <c r="I261" t="s">
        <v>385</v>
      </c>
      <c r="J261" t="s">
        <v>3</v>
      </c>
      <c r="K261" t="s">
        <v>386</v>
      </c>
      <c r="L261">
        <v>1191</v>
      </c>
      <c r="N261">
        <v>1013</v>
      </c>
      <c r="O261" t="s">
        <v>387</v>
      </c>
      <c r="P261" t="s">
        <v>387</v>
      </c>
      <c r="Q261">
        <v>1</v>
      </c>
      <c r="X261">
        <v>2.4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1</v>
      </c>
      <c r="AE261">
        <v>1</v>
      </c>
      <c r="AF261" t="s">
        <v>71</v>
      </c>
      <c r="AG261">
        <v>2.88</v>
      </c>
      <c r="AH261">
        <v>2</v>
      </c>
      <c r="AI261">
        <v>57015343</v>
      </c>
      <c r="AJ261">
        <v>203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</row>
    <row r="262" spans="1:44" x14ac:dyDescent="0.25">
      <c r="A262">
        <f>ROW(Source!A207)</f>
        <v>207</v>
      </c>
      <c r="B262">
        <v>57015343</v>
      </c>
      <c r="C262">
        <v>57015342</v>
      </c>
      <c r="D262">
        <v>55424304</v>
      </c>
      <c r="E262">
        <v>1081</v>
      </c>
      <c r="F262">
        <v>1</v>
      </c>
      <c r="G262">
        <v>1081</v>
      </c>
      <c r="H262">
        <v>1</v>
      </c>
      <c r="I262" t="s">
        <v>385</v>
      </c>
      <c r="J262" t="s">
        <v>3</v>
      </c>
      <c r="K262" t="s">
        <v>386</v>
      </c>
      <c r="L262">
        <v>1191</v>
      </c>
      <c r="N262">
        <v>1013</v>
      </c>
      <c r="O262" t="s">
        <v>387</v>
      </c>
      <c r="P262" t="s">
        <v>387</v>
      </c>
      <c r="Q262">
        <v>1</v>
      </c>
      <c r="X262">
        <v>2.4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1</v>
      </c>
      <c r="AE262">
        <v>1</v>
      </c>
      <c r="AF262" t="s">
        <v>71</v>
      </c>
      <c r="AG262">
        <v>2.88</v>
      </c>
      <c r="AH262">
        <v>2</v>
      </c>
      <c r="AI262">
        <v>57015343</v>
      </c>
      <c r="AJ262">
        <v>204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</row>
    <row r="263" spans="1:44" x14ac:dyDescent="0.25">
      <c r="A263">
        <f>ROW(Source!A210)</f>
        <v>210</v>
      </c>
      <c r="B263">
        <v>57015352</v>
      </c>
      <c r="C263">
        <v>57015351</v>
      </c>
      <c r="D263">
        <v>55424304</v>
      </c>
      <c r="E263">
        <v>1081</v>
      </c>
      <c r="F263">
        <v>1</v>
      </c>
      <c r="G263">
        <v>1081</v>
      </c>
      <c r="H263">
        <v>1</v>
      </c>
      <c r="I263" t="s">
        <v>385</v>
      </c>
      <c r="J263" t="s">
        <v>3</v>
      </c>
      <c r="K263" t="s">
        <v>386</v>
      </c>
      <c r="L263">
        <v>1191</v>
      </c>
      <c r="N263">
        <v>1013</v>
      </c>
      <c r="O263" t="s">
        <v>387</v>
      </c>
      <c r="P263" t="s">
        <v>387</v>
      </c>
      <c r="Q263">
        <v>1</v>
      </c>
      <c r="X263">
        <v>1.2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1</v>
      </c>
      <c r="AE263">
        <v>1</v>
      </c>
      <c r="AF263" t="s">
        <v>71</v>
      </c>
      <c r="AG263">
        <v>1.44</v>
      </c>
      <c r="AH263">
        <v>2</v>
      </c>
      <c r="AI263">
        <v>57015352</v>
      </c>
      <c r="AJ263">
        <v>205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</row>
    <row r="264" spans="1:44" x14ac:dyDescent="0.25">
      <c r="A264">
        <f>ROW(Source!A211)</f>
        <v>211</v>
      </c>
      <c r="B264">
        <v>57015352</v>
      </c>
      <c r="C264">
        <v>57015351</v>
      </c>
      <c r="D264">
        <v>55424304</v>
      </c>
      <c r="E264">
        <v>1081</v>
      </c>
      <c r="F264">
        <v>1</v>
      </c>
      <c r="G264">
        <v>1081</v>
      </c>
      <c r="H264">
        <v>1</v>
      </c>
      <c r="I264" t="s">
        <v>385</v>
      </c>
      <c r="J264" t="s">
        <v>3</v>
      </c>
      <c r="K264" t="s">
        <v>386</v>
      </c>
      <c r="L264">
        <v>1191</v>
      </c>
      <c r="N264">
        <v>1013</v>
      </c>
      <c r="O264" t="s">
        <v>387</v>
      </c>
      <c r="P264" t="s">
        <v>387</v>
      </c>
      <c r="Q264">
        <v>1</v>
      </c>
      <c r="X264">
        <v>1.2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1</v>
      </c>
      <c r="AE264">
        <v>1</v>
      </c>
      <c r="AF264" t="s">
        <v>71</v>
      </c>
      <c r="AG264">
        <v>1.44</v>
      </c>
      <c r="AH264">
        <v>2</v>
      </c>
      <c r="AI264">
        <v>57015352</v>
      </c>
      <c r="AJ264">
        <v>206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</row>
    <row r="265" spans="1:44" x14ac:dyDescent="0.25">
      <c r="A265">
        <f>ROW(Source!A214)</f>
        <v>214</v>
      </c>
      <c r="B265">
        <v>57015350</v>
      </c>
      <c r="C265">
        <v>57015348</v>
      </c>
      <c r="D265">
        <v>55424304</v>
      </c>
      <c r="E265">
        <v>1081</v>
      </c>
      <c r="F265">
        <v>1</v>
      </c>
      <c r="G265">
        <v>1081</v>
      </c>
      <c r="H265">
        <v>1</v>
      </c>
      <c r="I265" t="s">
        <v>385</v>
      </c>
      <c r="J265" t="s">
        <v>3</v>
      </c>
      <c r="K265" t="s">
        <v>386</v>
      </c>
      <c r="L265">
        <v>1191</v>
      </c>
      <c r="N265">
        <v>1013</v>
      </c>
      <c r="O265" t="s">
        <v>387</v>
      </c>
      <c r="P265" t="s">
        <v>387</v>
      </c>
      <c r="Q265">
        <v>1</v>
      </c>
      <c r="X265">
        <v>2.4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1</v>
      </c>
      <c r="AE265">
        <v>1</v>
      </c>
      <c r="AF265" t="s">
        <v>71</v>
      </c>
      <c r="AG265">
        <v>2.88</v>
      </c>
      <c r="AH265">
        <v>2</v>
      </c>
      <c r="AI265">
        <v>57015349</v>
      </c>
      <c r="AJ265">
        <v>207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</row>
    <row r="266" spans="1:44" x14ac:dyDescent="0.25">
      <c r="A266">
        <f>ROW(Source!A215)</f>
        <v>215</v>
      </c>
      <c r="B266">
        <v>57015350</v>
      </c>
      <c r="C266">
        <v>57015348</v>
      </c>
      <c r="D266">
        <v>55424304</v>
      </c>
      <c r="E266">
        <v>1081</v>
      </c>
      <c r="F266">
        <v>1</v>
      </c>
      <c r="G266">
        <v>1081</v>
      </c>
      <c r="H266">
        <v>1</v>
      </c>
      <c r="I266" t="s">
        <v>385</v>
      </c>
      <c r="J266" t="s">
        <v>3</v>
      </c>
      <c r="K266" t="s">
        <v>386</v>
      </c>
      <c r="L266">
        <v>1191</v>
      </c>
      <c r="N266">
        <v>1013</v>
      </c>
      <c r="O266" t="s">
        <v>387</v>
      </c>
      <c r="P266" t="s">
        <v>387</v>
      </c>
      <c r="Q266">
        <v>1</v>
      </c>
      <c r="X266">
        <v>2.4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1</v>
      </c>
      <c r="AE266">
        <v>1</v>
      </c>
      <c r="AF266" t="s">
        <v>71</v>
      </c>
      <c r="AG266">
        <v>2.88</v>
      </c>
      <c r="AH266">
        <v>2</v>
      </c>
      <c r="AI266">
        <v>57015349</v>
      </c>
      <c r="AJ266">
        <v>208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</row>
    <row r="267" spans="1:44" x14ac:dyDescent="0.25">
      <c r="A267">
        <f>ROW(Source!A218)</f>
        <v>218</v>
      </c>
      <c r="B267">
        <v>57014710</v>
      </c>
      <c r="C267">
        <v>57014705</v>
      </c>
      <c r="D267">
        <v>55424304</v>
      </c>
      <c r="E267">
        <v>1081</v>
      </c>
      <c r="F267">
        <v>1</v>
      </c>
      <c r="G267">
        <v>1081</v>
      </c>
      <c r="H267">
        <v>1</v>
      </c>
      <c r="I267" t="s">
        <v>385</v>
      </c>
      <c r="J267" t="s">
        <v>3</v>
      </c>
      <c r="K267" t="s">
        <v>386</v>
      </c>
      <c r="L267">
        <v>1191</v>
      </c>
      <c r="N267">
        <v>1013</v>
      </c>
      <c r="O267" t="s">
        <v>387</v>
      </c>
      <c r="P267" t="s">
        <v>387</v>
      </c>
      <c r="Q267">
        <v>1</v>
      </c>
      <c r="X267">
        <v>2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1</v>
      </c>
      <c r="AE267">
        <v>1</v>
      </c>
      <c r="AF267" t="s">
        <v>71</v>
      </c>
      <c r="AG267">
        <v>2.4</v>
      </c>
      <c r="AH267">
        <v>2</v>
      </c>
      <c r="AI267">
        <v>57014706</v>
      </c>
      <c r="AJ267">
        <v>209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</row>
    <row r="268" spans="1:44" x14ac:dyDescent="0.25">
      <c r="A268">
        <f>ROW(Source!A218)</f>
        <v>218</v>
      </c>
      <c r="B268">
        <v>57014711</v>
      </c>
      <c r="C268">
        <v>57014705</v>
      </c>
      <c r="D268">
        <v>55460240</v>
      </c>
      <c r="E268">
        <v>1</v>
      </c>
      <c r="F268">
        <v>1</v>
      </c>
      <c r="G268">
        <v>1081</v>
      </c>
      <c r="H268">
        <v>3</v>
      </c>
      <c r="I268" t="s">
        <v>424</v>
      </c>
      <c r="J268" t="s">
        <v>425</v>
      </c>
      <c r="K268" t="s">
        <v>426</v>
      </c>
      <c r="L268">
        <v>1348</v>
      </c>
      <c r="N268">
        <v>1009</v>
      </c>
      <c r="O268" t="s">
        <v>361</v>
      </c>
      <c r="P268" t="s">
        <v>361</v>
      </c>
      <c r="Q268">
        <v>1000</v>
      </c>
      <c r="X268">
        <v>1.4999999999999999E-4</v>
      </c>
      <c r="Y268">
        <v>17742.23</v>
      </c>
      <c r="Z268">
        <v>0</v>
      </c>
      <c r="AA268">
        <v>0</v>
      </c>
      <c r="AB268">
        <v>0</v>
      </c>
      <c r="AC268">
        <v>0</v>
      </c>
      <c r="AD268">
        <v>1</v>
      </c>
      <c r="AE268">
        <v>0</v>
      </c>
      <c r="AF268" t="s">
        <v>70</v>
      </c>
      <c r="AG268">
        <v>1.4999999999999999E-4</v>
      </c>
      <c r="AH268">
        <v>2</v>
      </c>
      <c r="AI268">
        <v>57014707</v>
      </c>
      <c r="AJ268">
        <v>210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</row>
    <row r="269" spans="1:44" x14ac:dyDescent="0.25">
      <c r="A269">
        <f>ROW(Source!A218)</f>
        <v>218</v>
      </c>
      <c r="B269">
        <v>57014712</v>
      </c>
      <c r="C269">
        <v>57014705</v>
      </c>
      <c r="D269">
        <v>55482233</v>
      </c>
      <c r="E269">
        <v>1</v>
      </c>
      <c r="F269">
        <v>1</v>
      </c>
      <c r="G269">
        <v>1081</v>
      </c>
      <c r="H269">
        <v>3</v>
      </c>
      <c r="I269" t="s">
        <v>427</v>
      </c>
      <c r="J269" t="s">
        <v>428</v>
      </c>
      <c r="K269" t="s">
        <v>429</v>
      </c>
      <c r="L269">
        <v>1346</v>
      </c>
      <c r="N269">
        <v>1009</v>
      </c>
      <c r="O269" t="s">
        <v>365</v>
      </c>
      <c r="P269" t="s">
        <v>365</v>
      </c>
      <c r="Q269">
        <v>1</v>
      </c>
      <c r="X269">
        <v>1.4999999999999999E-2</v>
      </c>
      <c r="Y269">
        <v>493.08</v>
      </c>
      <c r="Z269">
        <v>0</v>
      </c>
      <c r="AA269">
        <v>0</v>
      </c>
      <c r="AB269">
        <v>0</v>
      </c>
      <c r="AC269">
        <v>0</v>
      </c>
      <c r="AD269">
        <v>1</v>
      </c>
      <c r="AE269">
        <v>0</v>
      </c>
      <c r="AF269" t="s">
        <v>70</v>
      </c>
      <c r="AG269">
        <v>1.4999999999999999E-2</v>
      </c>
      <c r="AH269">
        <v>2</v>
      </c>
      <c r="AI269">
        <v>57014708</v>
      </c>
      <c r="AJ269">
        <v>211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</row>
    <row r="270" spans="1:44" x14ac:dyDescent="0.25">
      <c r="A270">
        <f>ROW(Source!A218)</f>
        <v>218</v>
      </c>
      <c r="B270">
        <v>57014713</v>
      </c>
      <c r="C270">
        <v>57014705</v>
      </c>
      <c r="D270">
        <v>55488138</v>
      </c>
      <c r="E270">
        <v>1</v>
      </c>
      <c r="F270">
        <v>1</v>
      </c>
      <c r="G270">
        <v>1081</v>
      </c>
      <c r="H270">
        <v>3</v>
      </c>
      <c r="I270" t="s">
        <v>430</v>
      </c>
      <c r="J270" t="s">
        <v>431</v>
      </c>
      <c r="K270" t="s">
        <v>432</v>
      </c>
      <c r="L270">
        <v>1303</v>
      </c>
      <c r="N270">
        <v>1003</v>
      </c>
      <c r="O270" t="s">
        <v>433</v>
      </c>
      <c r="P270" t="s">
        <v>433</v>
      </c>
      <c r="Q270">
        <v>1000</v>
      </c>
      <c r="X270">
        <v>5.0000000000000001E-3</v>
      </c>
      <c r="Y270">
        <v>2880.4</v>
      </c>
      <c r="Z270">
        <v>0</v>
      </c>
      <c r="AA270">
        <v>0</v>
      </c>
      <c r="AB270">
        <v>0</v>
      </c>
      <c r="AC270">
        <v>0</v>
      </c>
      <c r="AD270">
        <v>1</v>
      </c>
      <c r="AE270">
        <v>0</v>
      </c>
      <c r="AF270" t="s">
        <v>70</v>
      </c>
      <c r="AG270">
        <v>5.0000000000000001E-3</v>
      </c>
      <c r="AH270">
        <v>2</v>
      </c>
      <c r="AI270">
        <v>57014709</v>
      </c>
      <c r="AJ270">
        <v>212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</row>
    <row r="271" spans="1:44" x14ac:dyDescent="0.25">
      <c r="A271">
        <f>ROW(Source!A218)</f>
        <v>218</v>
      </c>
      <c r="B271">
        <v>57014714</v>
      </c>
      <c r="C271">
        <v>57014705</v>
      </c>
      <c r="D271">
        <v>55455625</v>
      </c>
      <c r="E271">
        <v>1081</v>
      </c>
      <c r="F271">
        <v>1</v>
      </c>
      <c r="G271">
        <v>1081</v>
      </c>
      <c r="H271">
        <v>3</v>
      </c>
      <c r="I271" t="s">
        <v>487</v>
      </c>
      <c r="J271" t="s">
        <v>3</v>
      </c>
      <c r="K271" t="s">
        <v>488</v>
      </c>
      <c r="L271">
        <v>1354</v>
      </c>
      <c r="N271">
        <v>1010</v>
      </c>
      <c r="O271" t="s">
        <v>251</v>
      </c>
      <c r="P271" t="s">
        <v>251</v>
      </c>
      <c r="Q271">
        <v>1</v>
      </c>
      <c r="X271">
        <v>1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 t="s">
        <v>70</v>
      </c>
      <c r="AG271">
        <v>1</v>
      </c>
      <c r="AH271">
        <v>3</v>
      </c>
      <c r="AI271">
        <v>-1</v>
      </c>
      <c r="AJ271" t="s">
        <v>3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</row>
    <row r="272" spans="1:44" x14ac:dyDescent="0.25">
      <c r="A272">
        <f>ROW(Source!A219)</f>
        <v>219</v>
      </c>
      <c r="B272">
        <v>57014710</v>
      </c>
      <c r="C272">
        <v>57014705</v>
      </c>
      <c r="D272">
        <v>55424304</v>
      </c>
      <c r="E272">
        <v>1081</v>
      </c>
      <c r="F272">
        <v>1</v>
      </c>
      <c r="G272">
        <v>1081</v>
      </c>
      <c r="H272">
        <v>1</v>
      </c>
      <c r="I272" t="s">
        <v>385</v>
      </c>
      <c r="J272" t="s">
        <v>3</v>
      </c>
      <c r="K272" t="s">
        <v>386</v>
      </c>
      <c r="L272">
        <v>1191</v>
      </c>
      <c r="N272">
        <v>1013</v>
      </c>
      <c r="O272" t="s">
        <v>387</v>
      </c>
      <c r="P272" t="s">
        <v>387</v>
      </c>
      <c r="Q272">
        <v>1</v>
      </c>
      <c r="X272">
        <v>2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1</v>
      </c>
      <c r="AE272">
        <v>1</v>
      </c>
      <c r="AF272" t="s">
        <v>71</v>
      </c>
      <c r="AG272">
        <v>2.4</v>
      </c>
      <c r="AH272">
        <v>2</v>
      </c>
      <c r="AI272">
        <v>57014706</v>
      </c>
      <c r="AJ272">
        <v>213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</row>
    <row r="273" spans="1:44" x14ac:dyDescent="0.25">
      <c r="A273">
        <f>ROW(Source!A219)</f>
        <v>219</v>
      </c>
      <c r="B273">
        <v>57014711</v>
      </c>
      <c r="C273">
        <v>57014705</v>
      </c>
      <c r="D273">
        <v>55460240</v>
      </c>
      <c r="E273">
        <v>1</v>
      </c>
      <c r="F273">
        <v>1</v>
      </c>
      <c r="G273">
        <v>1081</v>
      </c>
      <c r="H273">
        <v>3</v>
      </c>
      <c r="I273" t="s">
        <v>424</v>
      </c>
      <c r="J273" t="s">
        <v>425</v>
      </c>
      <c r="K273" t="s">
        <v>426</v>
      </c>
      <c r="L273">
        <v>1348</v>
      </c>
      <c r="N273">
        <v>1009</v>
      </c>
      <c r="O273" t="s">
        <v>361</v>
      </c>
      <c r="P273" t="s">
        <v>361</v>
      </c>
      <c r="Q273">
        <v>1000</v>
      </c>
      <c r="X273">
        <v>1.4999999999999999E-4</v>
      </c>
      <c r="Y273">
        <v>17742.23</v>
      </c>
      <c r="Z273">
        <v>0</v>
      </c>
      <c r="AA273">
        <v>0</v>
      </c>
      <c r="AB273">
        <v>0</v>
      </c>
      <c r="AC273">
        <v>0</v>
      </c>
      <c r="AD273">
        <v>1</v>
      </c>
      <c r="AE273">
        <v>0</v>
      </c>
      <c r="AF273" t="s">
        <v>70</v>
      </c>
      <c r="AG273">
        <v>1.4999999999999999E-4</v>
      </c>
      <c r="AH273">
        <v>2</v>
      </c>
      <c r="AI273">
        <v>57014707</v>
      </c>
      <c r="AJ273">
        <v>214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</row>
    <row r="274" spans="1:44" x14ac:dyDescent="0.25">
      <c r="A274">
        <f>ROW(Source!A219)</f>
        <v>219</v>
      </c>
      <c r="B274">
        <v>57014712</v>
      </c>
      <c r="C274">
        <v>57014705</v>
      </c>
      <c r="D274">
        <v>55482233</v>
      </c>
      <c r="E274">
        <v>1</v>
      </c>
      <c r="F274">
        <v>1</v>
      </c>
      <c r="G274">
        <v>1081</v>
      </c>
      <c r="H274">
        <v>3</v>
      </c>
      <c r="I274" t="s">
        <v>427</v>
      </c>
      <c r="J274" t="s">
        <v>428</v>
      </c>
      <c r="K274" t="s">
        <v>429</v>
      </c>
      <c r="L274">
        <v>1346</v>
      </c>
      <c r="N274">
        <v>1009</v>
      </c>
      <c r="O274" t="s">
        <v>365</v>
      </c>
      <c r="P274" t="s">
        <v>365</v>
      </c>
      <c r="Q274">
        <v>1</v>
      </c>
      <c r="X274">
        <v>1.4999999999999999E-2</v>
      </c>
      <c r="Y274">
        <v>493.08</v>
      </c>
      <c r="Z274">
        <v>0</v>
      </c>
      <c r="AA274">
        <v>0</v>
      </c>
      <c r="AB274">
        <v>0</v>
      </c>
      <c r="AC274">
        <v>0</v>
      </c>
      <c r="AD274">
        <v>1</v>
      </c>
      <c r="AE274">
        <v>0</v>
      </c>
      <c r="AF274" t="s">
        <v>70</v>
      </c>
      <c r="AG274">
        <v>1.4999999999999999E-2</v>
      </c>
      <c r="AH274">
        <v>2</v>
      </c>
      <c r="AI274">
        <v>57014708</v>
      </c>
      <c r="AJ274">
        <v>215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</row>
    <row r="275" spans="1:44" x14ac:dyDescent="0.25">
      <c r="A275">
        <f>ROW(Source!A219)</f>
        <v>219</v>
      </c>
      <c r="B275">
        <v>57014713</v>
      </c>
      <c r="C275">
        <v>57014705</v>
      </c>
      <c r="D275">
        <v>55488138</v>
      </c>
      <c r="E275">
        <v>1</v>
      </c>
      <c r="F275">
        <v>1</v>
      </c>
      <c r="G275">
        <v>1081</v>
      </c>
      <c r="H275">
        <v>3</v>
      </c>
      <c r="I275" t="s">
        <v>430</v>
      </c>
      <c r="J275" t="s">
        <v>431</v>
      </c>
      <c r="K275" t="s">
        <v>432</v>
      </c>
      <c r="L275">
        <v>1303</v>
      </c>
      <c r="N275">
        <v>1003</v>
      </c>
      <c r="O275" t="s">
        <v>433</v>
      </c>
      <c r="P275" t="s">
        <v>433</v>
      </c>
      <c r="Q275">
        <v>1000</v>
      </c>
      <c r="X275">
        <v>5.0000000000000001E-3</v>
      </c>
      <c r="Y275">
        <v>2880.4</v>
      </c>
      <c r="Z275">
        <v>0</v>
      </c>
      <c r="AA275">
        <v>0</v>
      </c>
      <c r="AB275">
        <v>0</v>
      </c>
      <c r="AC275">
        <v>0</v>
      </c>
      <c r="AD275">
        <v>1</v>
      </c>
      <c r="AE275">
        <v>0</v>
      </c>
      <c r="AF275" t="s">
        <v>70</v>
      </c>
      <c r="AG275">
        <v>5.0000000000000001E-3</v>
      </c>
      <c r="AH275">
        <v>2</v>
      </c>
      <c r="AI275">
        <v>57014709</v>
      </c>
      <c r="AJ275">
        <v>216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</row>
    <row r="276" spans="1:44" x14ac:dyDescent="0.25">
      <c r="A276">
        <f>ROW(Source!A219)</f>
        <v>219</v>
      </c>
      <c r="B276">
        <v>57014714</v>
      </c>
      <c r="C276">
        <v>57014705</v>
      </c>
      <c r="D276">
        <v>55455625</v>
      </c>
      <c r="E276">
        <v>1081</v>
      </c>
      <c r="F276">
        <v>1</v>
      </c>
      <c r="G276">
        <v>1081</v>
      </c>
      <c r="H276">
        <v>3</v>
      </c>
      <c r="I276" t="s">
        <v>487</v>
      </c>
      <c r="J276" t="s">
        <v>3</v>
      </c>
      <c r="K276" t="s">
        <v>488</v>
      </c>
      <c r="L276">
        <v>1354</v>
      </c>
      <c r="N276">
        <v>1010</v>
      </c>
      <c r="O276" t="s">
        <v>251</v>
      </c>
      <c r="P276" t="s">
        <v>251</v>
      </c>
      <c r="Q276">
        <v>1</v>
      </c>
      <c r="X276">
        <v>1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 t="s">
        <v>70</v>
      </c>
      <c r="AG276">
        <v>1</v>
      </c>
      <c r="AH276">
        <v>3</v>
      </c>
      <c r="AI276">
        <v>-1</v>
      </c>
      <c r="AJ276" t="s">
        <v>3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</row>
    <row r="277" spans="1:44" x14ac:dyDescent="0.25">
      <c r="A277">
        <f>ROW(Source!A224)</f>
        <v>224</v>
      </c>
      <c r="B277">
        <v>57014719</v>
      </c>
      <c r="C277">
        <v>57014717</v>
      </c>
      <c r="D277">
        <v>55424304</v>
      </c>
      <c r="E277">
        <v>1081</v>
      </c>
      <c r="F277">
        <v>1</v>
      </c>
      <c r="G277">
        <v>1081</v>
      </c>
      <c r="H277">
        <v>1</v>
      </c>
      <c r="I277" t="s">
        <v>385</v>
      </c>
      <c r="J277" t="s">
        <v>3</v>
      </c>
      <c r="K277" t="s">
        <v>386</v>
      </c>
      <c r="L277">
        <v>1191</v>
      </c>
      <c r="N277">
        <v>1013</v>
      </c>
      <c r="O277" t="s">
        <v>387</v>
      </c>
      <c r="P277" t="s">
        <v>387</v>
      </c>
      <c r="Q277">
        <v>1</v>
      </c>
      <c r="X277">
        <v>1.68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1</v>
      </c>
      <c r="AE277">
        <v>1</v>
      </c>
      <c r="AF277" t="s">
        <v>71</v>
      </c>
      <c r="AG277">
        <v>2.016</v>
      </c>
      <c r="AH277">
        <v>2</v>
      </c>
      <c r="AI277">
        <v>57014718</v>
      </c>
      <c r="AJ277">
        <v>217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</row>
    <row r="278" spans="1:44" x14ac:dyDescent="0.25">
      <c r="A278">
        <f>ROW(Source!A225)</f>
        <v>225</v>
      </c>
      <c r="B278">
        <v>57014719</v>
      </c>
      <c r="C278">
        <v>57014717</v>
      </c>
      <c r="D278">
        <v>55424304</v>
      </c>
      <c r="E278">
        <v>1081</v>
      </c>
      <c r="F278">
        <v>1</v>
      </c>
      <c r="G278">
        <v>1081</v>
      </c>
      <c r="H278">
        <v>1</v>
      </c>
      <c r="I278" t="s">
        <v>385</v>
      </c>
      <c r="J278" t="s">
        <v>3</v>
      </c>
      <c r="K278" t="s">
        <v>386</v>
      </c>
      <c r="L278">
        <v>1191</v>
      </c>
      <c r="N278">
        <v>1013</v>
      </c>
      <c r="O278" t="s">
        <v>387</v>
      </c>
      <c r="P278" t="s">
        <v>387</v>
      </c>
      <c r="Q278">
        <v>1</v>
      </c>
      <c r="X278">
        <v>1.68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1</v>
      </c>
      <c r="AE278">
        <v>1</v>
      </c>
      <c r="AF278" t="s">
        <v>71</v>
      </c>
      <c r="AG278">
        <v>2.016</v>
      </c>
      <c r="AH278">
        <v>2</v>
      </c>
      <c r="AI278">
        <v>57014718</v>
      </c>
      <c r="AJ278">
        <v>218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</row>
    <row r="279" spans="1:44" x14ac:dyDescent="0.25">
      <c r="A279">
        <f>ROW(Source!A228)</f>
        <v>228</v>
      </c>
      <c r="B279">
        <v>57014727</v>
      </c>
      <c r="C279">
        <v>57014721</v>
      </c>
      <c r="D279">
        <v>55424304</v>
      </c>
      <c r="E279">
        <v>1081</v>
      </c>
      <c r="F279">
        <v>1</v>
      </c>
      <c r="G279">
        <v>1081</v>
      </c>
      <c r="H279">
        <v>1</v>
      </c>
      <c r="I279" t="s">
        <v>385</v>
      </c>
      <c r="J279" t="s">
        <v>3</v>
      </c>
      <c r="K279" t="s">
        <v>386</v>
      </c>
      <c r="L279">
        <v>1191</v>
      </c>
      <c r="N279">
        <v>1013</v>
      </c>
      <c r="O279" t="s">
        <v>387</v>
      </c>
      <c r="P279" t="s">
        <v>387</v>
      </c>
      <c r="Q279">
        <v>1</v>
      </c>
      <c r="X279">
        <v>24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1</v>
      </c>
      <c r="AE279">
        <v>1</v>
      </c>
      <c r="AF279" t="s">
        <v>71</v>
      </c>
      <c r="AG279">
        <v>28.799999999999997</v>
      </c>
      <c r="AH279">
        <v>2</v>
      </c>
      <c r="AI279">
        <v>57014722</v>
      </c>
      <c r="AJ279">
        <v>219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</row>
    <row r="280" spans="1:44" x14ac:dyDescent="0.25">
      <c r="A280">
        <f>ROW(Source!A228)</f>
        <v>228</v>
      </c>
      <c r="B280">
        <v>57014728</v>
      </c>
      <c r="C280">
        <v>57014721</v>
      </c>
      <c r="D280">
        <v>55459907</v>
      </c>
      <c r="E280">
        <v>1</v>
      </c>
      <c r="F280">
        <v>1</v>
      </c>
      <c r="G280">
        <v>1081</v>
      </c>
      <c r="H280">
        <v>3</v>
      </c>
      <c r="I280" t="s">
        <v>434</v>
      </c>
      <c r="J280" t="s">
        <v>435</v>
      </c>
      <c r="K280" t="s">
        <v>436</v>
      </c>
      <c r="L280">
        <v>1348</v>
      </c>
      <c r="N280">
        <v>1009</v>
      </c>
      <c r="O280" t="s">
        <v>361</v>
      </c>
      <c r="P280" t="s">
        <v>361</v>
      </c>
      <c r="Q280">
        <v>1000</v>
      </c>
      <c r="X280">
        <v>6.0000000000000001E-3</v>
      </c>
      <c r="Y280">
        <v>7246.05</v>
      </c>
      <c r="Z280">
        <v>0</v>
      </c>
      <c r="AA280">
        <v>0</v>
      </c>
      <c r="AB280">
        <v>0</v>
      </c>
      <c r="AC280">
        <v>0</v>
      </c>
      <c r="AD280">
        <v>1</v>
      </c>
      <c r="AE280">
        <v>0</v>
      </c>
      <c r="AF280" t="s">
        <v>70</v>
      </c>
      <c r="AG280">
        <v>6.0000000000000001E-3</v>
      </c>
      <c r="AH280">
        <v>2</v>
      </c>
      <c r="AI280">
        <v>57014723</v>
      </c>
      <c r="AJ280">
        <v>220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</row>
    <row r="281" spans="1:44" x14ac:dyDescent="0.25">
      <c r="A281">
        <f>ROW(Source!A228)</f>
        <v>228</v>
      </c>
      <c r="B281">
        <v>57014729</v>
      </c>
      <c r="C281">
        <v>57014721</v>
      </c>
      <c r="D281">
        <v>55460316</v>
      </c>
      <c r="E281">
        <v>1</v>
      </c>
      <c r="F281">
        <v>1</v>
      </c>
      <c r="G281">
        <v>1081</v>
      </c>
      <c r="H281">
        <v>3</v>
      </c>
      <c r="I281" t="s">
        <v>437</v>
      </c>
      <c r="J281" t="s">
        <v>438</v>
      </c>
      <c r="K281" t="s">
        <v>439</v>
      </c>
      <c r="L281">
        <v>1346</v>
      </c>
      <c r="N281">
        <v>1009</v>
      </c>
      <c r="O281" t="s">
        <v>365</v>
      </c>
      <c r="P281" t="s">
        <v>365</v>
      </c>
      <c r="Q281">
        <v>1</v>
      </c>
      <c r="X281">
        <v>0.2</v>
      </c>
      <c r="Y281">
        <v>104.63</v>
      </c>
      <c r="Z281">
        <v>0</v>
      </c>
      <c r="AA281">
        <v>0</v>
      </c>
      <c r="AB281">
        <v>0</v>
      </c>
      <c r="AC281">
        <v>0</v>
      </c>
      <c r="AD281">
        <v>1</v>
      </c>
      <c r="AE281">
        <v>0</v>
      </c>
      <c r="AF281" t="s">
        <v>70</v>
      </c>
      <c r="AG281">
        <v>0.2</v>
      </c>
      <c r="AH281">
        <v>2</v>
      </c>
      <c r="AI281">
        <v>57014724</v>
      </c>
      <c r="AJ281">
        <v>221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</row>
    <row r="282" spans="1:44" x14ac:dyDescent="0.25">
      <c r="A282">
        <f>ROW(Source!A228)</f>
        <v>228</v>
      </c>
      <c r="B282">
        <v>57014730</v>
      </c>
      <c r="C282">
        <v>57014721</v>
      </c>
      <c r="D282">
        <v>55461791</v>
      </c>
      <c r="E282">
        <v>1</v>
      </c>
      <c r="F282">
        <v>1</v>
      </c>
      <c r="G282">
        <v>1081</v>
      </c>
      <c r="H282">
        <v>3</v>
      </c>
      <c r="I282" t="s">
        <v>440</v>
      </c>
      <c r="J282" t="s">
        <v>441</v>
      </c>
      <c r="K282" t="s">
        <v>442</v>
      </c>
      <c r="L282">
        <v>1355</v>
      </c>
      <c r="N282">
        <v>1010</v>
      </c>
      <c r="O282" t="s">
        <v>64</v>
      </c>
      <c r="P282" t="s">
        <v>64</v>
      </c>
      <c r="Q282">
        <v>100</v>
      </c>
      <c r="X282">
        <v>2</v>
      </c>
      <c r="Y282">
        <v>10.6</v>
      </c>
      <c r="Z282">
        <v>0</v>
      </c>
      <c r="AA282">
        <v>0</v>
      </c>
      <c r="AB282">
        <v>0</v>
      </c>
      <c r="AC282">
        <v>0</v>
      </c>
      <c r="AD282">
        <v>1</v>
      </c>
      <c r="AE282">
        <v>0</v>
      </c>
      <c r="AF282" t="s">
        <v>70</v>
      </c>
      <c r="AG282">
        <v>2</v>
      </c>
      <c r="AH282">
        <v>2</v>
      </c>
      <c r="AI282">
        <v>57014725</v>
      </c>
      <c r="AJ282">
        <v>222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</row>
    <row r="283" spans="1:44" x14ac:dyDescent="0.25">
      <c r="A283">
        <f>ROW(Source!A228)</f>
        <v>228</v>
      </c>
      <c r="B283">
        <v>57014731</v>
      </c>
      <c r="C283">
        <v>57014721</v>
      </c>
      <c r="D283">
        <v>55448278</v>
      </c>
      <c r="E283">
        <v>1081</v>
      </c>
      <c r="F283">
        <v>1</v>
      </c>
      <c r="G283">
        <v>1081</v>
      </c>
      <c r="H283">
        <v>3</v>
      </c>
      <c r="I283" t="s">
        <v>489</v>
      </c>
      <c r="J283" t="s">
        <v>3</v>
      </c>
      <c r="K283" t="s">
        <v>490</v>
      </c>
      <c r="L283">
        <v>1354</v>
      </c>
      <c r="N283">
        <v>1010</v>
      </c>
      <c r="O283" t="s">
        <v>251</v>
      </c>
      <c r="P283" t="s">
        <v>251</v>
      </c>
      <c r="Q283">
        <v>1</v>
      </c>
      <c r="X283">
        <v>100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 t="s">
        <v>70</v>
      </c>
      <c r="AG283">
        <v>100</v>
      </c>
      <c r="AH283">
        <v>3</v>
      </c>
      <c r="AI283">
        <v>-1</v>
      </c>
      <c r="AJ283" t="s">
        <v>3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</row>
    <row r="284" spans="1:44" x14ac:dyDescent="0.25">
      <c r="A284">
        <f>ROW(Source!A228)</f>
        <v>228</v>
      </c>
      <c r="B284">
        <v>57014732</v>
      </c>
      <c r="C284">
        <v>57014721</v>
      </c>
      <c r="D284">
        <v>55424290</v>
      </c>
      <c r="E284">
        <v>1081</v>
      </c>
      <c r="F284">
        <v>1</v>
      </c>
      <c r="G284">
        <v>1081</v>
      </c>
      <c r="H284">
        <v>3</v>
      </c>
      <c r="I284" t="s">
        <v>443</v>
      </c>
      <c r="J284" t="s">
        <v>3</v>
      </c>
      <c r="K284" t="s">
        <v>444</v>
      </c>
      <c r="L284">
        <v>1348</v>
      </c>
      <c r="N284">
        <v>1009</v>
      </c>
      <c r="O284" t="s">
        <v>361</v>
      </c>
      <c r="P284" t="s">
        <v>361</v>
      </c>
      <c r="Q284">
        <v>1000</v>
      </c>
      <c r="X284">
        <v>0.03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1</v>
      </c>
      <c r="AE284">
        <v>0</v>
      </c>
      <c r="AF284" t="s">
        <v>70</v>
      </c>
      <c r="AG284">
        <v>0.03</v>
      </c>
      <c r="AH284">
        <v>2</v>
      </c>
      <c r="AI284">
        <v>57014726</v>
      </c>
      <c r="AJ284">
        <v>223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</row>
    <row r="285" spans="1:44" x14ac:dyDescent="0.25">
      <c r="A285">
        <f>ROW(Source!A229)</f>
        <v>229</v>
      </c>
      <c r="B285">
        <v>57014727</v>
      </c>
      <c r="C285">
        <v>57014721</v>
      </c>
      <c r="D285">
        <v>55424304</v>
      </c>
      <c r="E285">
        <v>1081</v>
      </c>
      <c r="F285">
        <v>1</v>
      </c>
      <c r="G285">
        <v>1081</v>
      </c>
      <c r="H285">
        <v>1</v>
      </c>
      <c r="I285" t="s">
        <v>385</v>
      </c>
      <c r="J285" t="s">
        <v>3</v>
      </c>
      <c r="K285" t="s">
        <v>386</v>
      </c>
      <c r="L285">
        <v>1191</v>
      </c>
      <c r="N285">
        <v>1013</v>
      </c>
      <c r="O285" t="s">
        <v>387</v>
      </c>
      <c r="P285" t="s">
        <v>387</v>
      </c>
      <c r="Q285">
        <v>1</v>
      </c>
      <c r="X285">
        <v>24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1</v>
      </c>
      <c r="AE285">
        <v>1</v>
      </c>
      <c r="AF285" t="s">
        <v>71</v>
      </c>
      <c r="AG285">
        <v>28.799999999999997</v>
      </c>
      <c r="AH285">
        <v>2</v>
      </c>
      <c r="AI285">
        <v>57014722</v>
      </c>
      <c r="AJ285">
        <v>224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</row>
    <row r="286" spans="1:44" x14ac:dyDescent="0.25">
      <c r="A286">
        <f>ROW(Source!A229)</f>
        <v>229</v>
      </c>
      <c r="B286">
        <v>57014728</v>
      </c>
      <c r="C286">
        <v>57014721</v>
      </c>
      <c r="D286">
        <v>55459907</v>
      </c>
      <c r="E286">
        <v>1</v>
      </c>
      <c r="F286">
        <v>1</v>
      </c>
      <c r="G286">
        <v>1081</v>
      </c>
      <c r="H286">
        <v>3</v>
      </c>
      <c r="I286" t="s">
        <v>434</v>
      </c>
      <c r="J286" t="s">
        <v>435</v>
      </c>
      <c r="K286" t="s">
        <v>436</v>
      </c>
      <c r="L286">
        <v>1348</v>
      </c>
      <c r="N286">
        <v>1009</v>
      </c>
      <c r="O286" t="s">
        <v>361</v>
      </c>
      <c r="P286" t="s">
        <v>361</v>
      </c>
      <c r="Q286">
        <v>1000</v>
      </c>
      <c r="X286">
        <v>6.0000000000000001E-3</v>
      </c>
      <c r="Y286">
        <v>7246.05</v>
      </c>
      <c r="Z286">
        <v>0</v>
      </c>
      <c r="AA286">
        <v>0</v>
      </c>
      <c r="AB286">
        <v>0</v>
      </c>
      <c r="AC286">
        <v>0</v>
      </c>
      <c r="AD286">
        <v>1</v>
      </c>
      <c r="AE286">
        <v>0</v>
      </c>
      <c r="AF286" t="s">
        <v>70</v>
      </c>
      <c r="AG286">
        <v>6.0000000000000001E-3</v>
      </c>
      <c r="AH286">
        <v>2</v>
      </c>
      <c r="AI286">
        <v>57014723</v>
      </c>
      <c r="AJ286">
        <v>225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</row>
    <row r="287" spans="1:44" x14ac:dyDescent="0.25">
      <c r="A287">
        <f>ROW(Source!A229)</f>
        <v>229</v>
      </c>
      <c r="B287">
        <v>57014729</v>
      </c>
      <c r="C287">
        <v>57014721</v>
      </c>
      <c r="D287">
        <v>55460316</v>
      </c>
      <c r="E287">
        <v>1</v>
      </c>
      <c r="F287">
        <v>1</v>
      </c>
      <c r="G287">
        <v>1081</v>
      </c>
      <c r="H287">
        <v>3</v>
      </c>
      <c r="I287" t="s">
        <v>437</v>
      </c>
      <c r="J287" t="s">
        <v>438</v>
      </c>
      <c r="K287" t="s">
        <v>439</v>
      </c>
      <c r="L287">
        <v>1346</v>
      </c>
      <c r="N287">
        <v>1009</v>
      </c>
      <c r="O287" t="s">
        <v>365</v>
      </c>
      <c r="P287" t="s">
        <v>365</v>
      </c>
      <c r="Q287">
        <v>1</v>
      </c>
      <c r="X287">
        <v>0.2</v>
      </c>
      <c r="Y287">
        <v>104.63</v>
      </c>
      <c r="Z287">
        <v>0</v>
      </c>
      <c r="AA287">
        <v>0</v>
      </c>
      <c r="AB287">
        <v>0</v>
      </c>
      <c r="AC287">
        <v>0</v>
      </c>
      <c r="AD287">
        <v>1</v>
      </c>
      <c r="AE287">
        <v>0</v>
      </c>
      <c r="AF287" t="s">
        <v>70</v>
      </c>
      <c r="AG287">
        <v>0.2</v>
      </c>
      <c r="AH287">
        <v>2</v>
      </c>
      <c r="AI287">
        <v>57014724</v>
      </c>
      <c r="AJ287">
        <v>226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</row>
    <row r="288" spans="1:44" x14ac:dyDescent="0.25">
      <c r="A288">
        <f>ROW(Source!A229)</f>
        <v>229</v>
      </c>
      <c r="B288">
        <v>57014730</v>
      </c>
      <c r="C288">
        <v>57014721</v>
      </c>
      <c r="D288">
        <v>55461791</v>
      </c>
      <c r="E288">
        <v>1</v>
      </c>
      <c r="F288">
        <v>1</v>
      </c>
      <c r="G288">
        <v>1081</v>
      </c>
      <c r="H288">
        <v>3</v>
      </c>
      <c r="I288" t="s">
        <v>440</v>
      </c>
      <c r="J288" t="s">
        <v>441</v>
      </c>
      <c r="K288" t="s">
        <v>442</v>
      </c>
      <c r="L288">
        <v>1355</v>
      </c>
      <c r="N288">
        <v>1010</v>
      </c>
      <c r="O288" t="s">
        <v>64</v>
      </c>
      <c r="P288" t="s">
        <v>64</v>
      </c>
      <c r="Q288">
        <v>100</v>
      </c>
      <c r="X288">
        <v>2</v>
      </c>
      <c r="Y288">
        <v>10.6</v>
      </c>
      <c r="Z288">
        <v>0</v>
      </c>
      <c r="AA288">
        <v>0</v>
      </c>
      <c r="AB288">
        <v>0</v>
      </c>
      <c r="AC288">
        <v>0</v>
      </c>
      <c r="AD288">
        <v>1</v>
      </c>
      <c r="AE288">
        <v>0</v>
      </c>
      <c r="AF288" t="s">
        <v>70</v>
      </c>
      <c r="AG288">
        <v>2</v>
      </c>
      <c r="AH288">
        <v>2</v>
      </c>
      <c r="AI288">
        <v>57014725</v>
      </c>
      <c r="AJ288">
        <v>227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</row>
    <row r="289" spans="1:44" x14ac:dyDescent="0.25">
      <c r="A289">
        <f>ROW(Source!A229)</f>
        <v>229</v>
      </c>
      <c r="B289">
        <v>57014731</v>
      </c>
      <c r="C289">
        <v>57014721</v>
      </c>
      <c r="D289">
        <v>55448278</v>
      </c>
      <c r="E289">
        <v>1081</v>
      </c>
      <c r="F289">
        <v>1</v>
      </c>
      <c r="G289">
        <v>1081</v>
      </c>
      <c r="H289">
        <v>3</v>
      </c>
      <c r="I289" t="s">
        <v>489</v>
      </c>
      <c r="J289" t="s">
        <v>3</v>
      </c>
      <c r="K289" t="s">
        <v>490</v>
      </c>
      <c r="L289">
        <v>1354</v>
      </c>
      <c r="N289">
        <v>1010</v>
      </c>
      <c r="O289" t="s">
        <v>251</v>
      </c>
      <c r="P289" t="s">
        <v>251</v>
      </c>
      <c r="Q289">
        <v>1</v>
      </c>
      <c r="X289">
        <v>100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 t="s">
        <v>70</v>
      </c>
      <c r="AG289">
        <v>100</v>
      </c>
      <c r="AH289">
        <v>3</v>
      </c>
      <c r="AI289">
        <v>-1</v>
      </c>
      <c r="AJ289" t="s">
        <v>3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</row>
    <row r="290" spans="1:44" x14ac:dyDescent="0.25">
      <c r="A290">
        <f>ROW(Source!A229)</f>
        <v>229</v>
      </c>
      <c r="B290">
        <v>57014732</v>
      </c>
      <c r="C290">
        <v>57014721</v>
      </c>
      <c r="D290">
        <v>55424290</v>
      </c>
      <c r="E290">
        <v>1081</v>
      </c>
      <c r="F290">
        <v>1</v>
      </c>
      <c r="G290">
        <v>1081</v>
      </c>
      <c r="H290">
        <v>3</v>
      </c>
      <c r="I290" t="s">
        <v>443</v>
      </c>
      <c r="J290" t="s">
        <v>3</v>
      </c>
      <c r="K290" t="s">
        <v>444</v>
      </c>
      <c r="L290">
        <v>1348</v>
      </c>
      <c r="N290">
        <v>1009</v>
      </c>
      <c r="O290" t="s">
        <v>361</v>
      </c>
      <c r="P290" t="s">
        <v>361</v>
      </c>
      <c r="Q290">
        <v>1000</v>
      </c>
      <c r="X290">
        <v>0.03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1</v>
      </c>
      <c r="AE290">
        <v>0</v>
      </c>
      <c r="AF290" t="s">
        <v>70</v>
      </c>
      <c r="AG290">
        <v>0.03</v>
      </c>
      <c r="AH290">
        <v>2</v>
      </c>
      <c r="AI290">
        <v>57014726</v>
      </c>
      <c r="AJ290">
        <v>228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</row>
    <row r="291" spans="1:44" x14ac:dyDescent="0.25">
      <c r="A291">
        <f>ROW(Source!A267)</f>
        <v>267</v>
      </c>
      <c r="B291">
        <v>57015396</v>
      </c>
      <c r="C291">
        <v>57014738</v>
      </c>
      <c r="D291">
        <v>55424304</v>
      </c>
      <c r="E291">
        <v>1081</v>
      </c>
      <c r="F291">
        <v>1</v>
      </c>
      <c r="G291">
        <v>1081</v>
      </c>
      <c r="H291">
        <v>1</v>
      </c>
      <c r="I291" t="s">
        <v>385</v>
      </c>
      <c r="J291" t="s">
        <v>3</v>
      </c>
      <c r="K291" t="s">
        <v>386</v>
      </c>
      <c r="L291">
        <v>1191</v>
      </c>
      <c r="N291">
        <v>1013</v>
      </c>
      <c r="O291" t="s">
        <v>387</v>
      </c>
      <c r="P291" t="s">
        <v>387</v>
      </c>
      <c r="Q291">
        <v>1</v>
      </c>
      <c r="X291">
        <v>34.61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1</v>
      </c>
      <c r="AE291">
        <v>1</v>
      </c>
      <c r="AF291" t="s">
        <v>71</v>
      </c>
      <c r="AG291">
        <v>41.531999999999996</v>
      </c>
      <c r="AH291">
        <v>2</v>
      </c>
      <c r="AI291">
        <v>57015396</v>
      </c>
      <c r="AJ291">
        <v>229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</row>
    <row r="292" spans="1:44" x14ac:dyDescent="0.25">
      <c r="A292">
        <f>ROW(Source!A267)</f>
        <v>267</v>
      </c>
      <c r="B292">
        <v>57015397</v>
      </c>
      <c r="C292">
        <v>57014738</v>
      </c>
      <c r="D292">
        <v>55490263</v>
      </c>
      <c r="E292">
        <v>1</v>
      </c>
      <c r="F292">
        <v>1</v>
      </c>
      <c r="G292">
        <v>1081</v>
      </c>
      <c r="H292">
        <v>2</v>
      </c>
      <c r="I292" t="s">
        <v>445</v>
      </c>
      <c r="J292" t="s">
        <v>446</v>
      </c>
      <c r="K292" t="s">
        <v>447</v>
      </c>
      <c r="L292">
        <v>1368</v>
      </c>
      <c r="N292">
        <v>1011</v>
      </c>
      <c r="O292" t="s">
        <v>391</v>
      </c>
      <c r="P292" t="s">
        <v>391</v>
      </c>
      <c r="Q292">
        <v>1</v>
      </c>
      <c r="X292">
        <v>4.87</v>
      </c>
      <c r="Y292">
        <v>0</v>
      </c>
      <c r="Z292">
        <v>0.77</v>
      </c>
      <c r="AA292">
        <v>0</v>
      </c>
      <c r="AB292">
        <v>0</v>
      </c>
      <c r="AC292">
        <v>0</v>
      </c>
      <c r="AD292">
        <v>1</v>
      </c>
      <c r="AE292">
        <v>0</v>
      </c>
      <c r="AF292" t="s">
        <v>71</v>
      </c>
      <c r="AG292">
        <v>5.8440000000000003</v>
      </c>
      <c r="AH292">
        <v>2</v>
      </c>
      <c r="AI292">
        <v>57015397</v>
      </c>
      <c r="AJ292">
        <v>230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</row>
    <row r="293" spans="1:44" x14ac:dyDescent="0.25">
      <c r="A293">
        <f>ROW(Source!A267)</f>
        <v>267</v>
      </c>
      <c r="B293">
        <v>57015398</v>
      </c>
      <c r="C293">
        <v>57014738</v>
      </c>
      <c r="D293">
        <v>55490296</v>
      </c>
      <c r="E293">
        <v>1</v>
      </c>
      <c r="F293">
        <v>1</v>
      </c>
      <c r="G293">
        <v>1081</v>
      </c>
      <c r="H293">
        <v>2</v>
      </c>
      <c r="I293" t="s">
        <v>415</v>
      </c>
      <c r="J293" t="s">
        <v>416</v>
      </c>
      <c r="K293" t="s">
        <v>417</v>
      </c>
      <c r="L293">
        <v>1368</v>
      </c>
      <c r="N293">
        <v>1011</v>
      </c>
      <c r="O293" t="s">
        <v>391</v>
      </c>
      <c r="P293" t="s">
        <v>391</v>
      </c>
      <c r="Q293">
        <v>1</v>
      </c>
      <c r="X293">
        <v>6.89</v>
      </c>
      <c r="Y293">
        <v>0</v>
      </c>
      <c r="Z293">
        <v>0.47</v>
      </c>
      <c r="AA293">
        <v>0</v>
      </c>
      <c r="AB293">
        <v>0</v>
      </c>
      <c r="AC293">
        <v>0</v>
      </c>
      <c r="AD293">
        <v>1</v>
      </c>
      <c r="AE293">
        <v>0</v>
      </c>
      <c r="AF293" t="s">
        <v>71</v>
      </c>
      <c r="AG293">
        <v>8.2679999999999989</v>
      </c>
      <c r="AH293">
        <v>2</v>
      </c>
      <c r="AI293">
        <v>57015398</v>
      </c>
      <c r="AJ293">
        <v>231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</row>
    <row r="294" spans="1:44" x14ac:dyDescent="0.25">
      <c r="A294">
        <f>ROW(Source!A267)</f>
        <v>267</v>
      </c>
      <c r="B294">
        <v>57015399</v>
      </c>
      <c r="C294">
        <v>57014738</v>
      </c>
      <c r="D294">
        <v>55482203</v>
      </c>
      <c r="E294">
        <v>1</v>
      </c>
      <c r="F294">
        <v>1</v>
      </c>
      <c r="G294">
        <v>1081</v>
      </c>
      <c r="H294">
        <v>3</v>
      </c>
      <c r="I294" t="s">
        <v>448</v>
      </c>
      <c r="J294" t="s">
        <v>449</v>
      </c>
      <c r="K294" t="s">
        <v>450</v>
      </c>
      <c r="L294">
        <v>1356</v>
      </c>
      <c r="N294">
        <v>1010</v>
      </c>
      <c r="O294" t="s">
        <v>451</v>
      </c>
      <c r="P294" t="s">
        <v>451</v>
      </c>
      <c r="Q294">
        <v>1000</v>
      </c>
      <c r="X294">
        <v>3.1E-2</v>
      </c>
      <c r="Y294">
        <v>226.66</v>
      </c>
      <c r="Z294">
        <v>0</v>
      </c>
      <c r="AA294">
        <v>0</v>
      </c>
      <c r="AB294">
        <v>0</v>
      </c>
      <c r="AC294">
        <v>0</v>
      </c>
      <c r="AD294">
        <v>1</v>
      </c>
      <c r="AE294">
        <v>0</v>
      </c>
      <c r="AF294" t="s">
        <v>70</v>
      </c>
      <c r="AG294">
        <v>3.1E-2</v>
      </c>
      <c r="AH294">
        <v>2</v>
      </c>
      <c r="AI294">
        <v>57015399</v>
      </c>
      <c r="AJ294">
        <v>232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</row>
    <row r="295" spans="1:44" x14ac:dyDescent="0.25">
      <c r="A295">
        <f>ROW(Source!A267)</f>
        <v>267</v>
      </c>
      <c r="B295">
        <v>57015400</v>
      </c>
      <c r="C295">
        <v>57014738</v>
      </c>
      <c r="D295">
        <v>55481977</v>
      </c>
      <c r="E295">
        <v>1</v>
      </c>
      <c r="F295">
        <v>1</v>
      </c>
      <c r="G295">
        <v>1081</v>
      </c>
      <c r="H295">
        <v>3</v>
      </c>
      <c r="I295" t="s">
        <v>452</v>
      </c>
      <c r="J295" t="s">
        <v>453</v>
      </c>
      <c r="K295" t="s">
        <v>454</v>
      </c>
      <c r="L295">
        <v>1355</v>
      </c>
      <c r="N295">
        <v>1010</v>
      </c>
      <c r="O295" t="s">
        <v>64</v>
      </c>
      <c r="P295" t="s">
        <v>64</v>
      </c>
      <c r="Q295">
        <v>100</v>
      </c>
      <c r="X295">
        <v>0.315</v>
      </c>
      <c r="Y295">
        <v>26.71</v>
      </c>
      <c r="Z295">
        <v>0</v>
      </c>
      <c r="AA295">
        <v>0</v>
      </c>
      <c r="AB295">
        <v>0</v>
      </c>
      <c r="AC295">
        <v>0</v>
      </c>
      <c r="AD295">
        <v>1</v>
      </c>
      <c r="AE295">
        <v>0</v>
      </c>
      <c r="AF295" t="s">
        <v>70</v>
      </c>
      <c r="AG295">
        <v>0.315</v>
      </c>
      <c r="AH295">
        <v>2</v>
      </c>
      <c r="AI295">
        <v>57015400</v>
      </c>
      <c r="AJ295">
        <v>233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</row>
    <row r="296" spans="1:44" x14ac:dyDescent="0.25">
      <c r="A296">
        <f>ROW(Source!A267)</f>
        <v>267</v>
      </c>
      <c r="B296">
        <v>57015401</v>
      </c>
      <c r="C296">
        <v>57014738</v>
      </c>
      <c r="D296">
        <v>55469263</v>
      </c>
      <c r="E296">
        <v>1</v>
      </c>
      <c r="F296">
        <v>1</v>
      </c>
      <c r="G296">
        <v>1081</v>
      </c>
      <c r="H296">
        <v>3</v>
      </c>
      <c r="I296" t="s">
        <v>455</v>
      </c>
      <c r="J296" t="s">
        <v>456</v>
      </c>
      <c r="K296" t="s">
        <v>457</v>
      </c>
      <c r="L296">
        <v>1354</v>
      </c>
      <c r="N296">
        <v>1010</v>
      </c>
      <c r="O296" t="s">
        <v>251</v>
      </c>
      <c r="P296" t="s">
        <v>251</v>
      </c>
      <c r="Q296">
        <v>1</v>
      </c>
      <c r="X296">
        <v>0.55900000000000005</v>
      </c>
      <c r="Y296">
        <v>14.22</v>
      </c>
      <c r="Z296">
        <v>0</v>
      </c>
      <c r="AA296">
        <v>0</v>
      </c>
      <c r="AB296">
        <v>0</v>
      </c>
      <c r="AC296">
        <v>0</v>
      </c>
      <c r="AD296">
        <v>1</v>
      </c>
      <c r="AE296">
        <v>0</v>
      </c>
      <c r="AF296" t="s">
        <v>70</v>
      </c>
      <c r="AG296">
        <v>0.55900000000000005</v>
      </c>
      <c r="AH296">
        <v>2</v>
      </c>
      <c r="AI296">
        <v>57015401</v>
      </c>
      <c r="AJ296">
        <v>234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</row>
    <row r="297" spans="1:44" x14ac:dyDescent="0.25">
      <c r="A297">
        <f>ROW(Source!A267)</f>
        <v>267</v>
      </c>
      <c r="B297">
        <v>57015402</v>
      </c>
      <c r="C297">
        <v>57014738</v>
      </c>
      <c r="D297">
        <v>55428305</v>
      </c>
      <c r="E297">
        <v>1081</v>
      </c>
      <c r="F297">
        <v>1</v>
      </c>
      <c r="G297">
        <v>1081</v>
      </c>
      <c r="H297">
        <v>3</v>
      </c>
      <c r="I297" t="s">
        <v>491</v>
      </c>
      <c r="J297" t="s">
        <v>3</v>
      </c>
      <c r="K297" t="s">
        <v>492</v>
      </c>
      <c r="L297">
        <v>1301</v>
      </c>
      <c r="N297">
        <v>1003</v>
      </c>
      <c r="O297" t="s">
        <v>320</v>
      </c>
      <c r="P297" t="s">
        <v>320</v>
      </c>
      <c r="Q297">
        <v>1</v>
      </c>
      <c r="X297">
        <v>102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 t="s">
        <v>70</v>
      </c>
      <c r="AG297">
        <v>102</v>
      </c>
      <c r="AH297">
        <v>3</v>
      </c>
      <c r="AI297">
        <v>-1</v>
      </c>
      <c r="AJ297" t="s">
        <v>3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</row>
    <row r="298" spans="1:44" x14ac:dyDescent="0.25">
      <c r="A298">
        <f>ROW(Source!A267)</f>
        <v>267</v>
      </c>
      <c r="B298">
        <v>57015403</v>
      </c>
      <c r="C298">
        <v>57014738</v>
      </c>
      <c r="D298">
        <v>55433560</v>
      </c>
      <c r="E298">
        <v>1081</v>
      </c>
      <c r="F298">
        <v>1</v>
      </c>
      <c r="G298">
        <v>1081</v>
      </c>
      <c r="H298">
        <v>3</v>
      </c>
      <c r="I298" t="s">
        <v>493</v>
      </c>
      <c r="J298" t="s">
        <v>3</v>
      </c>
      <c r="K298" t="s">
        <v>494</v>
      </c>
      <c r="L298">
        <v>1356</v>
      </c>
      <c r="N298">
        <v>1010</v>
      </c>
      <c r="O298" t="s">
        <v>451</v>
      </c>
      <c r="P298" t="s">
        <v>451</v>
      </c>
      <c r="Q298">
        <v>1000</v>
      </c>
      <c r="X298">
        <v>0.23799999999999999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 t="s">
        <v>70</v>
      </c>
      <c r="AG298">
        <v>0.23799999999999999</v>
      </c>
      <c r="AH298">
        <v>3</v>
      </c>
      <c r="AI298">
        <v>-1</v>
      </c>
      <c r="AJ298" t="s">
        <v>3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</row>
    <row r="299" spans="1:44" x14ac:dyDescent="0.25">
      <c r="A299">
        <f>ROW(Source!A267)</f>
        <v>267</v>
      </c>
      <c r="B299">
        <v>57015404</v>
      </c>
      <c r="C299">
        <v>57014738</v>
      </c>
      <c r="D299">
        <v>55438947</v>
      </c>
      <c r="E299">
        <v>1081</v>
      </c>
      <c r="F299">
        <v>1</v>
      </c>
      <c r="G299">
        <v>1081</v>
      </c>
      <c r="H299">
        <v>3</v>
      </c>
      <c r="I299" t="s">
        <v>495</v>
      </c>
      <c r="J299" t="s">
        <v>3</v>
      </c>
      <c r="K299" t="s">
        <v>496</v>
      </c>
      <c r="L299">
        <v>1303</v>
      </c>
      <c r="N299">
        <v>1003</v>
      </c>
      <c r="O299" t="s">
        <v>433</v>
      </c>
      <c r="P299" t="s">
        <v>433</v>
      </c>
      <c r="Q299">
        <v>1000</v>
      </c>
      <c r="X299">
        <v>0.10199999999999999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 t="s">
        <v>70</v>
      </c>
      <c r="AG299">
        <v>0.10199999999999999</v>
      </c>
      <c r="AH299">
        <v>3</v>
      </c>
      <c r="AI299">
        <v>-1</v>
      </c>
      <c r="AJ299" t="s">
        <v>3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</row>
    <row r="300" spans="1:44" x14ac:dyDescent="0.25">
      <c r="A300">
        <f>ROW(Source!A267)</f>
        <v>267</v>
      </c>
      <c r="B300">
        <v>57015405</v>
      </c>
      <c r="C300">
        <v>57014738</v>
      </c>
      <c r="D300">
        <v>55447804</v>
      </c>
      <c r="E300">
        <v>1081</v>
      </c>
      <c r="F300">
        <v>1</v>
      </c>
      <c r="G300">
        <v>1081</v>
      </c>
      <c r="H300">
        <v>3</v>
      </c>
      <c r="I300" t="s">
        <v>497</v>
      </c>
      <c r="J300" t="s">
        <v>3</v>
      </c>
      <c r="K300" t="s">
        <v>498</v>
      </c>
      <c r="L300">
        <v>1355</v>
      </c>
      <c r="N300">
        <v>1010</v>
      </c>
      <c r="O300" t="s">
        <v>64</v>
      </c>
      <c r="P300" t="s">
        <v>64</v>
      </c>
      <c r="Q300">
        <v>100</v>
      </c>
      <c r="X300">
        <v>4.71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 t="s">
        <v>70</v>
      </c>
      <c r="AG300">
        <v>4.71</v>
      </c>
      <c r="AH300">
        <v>3</v>
      </c>
      <c r="AI300">
        <v>-1</v>
      </c>
      <c r="AJ300" t="s">
        <v>3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</row>
    <row r="301" spans="1:44" x14ac:dyDescent="0.25">
      <c r="A301">
        <f>ROW(Source!A268)</f>
        <v>268</v>
      </c>
      <c r="B301">
        <v>57015396</v>
      </c>
      <c r="C301">
        <v>57014738</v>
      </c>
      <c r="D301">
        <v>55424304</v>
      </c>
      <c r="E301">
        <v>1081</v>
      </c>
      <c r="F301">
        <v>1</v>
      </c>
      <c r="G301">
        <v>1081</v>
      </c>
      <c r="H301">
        <v>1</v>
      </c>
      <c r="I301" t="s">
        <v>385</v>
      </c>
      <c r="J301" t="s">
        <v>3</v>
      </c>
      <c r="K301" t="s">
        <v>386</v>
      </c>
      <c r="L301">
        <v>1191</v>
      </c>
      <c r="N301">
        <v>1013</v>
      </c>
      <c r="O301" t="s">
        <v>387</v>
      </c>
      <c r="P301" t="s">
        <v>387</v>
      </c>
      <c r="Q301">
        <v>1</v>
      </c>
      <c r="X301">
        <v>34.61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1</v>
      </c>
      <c r="AE301">
        <v>1</v>
      </c>
      <c r="AF301" t="s">
        <v>71</v>
      </c>
      <c r="AG301">
        <v>41.531999999999996</v>
      </c>
      <c r="AH301">
        <v>2</v>
      </c>
      <c r="AI301">
        <v>57015396</v>
      </c>
      <c r="AJ301">
        <v>235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</row>
    <row r="302" spans="1:44" x14ac:dyDescent="0.25">
      <c r="A302">
        <f>ROW(Source!A268)</f>
        <v>268</v>
      </c>
      <c r="B302">
        <v>57015397</v>
      </c>
      <c r="C302">
        <v>57014738</v>
      </c>
      <c r="D302">
        <v>55490263</v>
      </c>
      <c r="E302">
        <v>1</v>
      </c>
      <c r="F302">
        <v>1</v>
      </c>
      <c r="G302">
        <v>1081</v>
      </c>
      <c r="H302">
        <v>2</v>
      </c>
      <c r="I302" t="s">
        <v>445</v>
      </c>
      <c r="J302" t="s">
        <v>446</v>
      </c>
      <c r="K302" t="s">
        <v>447</v>
      </c>
      <c r="L302">
        <v>1368</v>
      </c>
      <c r="N302">
        <v>1011</v>
      </c>
      <c r="O302" t="s">
        <v>391</v>
      </c>
      <c r="P302" t="s">
        <v>391</v>
      </c>
      <c r="Q302">
        <v>1</v>
      </c>
      <c r="X302">
        <v>4.87</v>
      </c>
      <c r="Y302">
        <v>0</v>
      </c>
      <c r="Z302">
        <v>0.77</v>
      </c>
      <c r="AA302">
        <v>0</v>
      </c>
      <c r="AB302">
        <v>0</v>
      </c>
      <c r="AC302">
        <v>0</v>
      </c>
      <c r="AD302">
        <v>1</v>
      </c>
      <c r="AE302">
        <v>0</v>
      </c>
      <c r="AF302" t="s">
        <v>71</v>
      </c>
      <c r="AG302">
        <v>5.8440000000000003</v>
      </c>
      <c r="AH302">
        <v>2</v>
      </c>
      <c r="AI302">
        <v>57015397</v>
      </c>
      <c r="AJ302">
        <v>236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</row>
    <row r="303" spans="1:44" x14ac:dyDescent="0.25">
      <c r="A303">
        <f>ROW(Source!A268)</f>
        <v>268</v>
      </c>
      <c r="B303">
        <v>57015398</v>
      </c>
      <c r="C303">
        <v>57014738</v>
      </c>
      <c r="D303">
        <v>55490296</v>
      </c>
      <c r="E303">
        <v>1</v>
      </c>
      <c r="F303">
        <v>1</v>
      </c>
      <c r="G303">
        <v>1081</v>
      </c>
      <c r="H303">
        <v>2</v>
      </c>
      <c r="I303" t="s">
        <v>415</v>
      </c>
      <c r="J303" t="s">
        <v>416</v>
      </c>
      <c r="K303" t="s">
        <v>417</v>
      </c>
      <c r="L303">
        <v>1368</v>
      </c>
      <c r="N303">
        <v>1011</v>
      </c>
      <c r="O303" t="s">
        <v>391</v>
      </c>
      <c r="P303" t="s">
        <v>391</v>
      </c>
      <c r="Q303">
        <v>1</v>
      </c>
      <c r="X303">
        <v>6.89</v>
      </c>
      <c r="Y303">
        <v>0</v>
      </c>
      <c r="Z303">
        <v>0.47</v>
      </c>
      <c r="AA303">
        <v>0</v>
      </c>
      <c r="AB303">
        <v>0</v>
      </c>
      <c r="AC303">
        <v>0</v>
      </c>
      <c r="AD303">
        <v>1</v>
      </c>
      <c r="AE303">
        <v>0</v>
      </c>
      <c r="AF303" t="s">
        <v>71</v>
      </c>
      <c r="AG303">
        <v>8.2679999999999989</v>
      </c>
      <c r="AH303">
        <v>2</v>
      </c>
      <c r="AI303">
        <v>57015398</v>
      </c>
      <c r="AJ303">
        <v>237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</row>
    <row r="304" spans="1:44" x14ac:dyDescent="0.25">
      <c r="A304">
        <f>ROW(Source!A268)</f>
        <v>268</v>
      </c>
      <c r="B304">
        <v>57015399</v>
      </c>
      <c r="C304">
        <v>57014738</v>
      </c>
      <c r="D304">
        <v>55482203</v>
      </c>
      <c r="E304">
        <v>1</v>
      </c>
      <c r="F304">
        <v>1</v>
      </c>
      <c r="G304">
        <v>1081</v>
      </c>
      <c r="H304">
        <v>3</v>
      </c>
      <c r="I304" t="s">
        <v>448</v>
      </c>
      <c r="J304" t="s">
        <v>449</v>
      </c>
      <c r="K304" t="s">
        <v>450</v>
      </c>
      <c r="L304">
        <v>1356</v>
      </c>
      <c r="N304">
        <v>1010</v>
      </c>
      <c r="O304" t="s">
        <v>451</v>
      </c>
      <c r="P304" t="s">
        <v>451</v>
      </c>
      <c r="Q304">
        <v>1000</v>
      </c>
      <c r="X304">
        <v>3.1E-2</v>
      </c>
      <c r="Y304">
        <v>226.66</v>
      </c>
      <c r="Z304">
        <v>0</v>
      </c>
      <c r="AA304">
        <v>0</v>
      </c>
      <c r="AB304">
        <v>0</v>
      </c>
      <c r="AC304">
        <v>0</v>
      </c>
      <c r="AD304">
        <v>1</v>
      </c>
      <c r="AE304">
        <v>0</v>
      </c>
      <c r="AF304" t="s">
        <v>70</v>
      </c>
      <c r="AG304">
        <v>3.1E-2</v>
      </c>
      <c r="AH304">
        <v>2</v>
      </c>
      <c r="AI304">
        <v>57015399</v>
      </c>
      <c r="AJ304">
        <v>238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</row>
    <row r="305" spans="1:44" x14ac:dyDescent="0.25">
      <c r="A305">
        <f>ROW(Source!A268)</f>
        <v>268</v>
      </c>
      <c r="B305">
        <v>57015400</v>
      </c>
      <c r="C305">
        <v>57014738</v>
      </c>
      <c r="D305">
        <v>55481977</v>
      </c>
      <c r="E305">
        <v>1</v>
      </c>
      <c r="F305">
        <v>1</v>
      </c>
      <c r="G305">
        <v>1081</v>
      </c>
      <c r="H305">
        <v>3</v>
      </c>
      <c r="I305" t="s">
        <v>452</v>
      </c>
      <c r="J305" t="s">
        <v>453</v>
      </c>
      <c r="K305" t="s">
        <v>454</v>
      </c>
      <c r="L305">
        <v>1355</v>
      </c>
      <c r="N305">
        <v>1010</v>
      </c>
      <c r="O305" t="s">
        <v>64</v>
      </c>
      <c r="P305" t="s">
        <v>64</v>
      </c>
      <c r="Q305">
        <v>100</v>
      </c>
      <c r="X305">
        <v>0.315</v>
      </c>
      <c r="Y305">
        <v>26.71</v>
      </c>
      <c r="Z305">
        <v>0</v>
      </c>
      <c r="AA305">
        <v>0</v>
      </c>
      <c r="AB305">
        <v>0</v>
      </c>
      <c r="AC305">
        <v>0</v>
      </c>
      <c r="AD305">
        <v>1</v>
      </c>
      <c r="AE305">
        <v>0</v>
      </c>
      <c r="AF305" t="s">
        <v>70</v>
      </c>
      <c r="AG305">
        <v>0.315</v>
      </c>
      <c r="AH305">
        <v>2</v>
      </c>
      <c r="AI305">
        <v>57015400</v>
      </c>
      <c r="AJ305">
        <v>239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</row>
    <row r="306" spans="1:44" x14ac:dyDescent="0.25">
      <c r="A306">
        <f>ROW(Source!A268)</f>
        <v>268</v>
      </c>
      <c r="B306">
        <v>57015401</v>
      </c>
      <c r="C306">
        <v>57014738</v>
      </c>
      <c r="D306">
        <v>55469263</v>
      </c>
      <c r="E306">
        <v>1</v>
      </c>
      <c r="F306">
        <v>1</v>
      </c>
      <c r="G306">
        <v>1081</v>
      </c>
      <c r="H306">
        <v>3</v>
      </c>
      <c r="I306" t="s">
        <v>455</v>
      </c>
      <c r="J306" t="s">
        <v>456</v>
      </c>
      <c r="K306" t="s">
        <v>457</v>
      </c>
      <c r="L306">
        <v>1354</v>
      </c>
      <c r="N306">
        <v>1010</v>
      </c>
      <c r="O306" t="s">
        <v>251</v>
      </c>
      <c r="P306" t="s">
        <v>251</v>
      </c>
      <c r="Q306">
        <v>1</v>
      </c>
      <c r="X306">
        <v>0.55900000000000005</v>
      </c>
      <c r="Y306">
        <v>14.22</v>
      </c>
      <c r="Z306">
        <v>0</v>
      </c>
      <c r="AA306">
        <v>0</v>
      </c>
      <c r="AB306">
        <v>0</v>
      </c>
      <c r="AC306">
        <v>0</v>
      </c>
      <c r="AD306">
        <v>1</v>
      </c>
      <c r="AE306">
        <v>0</v>
      </c>
      <c r="AF306" t="s">
        <v>70</v>
      </c>
      <c r="AG306">
        <v>0.55900000000000005</v>
      </c>
      <c r="AH306">
        <v>2</v>
      </c>
      <c r="AI306">
        <v>57015401</v>
      </c>
      <c r="AJ306">
        <v>240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</row>
    <row r="307" spans="1:44" x14ac:dyDescent="0.25">
      <c r="A307">
        <f>ROW(Source!A268)</f>
        <v>268</v>
      </c>
      <c r="B307">
        <v>57015402</v>
      </c>
      <c r="C307">
        <v>57014738</v>
      </c>
      <c r="D307">
        <v>55428305</v>
      </c>
      <c r="E307">
        <v>1081</v>
      </c>
      <c r="F307">
        <v>1</v>
      </c>
      <c r="G307">
        <v>1081</v>
      </c>
      <c r="H307">
        <v>3</v>
      </c>
      <c r="I307" t="s">
        <v>491</v>
      </c>
      <c r="J307" t="s">
        <v>3</v>
      </c>
      <c r="K307" t="s">
        <v>492</v>
      </c>
      <c r="L307">
        <v>1301</v>
      </c>
      <c r="N307">
        <v>1003</v>
      </c>
      <c r="O307" t="s">
        <v>320</v>
      </c>
      <c r="P307" t="s">
        <v>320</v>
      </c>
      <c r="Q307">
        <v>1</v>
      </c>
      <c r="X307">
        <v>102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 t="s">
        <v>70</v>
      </c>
      <c r="AG307">
        <v>102</v>
      </c>
      <c r="AH307">
        <v>3</v>
      </c>
      <c r="AI307">
        <v>-1</v>
      </c>
      <c r="AJ307" t="s">
        <v>3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</row>
    <row r="308" spans="1:44" x14ac:dyDescent="0.25">
      <c r="A308">
        <f>ROW(Source!A268)</f>
        <v>268</v>
      </c>
      <c r="B308">
        <v>57015403</v>
      </c>
      <c r="C308">
        <v>57014738</v>
      </c>
      <c r="D308">
        <v>55433560</v>
      </c>
      <c r="E308">
        <v>1081</v>
      </c>
      <c r="F308">
        <v>1</v>
      </c>
      <c r="G308">
        <v>1081</v>
      </c>
      <c r="H308">
        <v>3</v>
      </c>
      <c r="I308" t="s">
        <v>493</v>
      </c>
      <c r="J308" t="s">
        <v>3</v>
      </c>
      <c r="K308" t="s">
        <v>494</v>
      </c>
      <c r="L308">
        <v>1356</v>
      </c>
      <c r="N308">
        <v>1010</v>
      </c>
      <c r="O308" t="s">
        <v>451</v>
      </c>
      <c r="P308" t="s">
        <v>451</v>
      </c>
      <c r="Q308">
        <v>1000</v>
      </c>
      <c r="X308">
        <v>0.23799999999999999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 t="s">
        <v>70</v>
      </c>
      <c r="AG308">
        <v>0.23799999999999999</v>
      </c>
      <c r="AH308">
        <v>3</v>
      </c>
      <c r="AI308">
        <v>-1</v>
      </c>
      <c r="AJ308" t="s">
        <v>3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</row>
    <row r="309" spans="1:44" x14ac:dyDescent="0.25">
      <c r="A309">
        <f>ROW(Source!A268)</f>
        <v>268</v>
      </c>
      <c r="B309">
        <v>57015404</v>
      </c>
      <c r="C309">
        <v>57014738</v>
      </c>
      <c r="D309">
        <v>55438947</v>
      </c>
      <c r="E309">
        <v>1081</v>
      </c>
      <c r="F309">
        <v>1</v>
      </c>
      <c r="G309">
        <v>1081</v>
      </c>
      <c r="H309">
        <v>3</v>
      </c>
      <c r="I309" t="s">
        <v>495</v>
      </c>
      <c r="J309" t="s">
        <v>3</v>
      </c>
      <c r="K309" t="s">
        <v>496</v>
      </c>
      <c r="L309">
        <v>1303</v>
      </c>
      <c r="N309">
        <v>1003</v>
      </c>
      <c r="O309" t="s">
        <v>433</v>
      </c>
      <c r="P309" t="s">
        <v>433</v>
      </c>
      <c r="Q309">
        <v>1000</v>
      </c>
      <c r="X309">
        <v>0.10199999999999999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 t="s">
        <v>70</v>
      </c>
      <c r="AG309">
        <v>0.10199999999999999</v>
      </c>
      <c r="AH309">
        <v>3</v>
      </c>
      <c r="AI309">
        <v>-1</v>
      </c>
      <c r="AJ309" t="s">
        <v>3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</row>
    <row r="310" spans="1:44" x14ac:dyDescent="0.25">
      <c r="A310">
        <f>ROW(Source!A268)</f>
        <v>268</v>
      </c>
      <c r="B310">
        <v>57015405</v>
      </c>
      <c r="C310">
        <v>57014738</v>
      </c>
      <c r="D310">
        <v>55447804</v>
      </c>
      <c r="E310">
        <v>1081</v>
      </c>
      <c r="F310">
        <v>1</v>
      </c>
      <c r="G310">
        <v>1081</v>
      </c>
      <c r="H310">
        <v>3</v>
      </c>
      <c r="I310" t="s">
        <v>497</v>
      </c>
      <c r="J310" t="s">
        <v>3</v>
      </c>
      <c r="K310" t="s">
        <v>498</v>
      </c>
      <c r="L310">
        <v>1355</v>
      </c>
      <c r="N310">
        <v>1010</v>
      </c>
      <c r="O310" t="s">
        <v>64</v>
      </c>
      <c r="P310" t="s">
        <v>64</v>
      </c>
      <c r="Q310">
        <v>100</v>
      </c>
      <c r="X310">
        <v>4.71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 t="s">
        <v>70</v>
      </c>
      <c r="AG310">
        <v>4.71</v>
      </c>
      <c r="AH310">
        <v>3</v>
      </c>
      <c r="AI310">
        <v>-1</v>
      </c>
      <c r="AJ310" t="s">
        <v>3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</row>
    <row r="311" spans="1:44" x14ac:dyDescent="0.25">
      <c r="A311">
        <f>ROW(Source!A314)</f>
        <v>314</v>
      </c>
      <c r="B311">
        <v>57015383</v>
      </c>
      <c r="C311">
        <v>57015382</v>
      </c>
      <c r="D311">
        <v>55424304</v>
      </c>
      <c r="E311">
        <v>1081</v>
      </c>
      <c r="F311">
        <v>1</v>
      </c>
      <c r="G311">
        <v>1081</v>
      </c>
      <c r="H311">
        <v>1</v>
      </c>
      <c r="I311" t="s">
        <v>385</v>
      </c>
      <c r="J311" t="s">
        <v>3</v>
      </c>
      <c r="K311" t="s">
        <v>386</v>
      </c>
      <c r="L311">
        <v>1191</v>
      </c>
      <c r="N311">
        <v>1013</v>
      </c>
      <c r="O311" t="s">
        <v>387</v>
      </c>
      <c r="P311" t="s">
        <v>387</v>
      </c>
      <c r="Q311">
        <v>1</v>
      </c>
      <c r="X311">
        <v>0.35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1</v>
      </c>
      <c r="AE311">
        <v>1</v>
      </c>
      <c r="AF311" t="s">
        <v>71</v>
      </c>
      <c r="AG311">
        <v>0.42</v>
      </c>
      <c r="AH311">
        <v>2</v>
      </c>
      <c r="AI311">
        <v>57015383</v>
      </c>
      <c r="AJ311">
        <v>241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</row>
    <row r="312" spans="1:44" x14ac:dyDescent="0.25">
      <c r="A312">
        <f>ROW(Source!A315)</f>
        <v>315</v>
      </c>
      <c r="B312">
        <v>57015383</v>
      </c>
      <c r="C312">
        <v>57015382</v>
      </c>
      <c r="D312">
        <v>55424304</v>
      </c>
      <c r="E312">
        <v>1081</v>
      </c>
      <c r="F312">
        <v>1</v>
      </c>
      <c r="G312">
        <v>1081</v>
      </c>
      <c r="H312">
        <v>1</v>
      </c>
      <c r="I312" t="s">
        <v>385</v>
      </c>
      <c r="J312" t="s">
        <v>3</v>
      </c>
      <c r="K312" t="s">
        <v>386</v>
      </c>
      <c r="L312">
        <v>1191</v>
      </c>
      <c r="N312">
        <v>1013</v>
      </c>
      <c r="O312" t="s">
        <v>387</v>
      </c>
      <c r="P312" t="s">
        <v>387</v>
      </c>
      <c r="Q312">
        <v>1</v>
      </c>
      <c r="X312">
        <v>0.35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1</v>
      </c>
      <c r="AE312">
        <v>1</v>
      </c>
      <c r="AF312" t="s">
        <v>71</v>
      </c>
      <c r="AG312">
        <v>0.42</v>
      </c>
      <c r="AH312">
        <v>2</v>
      </c>
      <c r="AI312">
        <v>57015383</v>
      </c>
      <c r="AJ312">
        <v>242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</row>
    <row r="313" spans="1:44" x14ac:dyDescent="0.25">
      <c r="A313">
        <f>ROW(Source!A322)</f>
        <v>322</v>
      </c>
      <c r="B313">
        <v>57014812</v>
      </c>
      <c r="C313">
        <v>57014810</v>
      </c>
      <c r="D313">
        <v>55424304</v>
      </c>
      <c r="E313">
        <v>1081</v>
      </c>
      <c r="F313">
        <v>1</v>
      </c>
      <c r="G313">
        <v>1081</v>
      </c>
      <c r="H313">
        <v>1</v>
      </c>
      <c r="I313" t="s">
        <v>385</v>
      </c>
      <c r="J313" t="s">
        <v>3</v>
      </c>
      <c r="K313" t="s">
        <v>386</v>
      </c>
      <c r="L313">
        <v>1191</v>
      </c>
      <c r="N313">
        <v>1013</v>
      </c>
      <c r="O313" t="s">
        <v>387</v>
      </c>
      <c r="P313" t="s">
        <v>387</v>
      </c>
      <c r="Q313">
        <v>1</v>
      </c>
      <c r="X313">
        <v>1.26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1</v>
      </c>
      <c r="AE313">
        <v>1</v>
      </c>
      <c r="AF313" t="s">
        <v>71</v>
      </c>
      <c r="AG313">
        <v>1.512</v>
      </c>
      <c r="AH313">
        <v>2</v>
      </c>
      <c r="AI313">
        <v>57014811</v>
      </c>
      <c r="AJ313">
        <v>243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</row>
    <row r="314" spans="1:44" x14ac:dyDescent="0.25">
      <c r="A314">
        <f>ROW(Source!A322)</f>
        <v>322</v>
      </c>
      <c r="B314">
        <v>57014813</v>
      </c>
      <c r="C314">
        <v>57014810</v>
      </c>
      <c r="D314">
        <v>55465987</v>
      </c>
      <c r="E314">
        <v>1</v>
      </c>
      <c r="F314">
        <v>1</v>
      </c>
      <c r="G314">
        <v>1081</v>
      </c>
      <c r="H314">
        <v>3</v>
      </c>
      <c r="I314" t="s">
        <v>359</v>
      </c>
      <c r="J314" t="s">
        <v>362</v>
      </c>
      <c r="K314" t="s">
        <v>360</v>
      </c>
      <c r="L314">
        <v>1348</v>
      </c>
      <c r="N314">
        <v>1009</v>
      </c>
      <c r="O314" t="s">
        <v>361</v>
      </c>
      <c r="P314" t="s">
        <v>361</v>
      </c>
      <c r="Q314">
        <v>1000</v>
      </c>
      <c r="X314">
        <v>3.0000000000000001E-5</v>
      </c>
      <c r="Y314">
        <v>18995.22</v>
      </c>
      <c r="Z314">
        <v>0</v>
      </c>
      <c r="AA314">
        <v>0</v>
      </c>
      <c r="AB314">
        <v>0</v>
      </c>
      <c r="AC314">
        <v>0</v>
      </c>
      <c r="AD314">
        <v>1</v>
      </c>
      <c r="AE314">
        <v>0</v>
      </c>
      <c r="AF314" t="s">
        <v>70</v>
      </c>
      <c r="AG314">
        <v>3.0000000000000001E-5</v>
      </c>
      <c r="AH314">
        <v>3</v>
      </c>
      <c r="AI314">
        <v>-1</v>
      </c>
      <c r="AJ314" t="s">
        <v>3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</row>
    <row r="315" spans="1:44" x14ac:dyDescent="0.25">
      <c r="A315">
        <f>ROW(Source!A323)</f>
        <v>323</v>
      </c>
      <c r="B315">
        <v>57014812</v>
      </c>
      <c r="C315">
        <v>57014810</v>
      </c>
      <c r="D315">
        <v>55424304</v>
      </c>
      <c r="E315">
        <v>1081</v>
      </c>
      <c r="F315">
        <v>1</v>
      </c>
      <c r="G315">
        <v>1081</v>
      </c>
      <c r="H315">
        <v>1</v>
      </c>
      <c r="I315" t="s">
        <v>385</v>
      </c>
      <c r="J315" t="s">
        <v>3</v>
      </c>
      <c r="K315" t="s">
        <v>386</v>
      </c>
      <c r="L315">
        <v>1191</v>
      </c>
      <c r="N315">
        <v>1013</v>
      </c>
      <c r="O315" t="s">
        <v>387</v>
      </c>
      <c r="P315" t="s">
        <v>387</v>
      </c>
      <c r="Q315">
        <v>1</v>
      </c>
      <c r="X315">
        <v>1.26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1</v>
      </c>
      <c r="AE315">
        <v>1</v>
      </c>
      <c r="AF315" t="s">
        <v>71</v>
      </c>
      <c r="AG315">
        <v>1.512</v>
      </c>
      <c r="AH315">
        <v>2</v>
      </c>
      <c r="AI315">
        <v>57014811</v>
      </c>
      <c r="AJ315">
        <v>244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</row>
    <row r="316" spans="1:44" x14ac:dyDescent="0.25">
      <c r="A316">
        <f>ROW(Source!A323)</f>
        <v>323</v>
      </c>
      <c r="B316">
        <v>57014813</v>
      </c>
      <c r="C316">
        <v>57014810</v>
      </c>
      <c r="D316">
        <v>55465987</v>
      </c>
      <c r="E316">
        <v>1</v>
      </c>
      <c r="F316">
        <v>1</v>
      </c>
      <c r="G316">
        <v>1081</v>
      </c>
      <c r="H316">
        <v>3</v>
      </c>
      <c r="I316" t="s">
        <v>359</v>
      </c>
      <c r="J316" t="s">
        <v>362</v>
      </c>
      <c r="K316" t="s">
        <v>360</v>
      </c>
      <c r="L316">
        <v>1348</v>
      </c>
      <c r="N316">
        <v>1009</v>
      </c>
      <c r="O316" t="s">
        <v>361</v>
      </c>
      <c r="P316" t="s">
        <v>361</v>
      </c>
      <c r="Q316">
        <v>1000</v>
      </c>
      <c r="X316">
        <v>3.0000000000000001E-5</v>
      </c>
      <c r="Y316">
        <v>18995.22</v>
      </c>
      <c r="Z316">
        <v>0</v>
      </c>
      <c r="AA316">
        <v>0</v>
      </c>
      <c r="AB316">
        <v>0</v>
      </c>
      <c r="AC316">
        <v>0</v>
      </c>
      <c r="AD316">
        <v>1</v>
      </c>
      <c r="AE316">
        <v>0</v>
      </c>
      <c r="AF316" t="s">
        <v>70</v>
      </c>
      <c r="AG316">
        <v>3.0000000000000001E-5</v>
      </c>
      <c r="AH316">
        <v>3</v>
      </c>
      <c r="AI316">
        <v>-1</v>
      </c>
      <c r="AJ316" t="s">
        <v>3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</row>
  </sheetData>
  <printOptions gridLines="1"/>
  <pageMargins left="0.75" right="0.75" top="1" bottom="1" header="0.5" footer="0.5"/>
  <headerFooter alignWithMargins="0">
    <oddHeader>&amp;A</oddHeader>
    <oddFooter>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U98"/>
  <sheetViews>
    <sheetView workbookViewId="0"/>
  </sheetViews>
  <sheetFormatPr defaultColWidth="9.1796875" defaultRowHeight="12.5" x14ac:dyDescent="0.25"/>
  <cols>
    <col min="1" max="256" width="9.1796875" customWidth="1"/>
  </cols>
  <sheetData>
    <row r="1" spans="1:21" x14ac:dyDescent="0.25">
      <c r="A1">
        <v>28</v>
      </c>
      <c r="B1">
        <v>1</v>
      </c>
      <c r="C1" t="s">
        <v>3</v>
      </c>
      <c r="D1" t="s">
        <v>70</v>
      </c>
      <c r="E1" t="s">
        <v>71</v>
      </c>
      <c r="F1" t="s">
        <v>71</v>
      </c>
      <c r="G1" t="s">
        <v>71</v>
      </c>
      <c r="H1" t="s">
        <v>3</v>
      </c>
      <c r="I1" t="s">
        <v>71</v>
      </c>
      <c r="J1" t="s">
        <v>71</v>
      </c>
      <c r="K1" t="s">
        <v>3</v>
      </c>
      <c r="L1" t="s">
        <v>3</v>
      </c>
      <c r="M1" t="s">
        <v>3</v>
      </c>
      <c r="N1" t="s">
        <v>70</v>
      </c>
      <c r="O1" t="s">
        <v>71</v>
      </c>
      <c r="P1" t="s">
        <v>3</v>
      </c>
      <c r="Q1" t="s">
        <v>3</v>
      </c>
      <c r="R1" t="s">
        <v>3</v>
      </c>
      <c r="S1" t="s">
        <v>518</v>
      </c>
      <c r="T1" t="s">
        <v>519</v>
      </c>
      <c r="U1" t="s">
        <v>520</v>
      </c>
    </row>
    <row r="2" spans="1:21" x14ac:dyDescent="0.25">
      <c r="A2">
        <v>28</v>
      </c>
      <c r="B2">
        <v>1</v>
      </c>
      <c r="C2" t="s">
        <v>3</v>
      </c>
      <c r="D2" t="s">
        <v>521</v>
      </c>
      <c r="E2" t="s">
        <v>522</v>
      </c>
      <c r="F2" t="s">
        <v>522</v>
      </c>
      <c r="G2" t="s">
        <v>522</v>
      </c>
      <c r="H2" t="s">
        <v>3</v>
      </c>
      <c r="I2" t="s">
        <v>522</v>
      </c>
      <c r="J2" t="s">
        <v>522</v>
      </c>
      <c r="K2" t="s">
        <v>3</v>
      </c>
      <c r="L2" t="s">
        <v>3</v>
      </c>
      <c r="M2" t="s">
        <v>3</v>
      </c>
      <c r="N2" t="s">
        <v>521</v>
      </c>
      <c r="O2" t="s">
        <v>522</v>
      </c>
      <c r="P2" t="s">
        <v>3</v>
      </c>
      <c r="Q2" t="s">
        <v>3</v>
      </c>
      <c r="R2" t="s">
        <v>3</v>
      </c>
      <c r="S2" t="s">
        <v>523</v>
      </c>
      <c r="T2" t="s">
        <v>524</v>
      </c>
      <c r="U2" t="s">
        <v>525</v>
      </c>
    </row>
    <row r="3" spans="1:21" x14ac:dyDescent="0.25">
      <c r="A3">
        <v>29</v>
      </c>
      <c r="B3">
        <v>1</v>
      </c>
      <c r="C3" t="s">
        <v>3</v>
      </c>
      <c r="D3" t="s">
        <v>70</v>
      </c>
      <c r="E3" t="s">
        <v>71</v>
      </c>
      <c r="F3" t="s">
        <v>71</v>
      </c>
      <c r="G3" t="s">
        <v>71</v>
      </c>
      <c r="H3" t="s">
        <v>3</v>
      </c>
      <c r="I3" t="s">
        <v>71</v>
      </c>
      <c r="J3" t="s">
        <v>71</v>
      </c>
      <c r="K3" t="s">
        <v>3</v>
      </c>
      <c r="L3" t="s">
        <v>3</v>
      </c>
      <c r="M3" t="s">
        <v>3</v>
      </c>
      <c r="N3" t="s">
        <v>70</v>
      </c>
      <c r="O3" t="s">
        <v>71</v>
      </c>
      <c r="P3" t="s">
        <v>3</v>
      </c>
      <c r="Q3" t="s">
        <v>3</v>
      </c>
      <c r="R3" t="s">
        <v>3</v>
      </c>
      <c r="S3" t="s">
        <v>518</v>
      </c>
      <c r="T3" t="s">
        <v>519</v>
      </c>
      <c r="U3" t="s">
        <v>520</v>
      </c>
    </row>
    <row r="4" spans="1:21" x14ac:dyDescent="0.25">
      <c r="A4">
        <v>29</v>
      </c>
      <c r="B4">
        <v>1</v>
      </c>
      <c r="C4" t="s">
        <v>3</v>
      </c>
      <c r="D4" t="s">
        <v>521</v>
      </c>
      <c r="E4" t="s">
        <v>522</v>
      </c>
      <c r="F4" t="s">
        <v>522</v>
      </c>
      <c r="G4" t="s">
        <v>522</v>
      </c>
      <c r="H4" t="s">
        <v>3</v>
      </c>
      <c r="I4" t="s">
        <v>522</v>
      </c>
      <c r="J4" t="s">
        <v>522</v>
      </c>
      <c r="K4" t="s">
        <v>3</v>
      </c>
      <c r="L4" t="s">
        <v>3</v>
      </c>
      <c r="M4" t="s">
        <v>3</v>
      </c>
      <c r="N4" t="s">
        <v>521</v>
      </c>
      <c r="O4" t="s">
        <v>522</v>
      </c>
      <c r="P4" t="s">
        <v>3</v>
      </c>
      <c r="Q4" t="s">
        <v>3</v>
      </c>
      <c r="R4" t="s">
        <v>3</v>
      </c>
      <c r="S4" t="s">
        <v>523</v>
      </c>
      <c r="T4" t="s">
        <v>524</v>
      </c>
      <c r="U4" t="s">
        <v>525</v>
      </c>
    </row>
    <row r="5" spans="1:21" x14ac:dyDescent="0.25">
      <c r="A5">
        <v>30</v>
      </c>
      <c r="B5">
        <v>1</v>
      </c>
      <c r="C5" t="s">
        <v>3</v>
      </c>
      <c r="D5" t="s">
        <v>70</v>
      </c>
      <c r="E5" t="s">
        <v>71</v>
      </c>
      <c r="F5" t="s">
        <v>71</v>
      </c>
      <c r="G5" t="s">
        <v>71</v>
      </c>
      <c r="H5" t="s">
        <v>3</v>
      </c>
      <c r="I5" t="s">
        <v>71</v>
      </c>
      <c r="J5" t="s">
        <v>71</v>
      </c>
      <c r="K5" t="s">
        <v>3</v>
      </c>
      <c r="L5" t="s">
        <v>3</v>
      </c>
      <c r="M5" t="s">
        <v>3</v>
      </c>
      <c r="N5" t="s">
        <v>70</v>
      </c>
      <c r="O5" t="s">
        <v>71</v>
      </c>
      <c r="P5" t="s">
        <v>3</v>
      </c>
      <c r="Q5" t="s">
        <v>3</v>
      </c>
      <c r="R5" t="s">
        <v>3</v>
      </c>
      <c r="S5" t="s">
        <v>518</v>
      </c>
      <c r="T5" t="s">
        <v>519</v>
      </c>
      <c r="U5" t="s">
        <v>520</v>
      </c>
    </row>
    <row r="6" spans="1:21" x14ac:dyDescent="0.25">
      <c r="A6">
        <v>30</v>
      </c>
      <c r="B6">
        <v>1</v>
      </c>
      <c r="C6" t="s">
        <v>3</v>
      </c>
      <c r="D6" t="s">
        <v>521</v>
      </c>
      <c r="E6" t="s">
        <v>522</v>
      </c>
      <c r="F6" t="s">
        <v>522</v>
      </c>
      <c r="G6" t="s">
        <v>522</v>
      </c>
      <c r="H6" t="s">
        <v>3</v>
      </c>
      <c r="I6" t="s">
        <v>522</v>
      </c>
      <c r="J6" t="s">
        <v>522</v>
      </c>
      <c r="K6" t="s">
        <v>3</v>
      </c>
      <c r="L6" t="s">
        <v>3</v>
      </c>
      <c r="M6" t="s">
        <v>3</v>
      </c>
      <c r="N6" t="s">
        <v>521</v>
      </c>
      <c r="O6" t="s">
        <v>522</v>
      </c>
      <c r="P6" t="s">
        <v>3</v>
      </c>
      <c r="Q6" t="s">
        <v>3</v>
      </c>
      <c r="R6" t="s">
        <v>3</v>
      </c>
      <c r="S6" t="s">
        <v>523</v>
      </c>
      <c r="T6" t="s">
        <v>524</v>
      </c>
      <c r="U6" t="s">
        <v>525</v>
      </c>
    </row>
    <row r="7" spans="1:21" x14ac:dyDescent="0.25">
      <c r="A7">
        <v>31</v>
      </c>
      <c r="B7">
        <v>1</v>
      </c>
      <c r="C7" t="s">
        <v>3</v>
      </c>
      <c r="D7" t="s">
        <v>70</v>
      </c>
      <c r="E7" t="s">
        <v>71</v>
      </c>
      <c r="F7" t="s">
        <v>71</v>
      </c>
      <c r="G7" t="s">
        <v>71</v>
      </c>
      <c r="H7" t="s">
        <v>3</v>
      </c>
      <c r="I7" t="s">
        <v>71</v>
      </c>
      <c r="J7" t="s">
        <v>71</v>
      </c>
      <c r="K7" t="s">
        <v>3</v>
      </c>
      <c r="L7" t="s">
        <v>3</v>
      </c>
      <c r="M7" t="s">
        <v>3</v>
      </c>
      <c r="N7" t="s">
        <v>70</v>
      </c>
      <c r="O7" t="s">
        <v>71</v>
      </c>
      <c r="P7" t="s">
        <v>3</v>
      </c>
      <c r="Q7" t="s">
        <v>3</v>
      </c>
      <c r="R7" t="s">
        <v>3</v>
      </c>
      <c r="S7" t="s">
        <v>518</v>
      </c>
      <c r="T7" t="s">
        <v>519</v>
      </c>
      <c r="U7" t="s">
        <v>520</v>
      </c>
    </row>
    <row r="8" spans="1:21" x14ac:dyDescent="0.25">
      <c r="A8">
        <v>31</v>
      </c>
      <c r="B8">
        <v>1</v>
      </c>
      <c r="C8" t="s">
        <v>3</v>
      </c>
      <c r="D8" t="s">
        <v>521</v>
      </c>
      <c r="E8" t="s">
        <v>522</v>
      </c>
      <c r="F8" t="s">
        <v>522</v>
      </c>
      <c r="G8" t="s">
        <v>522</v>
      </c>
      <c r="H8" t="s">
        <v>3</v>
      </c>
      <c r="I8" t="s">
        <v>522</v>
      </c>
      <c r="J8" t="s">
        <v>522</v>
      </c>
      <c r="K8" t="s">
        <v>3</v>
      </c>
      <c r="L8" t="s">
        <v>3</v>
      </c>
      <c r="M8" t="s">
        <v>3</v>
      </c>
      <c r="N8" t="s">
        <v>521</v>
      </c>
      <c r="O8" t="s">
        <v>522</v>
      </c>
      <c r="P8" t="s">
        <v>3</v>
      </c>
      <c r="Q8" t="s">
        <v>3</v>
      </c>
      <c r="R8" t="s">
        <v>3</v>
      </c>
      <c r="S8" t="s">
        <v>523</v>
      </c>
      <c r="T8" t="s">
        <v>524</v>
      </c>
      <c r="U8" t="s">
        <v>525</v>
      </c>
    </row>
    <row r="9" spans="1:21" x14ac:dyDescent="0.25">
      <c r="A9">
        <v>32</v>
      </c>
      <c r="B9">
        <v>1</v>
      </c>
      <c r="C9" t="s">
        <v>3</v>
      </c>
      <c r="D9" t="s">
        <v>70</v>
      </c>
      <c r="E9" t="s">
        <v>71</v>
      </c>
      <c r="F9" t="s">
        <v>71</v>
      </c>
      <c r="G9" t="s">
        <v>71</v>
      </c>
      <c r="H9" t="s">
        <v>3</v>
      </c>
      <c r="I9" t="s">
        <v>71</v>
      </c>
      <c r="J9" t="s">
        <v>71</v>
      </c>
      <c r="K9" t="s">
        <v>3</v>
      </c>
      <c r="L9" t="s">
        <v>3</v>
      </c>
      <c r="M9" t="s">
        <v>3</v>
      </c>
      <c r="N9" t="s">
        <v>70</v>
      </c>
      <c r="O9" t="s">
        <v>71</v>
      </c>
      <c r="P9" t="s">
        <v>3</v>
      </c>
      <c r="Q9" t="s">
        <v>3</v>
      </c>
      <c r="R9" t="s">
        <v>3</v>
      </c>
      <c r="S9" t="s">
        <v>518</v>
      </c>
      <c r="T9" t="s">
        <v>519</v>
      </c>
      <c r="U9" t="s">
        <v>520</v>
      </c>
    </row>
    <row r="10" spans="1:21" x14ac:dyDescent="0.25">
      <c r="A10">
        <v>32</v>
      </c>
      <c r="B10">
        <v>1</v>
      </c>
      <c r="C10" t="s">
        <v>3</v>
      </c>
      <c r="D10" t="s">
        <v>521</v>
      </c>
      <c r="E10" t="s">
        <v>522</v>
      </c>
      <c r="F10" t="s">
        <v>522</v>
      </c>
      <c r="G10" t="s">
        <v>522</v>
      </c>
      <c r="H10" t="s">
        <v>3</v>
      </c>
      <c r="I10" t="s">
        <v>522</v>
      </c>
      <c r="J10" t="s">
        <v>522</v>
      </c>
      <c r="K10" t="s">
        <v>3</v>
      </c>
      <c r="L10" t="s">
        <v>3</v>
      </c>
      <c r="M10" t="s">
        <v>3</v>
      </c>
      <c r="N10" t="s">
        <v>521</v>
      </c>
      <c r="O10" t="s">
        <v>522</v>
      </c>
      <c r="P10" t="s">
        <v>3</v>
      </c>
      <c r="Q10" t="s">
        <v>3</v>
      </c>
      <c r="R10" t="s">
        <v>3</v>
      </c>
      <c r="S10" t="s">
        <v>523</v>
      </c>
      <c r="T10" t="s">
        <v>524</v>
      </c>
      <c r="U10" t="s">
        <v>525</v>
      </c>
    </row>
    <row r="11" spans="1:21" x14ac:dyDescent="0.25">
      <c r="A11">
        <v>33</v>
      </c>
      <c r="B11">
        <v>1</v>
      </c>
      <c r="C11" t="s">
        <v>3</v>
      </c>
      <c r="D11" t="s">
        <v>70</v>
      </c>
      <c r="E11" t="s">
        <v>71</v>
      </c>
      <c r="F11" t="s">
        <v>71</v>
      </c>
      <c r="G11" t="s">
        <v>71</v>
      </c>
      <c r="H11" t="s">
        <v>3</v>
      </c>
      <c r="I11" t="s">
        <v>71</v>
      </c>
      <c r="J11" t="s">
        <v>71</v>
      </c>
      <c r="K11" t="s">
        <v>3</v>
      </c>
      <c r="L11" t="s">
        <v>3</v>
      </c>
      <c r="M11" t="s">
        <v>3</v>
      </c>
      <c r="N11" t="s">
        <v>70</v>
      </c>
      <c r="O11" t="s">
        <v>71</v>
      </c>
      <c r="P11" t="s">
        <v>3</v>
      </c>
      <c r="Q11" t="s">
        <v>3</v>
      </c>
      <c r="R11" t="s">
        <v>3</v>
      </c>
      <c r="S11" t="s">
        <v>518</v>
      </c>
      <c r="T11" t="s">
        <v>519</v>
      </c>
      <c r="U11" t="s">
        <v>520</v>
      </c>
    </row>
    <row r="12" spans="1:21" x14ac:dyDescent="0.25">
      <c r="A12">
        <v>33</v>
      </c>
      <c r="B12">
        <v>1</v>
      </c>
      <c r="C12" t="s">
        <v>3</v>
      </c>
      <c r="D12" t="s">
        <v>521</v>
      </c>
      <c r="E12" t="s">
        <v>522</v>
      </c>
      <c r="F12" t="s">
        <v>522</v>
      </c>
      <c r="G12" t="s">
        <v>522</v>
      </c>
      <c r="H12" t="s">
        <v>3</v>
      </c>
      <c r="I12" t="s">
        <v>522</v>
      </c>
      <c r="J12" t="s">
        <v>522</v>
      </c>
      <c r="K12" t="s">
        <v>3</v>
      </c>
      <c r="L12" t="s">
        <v>3</v>
      </c>
      <c r="M12" t="s">
        <v>3</v>
      </c>
      <c r="N12" t="s">
        <v>521</v>
      </c>
      <c r="O12" t="s">
        <v>522</v>
      </c>
      <c r="P12" t="s">
        <v>3</v>
      </c>
      <c r="Q12" t="s">
        <v>3</v>
      </c>
      <c r="R12" t="s">
        <v>3</v>
      </c>
      <c r="S12" t="s">
        <v>523</v>
      </c>
      <c r="T12" t="s">
        <v>524</v>
      </c>
      <c r="U12" t="s">
        <v>525</v>
      </c>
    </row>
    <row r="13" spans="1:21" x14ac:dyDescent="0.25">
      <c r="A13">
        <v>34</v>
      </c>
      <c r="B13">
        <v>1</v>
      </c>
      <c r="C13" t="s">
        <v>3</v>
      </c>
      <c r="D13" t="s">
        <v>70</v>
      </c>
      <c r="E13" t="s">
        <v>71</v>
      </c>
      <c r="F13" t="s">
        <v>71</v>
      </c>
      <c r="G13" t="s">
        <v>71</v>
      </c>
      <c r="H13" t="s">
        <v>3</v>
      </c>
      <c r="I13" t="s">
        <v>71</v>
      </c>
      <c r="J13" t="s">
        <v>71</v>
      </c>
      <c r="K13" t="s">
        <v>3</v>
      </c>
      <c r="L13" t="s">
        <v>3</v>
      </c>
      <c r="M13" t="s">
        <v>3</v>
      </c>
      <c r="N13" t="s">
        <v>70</v>
      </c>
      <c r="O13" t="s">
        <v>71</v>
      </c>
      <c r="P13" t="s">
        <v>3</v>
      </c>
      <c r="Q13" t="s">
        <v>3</v>
      </c>
      <c r="R13" t="s">
        <v>3</v>
      </c>
      <c r="S13" t="s">
        <v>518</v>
      </c>
      <c r="T13" t="s">
        <v>519</v>
      </c>
      <c r="U13" t="s">
        <v>520</v>
      </c>
    </row>
    <row r="14" spans="1:21" x14ac:dyDescent="0.25">
      <c r="A14">
        <v>34</v>
      </c>
      <c r="B14">
        <v>1</v>
      </c>
      <c r="C14" t="s">
        <v>3</v>
      </c>
      <c r="D14" t="s">
        <v>521</v>
      </c>
      <c r="E14" t="s">
        <v>522</v>
      </c>
      <c r="F14" t="s">
        <v>522</v>
      </c>
      <c r="G14" t="s">
        <v>522</v>
      </c>
      <c r="H14" t="s">
        <v>3</v>
      </c>
      <c r="I14" t="s">
        <v>522</v>
      </c>
      <c r="J14" t="s">
        <v>522</v>
      </c>
      <c r="K14" t="s">
        <v>3</v>
      </c>
      <c r="L14" t="s">
        <v>3</v>
      </c>
      <c r="M14" t="s">
        <v>3</v>
      </c>
      <c r="N14" t="s">
        <v>521</v>
      </c>
      <c r="O14" t="s">
        <v>522</v>
      </c>
      <c r="P14" t="s">
        <v>3</v>
      </c>
      <c r="Q14" t="s">
        <v>3</v>
      </c>
      <c r="R14" t="s">
        <v>3</v>
      </c>
      <c r="S14" t="s">
        <v>523</v>
      </c>
      <c r="T14" t="s">
        <v>524</v>
      </c>
      <c r="U14" t="s">
        <v>525</v>
      </c>
    </row>
    <row r="15" spans="1:21" x14ac:dyDescent="0.25">
      <c r="A15">
        <v>35</v>
      </c>
      <c r="B15">
        <v>1</v>
      </c>
      <c r="C15" t="s">
        <v>3</v>
      </c>
      <c r="D15" t="s">
        <v>70</v>
      </c>
      <c r="E15" t="s">
        <v>71</v>
      </c>
      <c r="F15" t="s">
        <v>71</v>
      </c>
      <c r="G15" t="s">
        <v>71</v>
      </c>
      <c r="H15" t="s">
        <v>3</v>
      </c>
      <c r="I15" t="s">
        <v>71</v>
      </c>
      <c r="J15" t="s">
        <v>71</v>
      </c>
      <c r="K15" t="s">
        <v>3</v>
      </c>
      <c r="L15" t="s">
        <v>3</v>
      </c>
      <c r="M15" t="s">
        <v>3</v>
      </c>
      <c r="N15" t="s">
        <v>70</v>
      </c>
      <c r="O15" t="s">
        <v>71</v>
      </c>
      <c r="P15" t="s">
        <v>3</v>
      </c>
      <c r="Q15" t="s">
        <v>3</v>
      </c>
      <c r="R15" t="s">
        <v>3</v>
      </c>
      <c r="S15" t="s">
        <v>518</v>
      </c>
      <c r="T15" t="s">
        <v>519</v>
      </c>
      <c r="U15" t="s">
        <v>520</v>
      </c>
    </row>
    <row r="16" spans="1:21" x14ac:dyDescent="0.25">
      <c r="A16">
        <v>35</v>
      </c>
      <c r="B16">
        <v>1</v>
      </c>
      <c r="C16" t="s">
        <v>3</v>
      </c>
      <c r="D16" t="s">
        <v>521</v>
      </c>
      <c r="E16" t="s">
        <v>522</v>
      </c>
      <c r="F16" t="s">
        <v>522</v>
      </c>
      <c r="G16" t="s">
        <v>522</v>
      </c>
      <c r="H16" t="s">
        <v>3</v>
      </c>
      <c r="I16" t="s">
        <v>522</v>
      </c>
      <c r="J16" t="s">
        <v>522</v>
      </c>
      <c r="K16" t="s">
        <v>3</v>
      </c>
      <c r="L16" t="s">
        <v>3</v>
      </c>
      <c r="M16" t="s">
        <v>3</v>
      </c>
      <c r="N16" t="s">
        <v>521</v>
      </c>
      <c r="O16" t="s">
        <v>522</v>
      </c>
      <c r="P16" t="s">
        <v>3</v>
      </c>
      <c r="Q16" t="s">
        <v>3</v>
      </c>
      <c r="R16" t="s">
        <v>3</v>
      </c>
      <c r="S16" t="s">
        <v>523</v>
      </c>
      <c r="T16" t="s">
        <v>524</v>
      </c>
      <c r="U16" t="s">
        <v>525</v>
      </c>
    </row>
    <row r="17" spans="1:21" x14ac:dyDescent="0.25">
      <c r="A17">
        <v>36</v>
      </c>
      <c r="B17">
        <v>1</v>
      </c>
      <c r="C17" t="s">
        <v>3</v>
      </c>
      <c r="D17" t="s">
        <v>70</v>
      </c>
      <c r="E17" t="s">
        <v>71</v>
      </c>
      <c r="F17" t="s">
        <v>71</v>
      </c>
      <c r="G17" t="s">
        <v>71</v>
      </c>
      <c r="H17" t="s">
        <v>3</v>
      </c>
      <c r="I17" t="s">
        <v>71</v>
      </c>
      <c r="J17" t="s">
        <v>71</v>
      </c>
      <c r="K17" t="s">
        <v>3</v>
      </c>
      <c r="L17" t="s">
        <v>3</v>
      </c>
      <c r="M17" t="s">
        <v>3</v>
      </c>
      <c r="N17" t="s">
        <v>70</v>
      </c>
      <c r="O17" t="s">
        <v>71</v>
      </c>
      <c r="P17" t="s">
        <v>3</v>
      </c>
      <c r="Q17" t="s">
        <v>3</v>
      </c>
      <c r="R17" t="s">
        <v>3</v>
      </c>
      <c r="S17" t="s">
        <v>518</v>
      </c>
      <c r="T17" t="s">
        <v>519</v>
      </c>
      <c r="U17" t="s">
        <v>520</v>
      </c>
    </row>
    <row r="18" spans="1:21" x14ac:dyDescent="0.25">
      <c r="A18">
        <v>36</v>
      </c>
      <c r="B18">
        <v>1</v>
      </c>
      <c r="C18" t="s">
        <v>3</v>
      </c>
      <c r="D18" t="s">
        <v>521</v>
      </c>
      <c r="E18" t="s">
        <v>522</v>
      </c>
      <c r="F18" t="s">
        <v>522</v>
      </c>
      <c r="G18" t="s">
        <v>522</v>
      </c>
      <c r="H18" t="s">
        <v>3</v>
      </c>
      <c r="I18" t="s">
        <v>522</v>
      </c>
      <c r="J18" t="s">
        <v>522</v>
      </c>
      <c r="K18" t="s">
        <v>3</v>
      </c>
      <c r="L18" t="s">
        <v>3</v>
      </c>
      <c r="M18" t="s">
        <v>3</v>
      </c>
      <c r="N18" t="s">
        <v>521</v>
      </c>
      <c r="O18" t="s">
        <v>522</v>
      </c>
      <c r="P18" t="s">
        <v>3</v>
      </c>
      <c r="Q18" t="s">
        <v>3</v>
      </c>
      <c r="R18" t="s">
        <v>3</v>
      </c>
      <c r="S18" t="s">
        <v>523</v>
      </c>
      <c r="T18" t="s">
        <v>524</v>
      </c>
      <c r="U18" t="s">
        <v>525</v>
      </c>
    </row>
    <row r="19" spans="1:21" x14ac:dyDescent="0.25">
      <c r="A19">
        <v>37</v>
      </c>
      <c r="B19">
        <v>1</v>
      </c>
      <c r="C19" t="s">
        <v>3</v>
      </c>
      <c r="D19" t="s">
        <v>70</v>
      </c>
      <c r="E19" t="s">
        <v>71</v>
      </c>
      <c r="F19" t="s">
        <v>71</v>
      </c>
      <c r="G19" t="s">
        <v>71</v>
      </c>
      <c r="H19" t="s">
        <v>3</v>
      </c>
      <c r="I19" t="s">
        <v>71</v>
      </c>
      <c r="J19" t="s">
        <v>71</v>
      </c>
      <c r="K19" t="s">
        <v>3</v>
      </c>
      <c r="L19" t="s">
        <v>3</v>
      </c>
      <c r="M19" t="s">
        <v>3</v>
      </c>
      <c r="N19" t="s">
        <v>70</v>
      </c>
      <c r="O19" t="s">
        <v>71</v>
      </c>
      <c r="P19" t="s">
        <v>3</v>
      </c>
      <c r="Q19" t="s">
        <v>3</v>
      </c>
      <c r="R19" t="s">
        <v>3</v>
      </c>
      <c r="S19" t="s">
        <v>518</v>
      </c>
      <c r="T19" t="s">
        <v>519</v>
      </c>
      <c r="U19" t="s">
        <v>520</v>
      </c>
    </row>
    <row r="20" spans="1:21" x14ac:dyDescent="0.25">
      <c r="A20">
        <v>37</v>
      </c>
      <c r="B20">
        <v>1</v>
      </c>
      <c r="C20" t="s">
        <v>3</v>
      </c>
      <c r="D20" t="s">
        <v>521</v>
      </c>
      <c r="E20" t="s">
        <v>522</v>
      </c>
      <c r="F20" t="s">
        <v>522</v>
      </c>
      <c r="G20" t="s">
        <v>522</v>
      </c>
      <c r="H20" t="s">
        <v>3</v>
      </c>
      <c r="I20" t="s">
        <v>522</v>
      </c>
      <c r="J20" t="s">
        <v>522</v>
      </c>
      <c r="K20" t="s">
        <v>3</v>
      </c>
      <c r="L20" t="s">
        <v>3</v>
      </c>
      <c r="M20" t="s">
        <v>3</v>
      </c>
      <c r="N20" t="s">
        <v>521</v>
      </c>
      <c r="O20" t="s">
        <v>522</v>
      </c>
      <c r="P20" t="s">
        <v>3</v>
      </c>
      <c r="Q20" t="s">
        <v>3</v>
      </c>
      <c r="R20" t="s">
        <v>3</v>
      </c>
      <c r="S20" t="s">
        <v>523</v>
      </c>
      <c r="T20" t="s">
        <v>524</v>
      </c>
      <c r="U20" t="s">
        <v>525</v>
      </c>
    </row>
    <row r="21" spans="1:21" x14ac:dyDescent="0.25">
      <c r="A21">
        <v>38</v>
      </c>
      <c r="B21">
        <v>1</v>
      </c>
      <c r="C21" t="s">
        <v>3</v>
      </c>
      <c r="D21" t="s">
        <v>70</v>
      </c>
      <c r="E21" t="s">
        <v>71</v>
      </c>
      <c r="F21" t="s">
        <v>71</v>
      </c>
      <c r="G21" t="s">
        <v>71</v>
      </c>
      <c r="H21" t="s">
        <v>3</v>
      </c>
      <c r="I21" t="s">
        <v>71</v>
      </c>
      <c r="J21" t="s">
        <v>71</v>
      </c>
      <c r="K21" t="s">
        <v>3</v>
      </c>
      <c r="L21" t="s">
        <v>3</v>
      </c>
      <c r="M21" t="s">
        <v>3</v>
      </c>
      <c r="N21" t="s">
        <v>70</v>
      </c>
      <c r="O21" t="s">
        <v>71</v>
      </c>
      <c r="P21" t="s">
        <v>3</v>
      </c>
      <c r="Q21" t="s">
        <v>3</v>
      </c>
      <c r="R21" t="s">
        <v>3</v>
      </c>
      <c r="S21" t="s">
        <v>518</v>
      </c>
      <c r="T21" t="s">
        <v>519</v>
      </c>
      <c r="U21" t="s">
        <v>520</v>
      </c>
    </row>
    <row r="22" spans="1:21" x14ac:dyDescent="0.25">
      <c r="A22">
        <v>38</v>
      </c>
      <c r="B22">
        <v>1</v>
      </c>
      <c r="C22" t="s">
        <v>3</v>
      </c>
      <c r="D22" t="s">
        <v>521</v>
      </c>
      <c r="E22" t="s">
        <v>522</v>
      </c>
      <c r="F22" t="s">
        <v>522</v>
      </c>
      <c r="G22" t="s">
        <v>522</v>
      </c>
      <c r="H22" t="s">
        <v>3</v>
      </c>
      <c r="I22" t="s">
        <v>522</v>
      </c>
      <c r="J22" t="s">
        <v>522</v>
      </c>
      <c r="K22" t="s">
        <v>3</v>
      </c>
      <c r="L22" t="s">
        <v>3</v>
      </c>
      <c r="M22" t="s">
        <v>3</v>
      </c>
      <c r="N22" t="s">
        <v>521</v>
      </c>
      <c r="O22" t="s">
        <v>522</v>
      </c>
      <c r="P22" t="s">
        <v>3</v>
      </c>
      <c r="Q22" t="s">
        <v>3</v>
      </c>
      <c r="R22" t="s">
        <v>3</v>
      </c>
      <c r="S22" t="s">
        <v>523</v>
      </c>
      <c r="T22" t="s">
        <v>524</v>
      </c>
      <c r="U22" t="s">
        <v>525</v>
      </c>
    </row>
    <row r="23" spans="1:21" x14ac:dyDescent="0.25">
      <c r="A23">
        <v>39</v>
      </c>
      <c r="B23">
        <v>1</v>
      </c>
      <c r="C23" t="s">
        <v>3</v>
      </c>
      <c r="D23" t="s">
        <v>70</v>
      </c>
      <c r="E23" t="s">
        <v>71</v>
      </c>
      <c r="F23" t="s">
        <v>71</v>
      </c>
      <c r="G23" t="s">
        <v>71</v>
      </c>
      <c r="H23" t="s">
        <v>3</v>
      </c>
      <c r="I23" t="s">
        <v>71</v>
      </c>
      <c r="J23" t="s">
        <v>71</v>
      </c>
      <c r="K23" t="s">
        <v>3</v>
      </c>
      <c r="L23" t="s">
        <v>3</v>
      </c>
      <c r="M23" t="s">
        <v>3</v>
      </c>
      <c r="N23" t="s">
        <v>70</v>
      </c>
      <c r="O23" t="s">
        <v>71</v>
      </c>
      <c r="P23" t="s">
        <v>3</v>
      </c>
      <c r="Q23" t="s">
        <v>3</v>
      </c>
      <c r="R23" t="s">
        <v>3</v>
      </c>
      <c r="S23" t="s">
        <v>518</v>
      </c>
      <c r="T23" t="s">
        <v>519</v>
      </c>
      <c r="U23" t="s">
        <v>520</v>
      </c>
    </row>
    <row r="24" spans="1:21" x14ac:dyDescent="0.25">
      <c r="A24">
        <v>39</v>
      </c>
      <c r="B24">
        <v>1</v>
      </c>
      <c r="C24" t="s">
        <v>3</v>
      </c>
      <c r="D24" t="s">
        <v>521</v>
      </c>
      <c r="E24" t="s">
        <v>522</v>
      </c>
      <c r="F24" t="s">
        <v>522</v>
      </c>
      <c r="G24" t="s">
        <v>522</v>
      </c>
      <c r="H24" t="s">
        <v>3</v>
      </c>
      <c r="I24" t="s">
        <v>522</v>
      </c>
      <c r="J24" t="s">
        <v>522</v>
      </c>
      <c r="K24" t="s">
        <v>3</v>
      </c>
      <c r="L24" t="s">
        <v>3</v>
      </c>
      <c r="M24" t="s">
        <v>3</v>
      </c>
      <c r="N24" t="s">
        <v>521</v>
      </c>
      <c r="O24" t="s">
        <v>522</v>
      </c>
      <c r="P24" t="s">
        <v>3</v>
      </c>
      <c r="Q24" t="s">
        <v>3</v>
      </c>
      <c r="R24" t="s">
        <v>3</v>
      </c>
      <c r="S24" t="s">
        <v>523</v>
      </c>
      <c r="T24" t="s">
        <v>524</v>
      </c>
      <c r="U24" t="s">
        <v>525</v>
      </c>
    </row>
    <row r="25" spans="1:21" x14ac:dyDescent="0.25">
      <c r="A25">
        <v>40</v>
      </c>
      <c r="B25">
        <v>1</v>
      </c>
      <c r="C25" t="s">
        <v>3</v>
      </c>
      <c r="D25" t="s">
        <v>70</v>
      </c>
      <c r="E25" t="s">
        <v>71</v>
      </c>
      <c r="F25" t="s">
        <v>71</v>
      </c>
      <c r="G25" t="s">
        <v>71</v>
      </c>
      <c r="H25" t="s">
        <v>3</v>
      </c>
      <c r="I25" t="s">
        <v>71</v>
      </c>
      <c r="J25" t="s">
        <v>71</v>
      </c>
      <c r="K25" t="s">
        <v>3</v>
      </c>
      <c r="L25" t="s">
        <v>3</v>
      </c>
      <c r="M25" t="s">
        <v>3</v>
      </c>
      <c r="N25" t="s">
        <v>70</v>
      </c>
      <c r="O25" t="s">
        <v>71</v>
      </c>
      <c r="P25" t="s">
        <v>3</v>
      </c>
      <c r="Q25" t="s">
        <v>3</v>
      </c>
      <c r="R25" t="s">
        <v>3</v>
      </c>
      <c r="S25" t="s">
        <v>518</v>
      </c>
      <c r="T25" t="s">
        <v>519</v>
      </c>
      <c r="U25" t="s">
        <v>520</v>
      </c>
    </row>
    <row r="26" spans="1:21" x14ac:dyDescent="0.25">
      <c r="A26">
        <v>40</v>
      </c>
      <c r="B26">
        <v>1</v>
      </c>
      <c r="C26" t="s">
        <v>3</v>
      </c>
      <c r="D26" t="s">
        <v>521</v>
      </c>
      <c r="E26" t="s">
        <v>522</v>
      </c>
      <c r="F26" t="s">
        <v>522</v>
      </c>
      <c r="G26" t="s">
        <v>522</v>
      </c>
      <c r="H26" t="s">
        <v>3</v>
      </c>
      <c r="I26" t="s">
        <v>522</v>
      </c>
      <c r="J26" t="s">
        <v>522</v>
      </c>
      <c r="K26" t="s">
        <v>3</v>
      </c>
      <c r="L26" t="s">
        <v>3</v>
      </c>
      <c r="M26" t="s">
        <v>3</v>
      </c>
      <c r="N26" t="s">
        <v>521</v>
      </c>
      <c r="O26" t="s">
        <v>522</v>
      </c>
      <c r="P26" t="s">
        <v>3</v>
      </c>
      <c r="Q26" t="s">
        <v>3</v>
      </c>
      <c r="R26" t="s">
        <v>3</v>
      </c>
      <c r="S26" t="s">
        <v>523</v>
      </c>
      <c r="T26" t="s">
        <v>524</v>
      </c>
      <c r="U26" t="s">
        <v>525</v>
      </c>
    </row>
    <row r="27" spans="1:21" x14ac:dyDescent="0.25">
      <c r="A27">
        <v>41</v>
      </c>
      <c r="B27">
        <v>1</v>
      </c>
      <c r="C27" t="s">
        <v>3</v>
      </c>
      <c r="D27" t="s">
        <v>70</v>
      </c>
      <c r="E27" t="s">
        <v>71</v>
      </c>
      <c r="F27" t="s">
        <v>71</v>
      </c>
      <c r="G27" t="s">
        <v>71</v>
      </c>
      <c r="H27" t="s">
        <v>3</v>
      </c>
      <c r="I27" t="s">
        <v>71</v>
      </c>
      <c r="J27" t="s">
        <v>71</v>
      </c>
      <c r="K27" t="s">
        <v>3</v>
      </c>
      <c r="L27" t="s">
        <v>3</v>
      </c>
      <c r="M27" t="s">
        <v>3</v>
      </c>
      <c r="N27" t="s">
        <v>70</v>
      </c>
      <c r="O27" t="s">
        <v>71</v>
      </c>
      <c r="P27" t="s">
        <v>3</v>
      </c>
      <c r="Q27" t="s">
        <v>3</v>
      </c>
      <c r="R27" t="s">
        <v>3</v>
      </c>
      <c r="S27" t="s">
        <v>518</v>
      </c>
      <c r="T27" t="s">
        <v>519</v>
      </c>
      <c r="U27" t="s">
        <v>520</v>
      </c>
    </row>
    <row r="28" spans="1:21" x14ac:dyDescent="0.25">
      <c r="A28">
        <v>41</v>
      </c>
      <c r="B28">
        <v>1</v>
      </c>
      <c r="C28" t="s">
        <v>3</v>
      </c>
      <c r="D28" t="s">
        <v>521</v>
      </c>
      <c r="E28" t="s">
        <v>522</v>
      </c>
      <c r="F28" t="s">
        <v>522</v>
      </c>
      <c r="G28" t="s">
        <v>522</v>
      </c>
      <c r="H28" t="s">
        <v>3</v>
      </c>
      <c r="I28" t="s">
        <v>522</v>
      </c>
      <c r="J28" t="s">
        <v>522</v>
      </c>
      <c r="K28" t="s">
        <v>3</v>
      </c>
      <c r="L28" t="s">
        <v>3</v>
      </c>
      <c r="M28" t="s">
        <v>3</v>
      </c>
      <c r="N28" t="s">
        <v>521</v>
      </c>
      <c r="O28" t="s">
        <v>522</v>
      </c>
      <c r="P28" t="s">
        <v>3</v>
      </c>
      <c r="Q28" t="s">
        <v>3</v>
      </c>
      <c r="R28" t="s">
        <v>3</v>
      </c>
      <c r="S28" t="s">
        <v>523</v>
      </c>
      <c r="T28" t="s">
        <v>524</v>
      </c>
      <c r="U28" t="s">
        <v>525</v>
      </c>
    </row>
    <row r="29" spans="1:21" x14ac:dyDescent="0.25">
      <c r="A29">
        <v>42</v>
      </c>
      <c r="B29">
        <v>1</v>
      </c>
      <c r="C29" t="s">
        <v>3</v>
      </c>
      <c r="D29" t="s">
        <v>70</v>
      </c>
      <c r="E29" t="s">
        <v>71</v>
      </c>
      <c r="F29" t="s">
        <v>71</v>
      </c>
      <c r="G29" t="s">
        <v>71</v>
      </c>
      <c r="H29" t="s">
        <v>3</v>
      </c>
      <c r="I29" t="s">
        <v>71</v>
      </c>
      <c r="J29" t="s">
        <v>71</v>
      </c>
      <c r="K29" t="s">
        <v>3</v>
      </c>
      <c r="L29" t="s">
        <v>3</v>
      </c>
      <c r="M29" t="s">
        <v>3</v>
      </c>
      <c r="N29" t="s">
        <v>70</v>
      </c>
      <c r="O29" t="s">
        <v>71</v>
      </c>
      <c r="P29" t="s">
        <v>3</v>
      </c>
      <c r="Q29" t="s">
        <v>3</v>
      </c>
      <c r="R29" t="s">
        <v>3</v>
      </c>
      <c r="S29" t="s">
        <v>518</v>
      </c>
      <c r="T29" t="s">
        <v>519</v>
      </c>
      <c r="U29" t="s">
        <v>520</v>
      </c>
    </row>
    <row r="30" spans="1:21" x14ac:dyDescent="0.25">
      <c r="A30">
        <v>42</v>
      </c>
      <c r="B30">
        <v>1</v>
      </c>
      <c r="C30" t="s">
        <v>3</v>
      </c>
      <c r="D30" t="s">
        <v>521</v>
      </c>
      <c r="E30" t="s">
        <v>522</v>
      </c>
      <c r="F30" t="s">
        <v>522</v>
      </c>
      <c r="G30" t="s">
        <v>522</v>
      </c>
      <c r="H30" t="s">
        <v>3</v>
      </c>
      <c r="I30" t="s">
        <v>522</v>
      </c>
      <c r="J30" t="s">
        <v>522</v>
      </c>
      <c r="K30" t="s">
        <v>3</v>
      </c>
      <c r="L30" t="s">
        <v>3</v>
      </c>
      <c r="M30" t="s">
        <v>3</v>
      </c>
      <c r="N30" t="s">
        <v>521</v>
      </c>
      <c r="O30" t="s">
        <v>522</v>
      </c>
      <c r="P30" t="s">
        <v>3</v>
      </c>
      <c r="Q30" t="s">
        <v>3</v>
      </c>
      <c r="R30" t="s">
        <v>3</v>
      </c>
      <c r="S30" t="s">
        <v>523</v>
      </c>
      <c r="T30" t="s">
        <v>524</v>
      </c>
      <c r="U30" t="s">
        <v>525</v>
      </c>
    </row>
    <row r="31" spans="1:21" x14ac:dyDescent="0.25">
      <c r="A31">
        <v>43</v>
      </c>
      <c r="B31">
        <v>1</v>
      </c>
      <c r="C31" t="s">
        <v>3</v>
      </c>
      <c r="D31" t="s">
        <v>70</v>
      </c>
      <c r="E31" t="s">
        <v>71</v>
      </c>
      <c r="F31" t="s">
        <v>71</v>
      </c>
      <c r="G31" t="s">
        <v>71</v>
      </c>
      <c r="H31" t="s">
        <v>3</v>
      </c>
      <c r="I31" t="s">
        <v>71</v>
      </c>
      <c r="J31" t="s">
        <v>71</v>
      </c>
      <c r="K31" t="s">
        <v>3</v>
      </c>
      <c r="L31" t="s">
        <v>3</v>
      </c>
      <c r="M31" t="s">
        <v>3</v>
      </c>
      <c r="N31" t="s">
        <v>70</v>
      </c>
      <c r="O31" t="s">
        <v>71</v>
      </c>
      <c r="P31" t="s">
        <v>3</v>
      </c>
      <c r="Q31" t="s">
        <v>3</v>
      </c>
      <c r="R31" t="s">
        <v>3</v>
      </c>
      <c r="S31" t="s">
        <v>518</v>
      </c>
      <c r="T31" t="s">
        <v>519</v>
      </c>
      <c r="U31" t="s">
        <v>520</v>
      </c>
    </row>
    <row r="32" spans="1:21" x14ac:dyDescent="0.25">
      <c r="A32">
        <v>43</v>
      </c>
      <c r="B32">
        <v>1</v>
      </c>
      <c r="C32" t="s">
        <v>3</v>
      </c>
      <c r="D32" t="s">
        <v>521</v>
      </c>
      <c r="E32" t="s">
        <v>522</v>
      </c>
      <c r="F32" t="s">
        <v>522</v>
      </c>
      <c r="G32" t="s">
        <v>522</v>
      </c>
      <c r="H32" t="s">
        <v>3</v>
      </c>
      <c r="I32" t="s">
        <v>522</v>
      </c>
      <c r="J32" t="s">
        <v>522</v>
      </c>
      <c r="K32" t="s">
        <v>3</v>
      </c>
      <c r="L32" t="s">
        <v>3</v>
      </c>
      <c r="M32" t="s">
        <v>3</v>
      </c>
      <c r="N32" t="s">
        <v>521</v>
      </c>
      <c r="O32" t="s">
        <v>522</v>
      </c>
      <c r="P32" t="s">
        <v>3</v>
      </c>
      <c r="Q32" t="s">
        <v>3</v>
      </c>
      <c r="R32" t="s">
        <v>3</v>
      </c>
      <c r="S32" t="s">
        <v>523</v>
      </c>
      <c r="T32" t="s">
        <v>524</v>
      </c>
      <c r="U32" t="s">
        <v>525</v>
      </c>
    </row>
    <row r="33" spans="1:21" x14ac:dyDescent="0.25">
      <c r="A33">
        <v>44</v>
      </c>
      <c r="B33">
        <v>1</v>
      </c>
      <c r="C33" t="s">
        <v>3</v>
      </c>
      <c r="D33" t="s">
        <v>70</v>
      </c>
      <c r="E33" t="s">
        <v>71</v>
      </c>
      <c r="F33" t="s">
        <v>71</v>
      </c>
      <c r="G33" t="s">
        <v>71</v>
      </c>
      <c r="H33" t="s">
        <v>3</v>
      </c>
      <c r="I33" t="s">
        <v>71</v>
      </c>
      <c r="J33" t="s">
        <v>71</v>
      </c>
      <c r="K33" t="s">
        <v>3</v>
      </c>
      <c r="L33" t="s">
        <v>3</v>
      </c>
      <c r="M33" t="s">
        <v>3</v>
      </c>
      <c r="N33" t="s">
        <v>70</v>
      </c>
      <c r="O33" t="s">
        <v>71</v>
      </c>
      <c r="P33" t="s">
        <v>3</v>
      </c>
      <c r="Q33" t="s">
        <v>3</v>
      </c>
      <c r="R33" t="s">
        <v>3</v>
      </c>
      <c r="S33" t="s">
        <v>518</v>
      </c>
      <c r="T33" t="s">
        <v>519</v>
      </c>
      <c r="U33" t="s">
        <v>520</v>
      </c>
    </row>
    <row r="34" spans="1:21" x14ac:dyDescent="0.25">
      <c r="A34">
        <v>45</v>
      </c>
      <c r="B34">
        <v>1</v>
      </c>
      <c r="C34" t="s">
        <v>3</v>
      </c>
      <c r="D34" t="s">
        <v>70</v>
      </c>
      <c r="E34" t="s">
        <v>71</v>
      </c>
      <c r="F34" t="s">
        <v>71</v>
      </c>
      <c r="G34" t="s">
        <v>71</v>
      </c>
      <c r="H34" t="s">
        <v>3</v>
      </c>
      <c r="I34" t="s">
        <v>71</v>
      </c>
      <c r="J34" t="s">
        <v>71</v>
      </c>
      <c r="K34" t="s">
        <v>3</v>
      </c>
      <c r="L34" t="s">
        <v>3</v>
      </c>
      <c r="M34" t="s">
        <v>3</v>
      </c>
      <c r="N34" t="s">
        <v>70</v>
      </c>
      <c r="O34" t="s">
        <v>71</v>
      </c>
      <c r="P34" t="s">
        <v>3</v>
      </c>
      <c r="Q34" t="s">
        <v>3</v>
      </c>
      <c r="R34" t="s">
        <v>3</v>
      </c>
      <c r="S34" t="s">
        <v>518</v>
      </c>
      <c r="T34" t="s">
        <v>519</v>
      </c>
      <c r="U34" t="s">
        <v>520</v>
      </c>
    </row>
    <row r="35" spans="1:21" x14ac:dyDescent="0.25">
      <c r="A35">
        <v>46</v>
      </c>
      <c r="B35">
        <v>1</v>
      </c>
      <c r="C35" t="s">
        <v>3</v>
      </c>
      <c r="D35" t="s">
        <v>70</v>
      </c>
      <c r="E35" t="s">
        <v>71</v>
      </c>
      <c r="F35" t="s">
        <v>71</v>
      </c>
      <c r="G35" t="s">
        <v>71</v>
      </c>
      <c r="H35" t="s">
        <v>3</v>
      </c>
      <c r="I35" t="s">
        <v>71</v>
      </c>
      <c r="J35" t="s">
        <v>71</v>
      </c>
      <c r="K35" t="s">
        <v>3</v>
      </c>
      <c r="L35" t="s">
        <v>3</v>
      </c>
      <c r="M35" t="s">
        <v>3</v>
      </c>
      <c r="N35" t="s">
        <v>70</v>
      </c>
      <c r="O35" t="s">
        <v>71</v>
      </c>
      <c r="P35" t="s">
        <v>3</v>
      </c>
      <c r="Q35" t="s">
        <v>3</v>
      </c>
      <c r="R35" t="s">
        <v>3</v>
      </c>
      <c r="S35" t="s">
        <v>518</v>
      </c>
      <c r="T35" t="s">
        <v>519</v>
      </c>
      <c r="U35" t="s">
        <v>520</v>
      </c>
    </row>
    <row r="36" spans="1:21" x14ac:dyDescent="0.25">
      <c r="A36">
        <v>46</v>
      </c>
      <c r="B36">
        <v>1</v>
      </c>
      <c r="C36" t="s">
        <v>3</v>
      </c>
      <c r="D36" t="s">
        <v>521</v>
      </c>
      <c r="E36" t="s">
        <v>522</v>
      </c>
      <c r="F36" t="s">
        <v>522</v>
      </c>
      <c r="G36" t="s">
        <v>522</v>
      </c>
      <c r="H36" t="s">
        <v>3</v>
      </c>
      <c r="I36" t="s">
        <v>522</v>
      </c>
      <c r="J36" t="s">
        <v>522</v>
      </c>
      <c r="K36" t="s">
        <v>3</v>
      </c>
      <c r="L36" t="s">
        <v>3</v>
      </c>
      <c r="M36" t="s">
        <v>3</v>
      </c>
      <c r="N36" t="s">
        <v>521</v>
      </c>
      <c r="O36" t="s">
        <v>522</v>
      </c>
      <c r="P36" t="s">
        <v>3</v>
      </c>
      <c r="Q36" t="s">
        <v>3</v>
      </c>
      <c r="R36" t="s">
        <v>3</v>
      </c>
      <c r="S36" t="s">
        <v>523</v>
      </c>
      <c r="T36" t="s">
        <v>524</v>
      </c>
      <c r="U36" t="s">
        <v>525</v>
      </c>
    </row>
    <row r="37" spans="1:21" x14ac:dyDescent="0.25">
      <c r="A37">
        <v>47</v>
      </c>
      <c r="B37">
        <v>1</v>
      </c>
      <c r="C37" t="s">
        <v>3</v>
      </c>
      <c r="D37" t="s">
        <v>70</v>
      </c>
      <c r="E37" t="s">
        <v>71</v>
      </c>
      <c r="F37" t="s">
        <v>71</v>
      </c>
      <c r="G37" t="s">
        <v>71</v>
      </c>
      <c r="H37" t="s">
        <v>3</v>
      </c>
      <c r="I37" t="s">
        <v>71</v>
      </c>
      <c r="J37" t="s">
        <v>71</v>
      </c>
      <c r="K37" t="s">
        <v>3</v>
      </c>
      <c r="L37" t="s">
        <v>3</v>
      </c>
      <c r="M37" t="s">
        <v>3</v>
      </c>
      <c r="N37" t="s">
        <v>70</v>
      </c>
      <c r="O37" t="s">
        <v>71</v>
      </c>
      <c r="P37" t="s">
        <v>3</v>
      </c>
      <c r="Q37" t="s">
        <v>3</v>
      </c>
      <c r="R37" t="s">
        <v>3</v>
      </c>
      <c r="S37" t="s">
        <v>518</v>
      </c>
      <c r="T37" t="s">
        <v>519</v>
      </c>
      <c r="U37" t="s">
        <v>520</v>
      </c>
    </row>
    <row r="38" spans="1:21" x14ac:dyDescent="0.25">
      <c r="A38">
        <v>47</v>
      </c>
      <c r="B38">
        <v>1</v>
      </c>
      <c r="C38" t="s">
        <v>3</v>
      </c>
      <c r="D38" t="s">
        <v>521</v>
      </c>
      <c r="E38" t="s">
        <v>522</v>
      </c>
      <c r="F38" t="s">
        <v>522</v>
      </c>
      <c r="G38" t="s">
        <v>522</v>
      </c>
      <c r="H38" t="s">
        <v>3</v>
      </c>
      <c r="I38" t="s">
        <v>522</v>
      </c>
      <c r="J38" t="s">
        <v>522</v>
      </c>
      <c r="K38" t="s">
        <v>3</v>
      </c>
      <c r="L38" t="s">
        <v>3</v>
      </c>
      <c r="M38" t="s">
        <v>3</v>
      </c>
      <c r="N38" t="s">
        <v>521</v>
      </c>
      <c r="O38" t="s">
        <v>522</v>
      </c>
      <c r="P38" t="s">
        <v>3</v>
      </c>
      <c r="Q38" t="s">
        <v>3</v>
      </c>
      <c r="R38" t="s">
        <v>3</v>
      </c>
      <c r="S38" t="s">
        <v>523</v>
      </c>
      <c r="T38" t="s">
        <v>524</v>
      </c>
      <c r="U38" t="s">
        <v>525</v>
      </c>
    </row>
    <row r="39" spans="1:21" x14ac:dyDescent="0.25">
      <c r="A39">
        <v>48</v>
      </c>
      <c r="B39">
        <v>1</v>
      </c>
      <c r="C39" t="s">
        <v>3</v>
      </c>
      <c r="D39" t="s">
        <v>70</v>
      </c>
      <c r="E39" t="s">
        <v>71</v>
      </c>
      <c r="F39" t="s">
        <v>71</v>
      </c>
      <c r="G39" t="s">
        <v>71</v>
      </c>
      <c r="H39" t="s">
        <v>3</v>
      </c>
      <c r="I39" t="s">
        <v>71</v>
      </c>
      <c r="J39" t="s">
        <v>71</v>
      </c>
      <c r="K39" t="s">
        <v>3</v>
      </c>
      <c r="L39" t="s">
        <v>3</v>
      </c>
      <c r="M39" t="s">
        <v>3</v>
      </c>
      <c r="N39" t="s">
        <v>70</v>
      </c>
      <c r="O39" t="s">
        <v>71</v>
      </c>
      <c r="P39" t="s">
        <v>3</v>
      </c>
      <c r="Q39" t="s">
        <v>3</v>
      </c>
      <c r="R39" t="s">
        <v>3</v>
      </c>
      <c r="S39" t="s">
        <v>518</v>
      </c>
      <c r="T39" t="s">
        <v>519</v>
      </c>
      <c r="U39" t="s">
        <v>520</v>
      </c>
    </row>
    <row r="40" spans="1:21" x14ac:dyDescent="0.25">
      <c r="A40">
        <v>49</v>
      </c>
      <c r="B40">
        <v>1</v>
      </c>
      <c r="C40" t="s">
        <v>3</v>
      </c>
      <c r="D40" t="s">
        <v>70</v>
      </c>
      <c r="E40" t="s">
        <v>71</v>
      </c>
      <c r="F40" t="s">
        <v>71</v>
      </c>
      <c r="G40" t="s">
        <v>71</v>
      </c>
      <c r="H40" t="s">
        <v>3</v>
      </c>
      <c r="I40" t="s">
        <v>71</v>
      </c>
      <c r="J40" t="s">
        <v>71</v>
      </c>
      <c r="K40" t="s">
        <v>3</v>
      </c>
      <c r="L40" t="s">
        <v>3</v>
      </c>
      <c r="M40" t="s">
        <v>3</v>
      </c>
      <c r="N40" t="s">
        <v>70</v>
      </c>
      <c r="O40" t="s">
        <v>71</v>
      </c>
      <c r="P40" t="s">
        <v>3</v>
      </c>
      <c r="Q40" t="s">
        <v>3</v>
      </c>
      <c r="R40" t="s">
        <v>3</v>
      </c>
      <c r="S40" t="s">
        <v>518</v>
      </c>
      <c r="T40" t="s">
        <v>519</v>
      </c>
      <c r="U40" t="s">
        <v>520</v>
      </c>
    </row>
    <row r="41" spans="1:21" x14ac:dyDescent="0.25">
      <c r="A41">
        <v>50</v>
      </c>
      <c r="B41">
        <v>1</v>
      </c>
      <c r="C41" t="s">
        <v>3</v>
      </c>
      <c r="D41" t="s">
        <v>70</v>
      </c>
      <c r="E41" t="s">
        <v>71</v>
      </c>
      <c r="F41" t="s">
        <v>71</v>
      </c>
      <c r="G41" t="s">
        <v>71</v>
      </c>
      <c r="H41" t="s">
        <v>3</v>
      </c>
      <c r="I41" t="s">
        <v>71</v>
      </c>
      <c r="J41" t="s">
        <v>71</v>
      </c>
      <c r="K41" t="s">
        <v>3</v>
      </c>
      <c r="L41" t="s">
        <v>3</v>
      </c>
      <c r="M41" t="s">
        <v>3</v>
      </c>
      <c r="N41" t="s">
        <v>70</v>
      </c>
      <c r="O41" t="s">
        <v>71</v>
      </c>
      <c r="P41" t="s">
        <v>3</v>
      </c>
      <c r="Q41" t="s">
        <v>3</v>
      </c>
      <c r="R41" t="s">
        <v>3</v>
      </c>
      <c r="S41" t="s">
        <v>518</v>
      </c>
      <c r="T41" t="s">
        <v>519</v>
      </c>
      <c r="U41" t="s">
        <v>520</v>
      </c>
    </row>
    <row r="42" spans="1:21" x14ac:dyDescent="0.25">
      <c r="A42">
        <v>50</v>
      </c>
      <c r="B42">
        <v>1</v>
      </c>
      <c r="C42" t="s">
        <v>3</v>
      </c>
      <c r="D42" t="s">
        <v>521</v>
      </c>
      <c r="E42" t="s">
        <v>526</v>
      </c>
      <c r="F42" t="s">
        <v>526</v>
      </c>
      <c r="G42" t="s">
        <v>526</v>
      </c>
      <c r="H42" t="s">
        <v>3</v>
      </c>
      <c r="I42" t="s">
        <v>526</v>
      </c>
      <c r="J42" t="s">
        <v>526</v>
      </c>
      <c r="K42" t="s">
        <v>3</v>
      </c>
      <c r="L42" t="s">
        <v>3</v>
      </c>
      <c r="M42" t="s">
        <v>3</v>
      </c>
      <c r="N42" t="s">
        <v>521</v>
      </c>
      <c r="O42" t="s">
        <v>526</v>
      </c>
      <c r="P42" t="s">
        <v>3</v>
      </c>
      <c r="Q42" t="s">
        <v>3</v>
      </c>
      <c r="R42" t="s">
        <v>3</v>
      </c>
      <c r="S42" t="s">
        <v>527</v>
      </c>
      <c r="T42" t="s">
        <v>528</v>
      </c>
      <c r="U42" t="s">
        <v>529</v>
      </c>
    </row>
    <row r="43" spans="1:21" x14ac:dyDescent="0.25">
      <c r="A43">
        <v>51</v>
      </c>
      <c r="B43">
        <v>1</v>
      </c>
      <c r="C43" t="s">
        <v>3</v>
      </c>
      <c r="D43" t="s">
        <v>70</v>
      </c>
      <c r="E43" t="s">
        <v>71</v>
      </c>
      <c r="F43" t="s">
        <v>71</v>
      </c>
      <c r="G43" t="s">
        <v>71</v>
      </c>
      <c r="H43" t="s">
        <v>3</v>
      </c>
      <c r="I43" t="s">
        <v>71</v>
      </c>
      <c r="J43" t="s">
        <v>71</v>
      </c>
      <c r="K43" t="s">
        <v>3</v>
      </c>
      <c r="L43" t="s">
        <v>3</v>
      </c>
      <c r="M43" t="s">
        <v>3</v>
      </c>
      <c r="N43" t="s">
        <v>70</v>
      </c>
      <c r="O43" t="s">
        <v>71</v>
      </c>
      <c r="P43" t="s">
        <v>3</v>
      </c>
      <c r="Q43" t="s">
        <v>3</v>
      </c>
      <c r="R43" t="s">
        <v>3</v>
      </c>
      <c r="S43" t="s">
        <v>518</v>
      </c>
      <c r="T43" t="s">
        <v>519</v>
      </c>
      <c r="U43" t="s">
        <v>520</v>
      </c>
    </row>
    <row r="44" spans="1:21" x14ac:dyDescent="0.25">
      <c r="A44">
        <v>51</v>
      </c>
      <c r="B44">
        <v>1</v>
      </c>
      <c r="C44" t="s">
        <v>3</v>
      </c>
      <c r="D44" t="s">
        <v>521</v>
      </c>
      <c r="E44" t="s">
        <v>526</v>
      </c>
      <c r="F44" t="s">
        <v>526</v>
      </c>
      <c r="G44" t="s">
        <v>526</v>
      </c>
      <c r="H44" t="s">
        <v>3</v>
      </c>
      <c r="I44" t="s">
        <v>526</v>
      </c>
      <c r="J44" t="s">
        <v>526</v>
      </c>
      <c r="K44" t="s">
        <v>3</v>
      </c>
      <c r="L44" t="s">
        <v>3</v>
      </c>
      <c r="M44" t="s">
        <v>3</v>
      </c>
      <c r="N44" t="s">
        <v>521</v>
      </c>
      <c r="O44" t="s">
        <v>526</v>
      </c>
      <c r="P44" t="s">
        <v>3</v>
      </c>
      <c r="Q44" t="s">
        <v>3</v>
      </c>
      <c r="R44" t="s">
        <v>3</v>
      </c>
      <c r="S44" t="s">
        <v>527</v>
      </c>
      <c r="T44" t="s">
        <v>528</v>
      </c>
      <c r="U44" t="s">
        <v>529</v>
      </c>
    </row>
    <row r="45" spans="1:21" x14ac:dyDescent="0.25">
      <c r="A45">
        <v>87</v>
      </c>
      <c r="B45">
        <v>1</v>
      </c>
      <c r="C45" t="s">
        <v>3</v>
      </c>
      <c r="D45" t="s">
        <v>70</v>
      </c>
      <c r="E45" t="s">
        <v>71</v>
      </c>
      <c r="F45" t="s">
        <v>71</v>
      </c>
      <c r="G45" t="s">
        <v>71</v>
      </c>
      <c r="H45" t="s">
        <v>3</v>
      </c>
      <c r="I45" t="s">
        <v>71</v>
      </c>
      <c r="J45" t="s">
        <v>71</v>
      </c>
      <c r="K45" t="s">
        <v>3</v>
      </c>
      <c r="L45" t="s">
        <v>3</v>
      </c>
      <c r="M45" t="s">
        <v>3</v>
      </c>
      <c r="N45" t="s">
        <v>70</v>
      </c>
      <c r="O45" t="s">
        <v>71</v>
      </c>
      <c r="P45" t="s">
        <v>3</v>
      </c>
      <c r="Q45" t="s">
        <v>3</v>
      </c>
      <c r="R45" t="s">
        <v>3</v>
      </c>
      <c r="S45" t="s">
        <v>518</v>
      </c>
      <c r="T45" t="s">
        <v>519</v>
      </c>
      <c r="U45" t="s">
        <v>520</v>
      </c>
    </row>
    <row r="46" spans="1:21" x14ac:dyDescent="0.25">
      <c r="A46">
        <v>88</v>
      </c>
      <c r="B46">
        <v>1</v>
      </c>
      <c r="C46" t="s">
        <v>3</v>
      </c>
      <c r="D46" t="s">
        <v>70</v>
      </c>
      <c r="E46" t="s">
        <v>71</v>
      </c>
      <c r="F46" t="s">
        <v>71</v>
      </c>
      <c r="G46" t="s">
        <v>71</v>
      </c>
      <c r="H46" t="s">
        <v>3</v>
      </c>
      <c r="I46" t="s">
        <v>71</v>
      </c>
      <c r="J46" t="s">
        <v>71</v>
      </c>
      <c r="K46" t="s">
        <v>3</v>
      </c>
      <c r="L46" t="s">
        <v>3</v>
      </c>
      <c r="M46" t="s">
        <v>3</v>
      </c>
      <c r="N46" t="s">
        <v>70</v>
      </c>
      <c r="O46" t="s">
        <v>71</v>
      </c>
      <c r="P46" t="s">
        <v>3</v>
      </c>
      <c r="Q46" t="s">
        <v>3</v>
      </c>
      <c r="R46" t="s">
        <v>3</v>
      </c>
      <c r="S46" t="s">
        <v>518</v>
      </c>
      <c r="T46" t="s">
        <v>519</v>
      </c>
      <c r="U46" t="s">
        <v>520</v>
      </c>
    </row>
    <row r="47" spans="1:21" x14ac:dyDescent="0.25">
      <c r="A47">
        <v>93</v>
      </c>
      <c r="B47">
        <v>1</v>
      </c>
      <c r="C47" t="s">
        <v>3</v>
      </c>
      <c r="D47" t="s">
        <v>70</v>
      </c>
      <c r="E47" t="s">
        <v>71</v>
      </c>
      <c r="F47" t="s">
        <v>71</v>
      </c>
      <c r="G47" t="s">
        <v>71</v>
      </c>
      <c r="H47" t="s">
        <v>3</v>
      </c>
      <c r="I47" t="s">
        <v>71</v>
      </c>
      <c r="J47" t="s">
        <v>71</v>
      </c>
      <c r="K47" t="s">
        <v>3</v>
      </c>
      <c r="L47" t="s">
        <v>3</v>
      </c>
      <c r="M47" t="s">
        <v>3</v>
      </c>
      <c r="N47" t="s">
        <v>70</v>
      </c>
      <c r="O47" t="s">
        <v>71</v>
      </c>
      <c r="P47" t="s">
        <v>3</v>
      </c>
      <c r="Q47" t="s">
        <v>3</v>
      </c>
      <c r="R47" t="s">
        <v>3</v>
      </c>
      <c r="S47" t="s">
        <v>518</v>
      </c>
      <c r="T47" t="s">
        <v>519</v>
      </c>
      <c r="U47" t="s">
        <v>520</v>
      </c>
    </row>
    <row r="48" spans="1:21" x14ac:dyDescent="0.25">
      <c r="A48">
        <v>94</v>
      </c>
      <c r="B48">
        <v>1</v>
      </c>
      <c r="C48" t="s">
        <v>3</v>
      </c>
      <c r="D48" t="s">
        <v>70</v>
      </c>
      <c r="E48" t="s">
        <v>71</v>
      </c>
      <c r="F48" t="s">
        <v>71</v>
      </c>
      <c r="G48" t="s">
        <v>71</v>
      </c>
      <c r="H48" t="s">
        <v>3</v>
      </c>
      <c r="I48" t="s">
        <v>71</v>
      </c>
      <c r="J48" t="s">
        <v>71</v>
      </c>
      <c r="K48" t="s">
        <v>3</v>
      </c>
      <c r="L48" t="s">
        <v>3</v>
      </c>
      <c r="M48" t="s">
        <v>3</v>
      </c>
      <c r="N48" t="s">
        <v>70</v>
      </c>
      <c r="O48" t="s">
        <v>71</v>
      </c>
      <c r="P48" t="s">
        <v>3</v>
      </c>
      <c r="Q48" t="s">
        <v>3</v>
      </c>
      <c r="R48" t="s">
        <v>3</v>
      </c>
      <c r="S48" t="s">
        <v>518</v>
      </c>
      <c r="T48" t="s">
        <v>519</v>
      </c>
      <c r="U48" t="s">
        <v>520</v>
      </c>
    </row>
    <row r="49" spans="1:21" x14ac:dyDescent="0.25">
      <c r="A49">
        <v>95</v>
      </c>
      <c r="B49">
        <v>1</v>
      </c>
      <c r="C49" t="s">
        <v>3</v>
      </c>
      <c r="D49" t="s">
        <v>70</v>
      </c>
      <c r="E49" t="s">
        <v>71</v>
      </c>
      <c r="F49" t="s">
        <v>71</v>
      </c>
      <c r="G49" t="s">
        <v>71</v>
      </c>
      <c r="H49" t="s">
        <v>3</v>
      </c>
      <c r="I49" t="s">
        <v>71</v>
      </c>
      <c r="J49" t="s">
        <v>71</v>
      </c>
      <c r="K49" t="s">
        <v>3</v>
      </c>
      <c r="L49" t="s">
        <v>3</v>
      </c>
      <c r="M49" t="s">
        <v>3</v>
      </c>
      <c r="N49" t="s">
        <v>70</v>
      </c>
      <c r="O49" t="s">
        <v>71</v>
      </c>
      <c r="P49" t="s">
        <v>3</v>
      </c>
      <c r="Q49" t="s">
        <v>3</v>
      </c>
      <c r="R49" t="s">
        <v>3</v>
      </c>
      <c r="S49" t="s">
        <v>518</v>
      </c>
      <c r="T49" t="s">
        <v>519</v>
      </c>
      <c r="U49" t="s">
        <v>520</v>
      </c>
    </row>
    <row r="50" spans="1:21" x14ac:dyDescent="0.25">
      <c r="A50">
        <v>96</v>
      </c>
      <c r="B50">
        <v>1</v>
      </c>
      <c r="C50" t="s">
        <v>3</v>
      </c>
      <c r="D50" t="s">
        <v>70</v>
      </c>
      <c r="E50" t="s">
        <v>71</v>
      </c>
      <c r="F50" t="s">
        <v>71</v>
      </c>
      <c r="G50" t="s">
        <v>71</v>
      </c>
      <c r="H50" t="s">
        <v>3</v>
      </c>
      <c r="I50" t="s">
        <v>71</v>
      </c>
      <c r="J50" t="s">
        <v>71</v>
      </c>
      <c r="K50" t="s">
        <v>3</v>
      </c>
      <c r="L50" t="s">
        <v>3</v>
      </c>
      <c r="M50" t="s">
        <v>3</v>
      </c>
      <c r="N50" t="s">
        <v>70</v>
      </c>
      <c r="O50" t="s">
        <v>71</v>
      </c>
      <c r="P50" t="s">
        <v>3</v>
      </c>
      <c r="Q50" t="s">
        <v>3</v>
      </c>
      <c r="R50" t="s">
        <v>3</v>
      </c>
      <c r="S50" t="s">
        <v>518</v>
      </c>
      <c r="T50" t="s">
        <v>519</v>
      </c>
      <c r="U50" t="s">
        <v>520</v>
      </c>
    </row>
    <row r="51" spans="1:21" x14ac:dyDescent="0.25">
      <c r="A51">
        <v>99</v>
      </c>
      <c r="B51">
        <v>1</v>
      </c>
      <c r="C51" t="s">
        <v>3</v>
      </c>
      <c r="D51" t="s">
        <v>70</v>
      </c>
      <c r="E51" t="s">
        <v>71</v>
      </c>
      <c r="F51" t="s">
        <v>71</v>
      </c>
      <c r="G51" t="s">
        <v>71</v>
      </c>
      <c r="H51" t="s">
        <v>3</v>
      </c>
      <c r="I51" t="s">
        <v>71</v>
      </c>
      <c r="J51" t="s">
        <v>71</v>
      </c>
      <c r="K51" t="s">
        <v>3</v>
      </c>
      <c r="L51" t="s">
        <v>3</v>
      </c>
      <c r="M51" t="s">
        <v>3</v>
      </c>
      <c r="N51" t="s">
        <v>70</v>
      </c>
      <c r="O51" t="s">
        <v>71</v>
      </c>
      <c r="P51" t="s">
        <v>3</v>
      </c>
      <c r="Q51" t="s">
        <v>3</v>
      </c>
      <c r="R51" t="s">
        <v>3</v>
      </c>
      <c r="S51" t="s">
        <v>518</v>
      </c>
      <c r="T51" t="s">
        <v>519</v>
      </c>
      <c r="U51" t="s">
        <v>520</v>
      </c>
    </row>
    <row r="52" spans="1:21" x14ac:dyDescent="0.25">
      <c r="A52">
        <v>100</v>
      </c>
      <c r="B52">
        <v>1</v>
      </c>
      <c r="C52" t="s">
        <v>3</v>
      </c>
      <c r="D52" t="s">
        <v>70</v>
      </c>
      <c r="E52" t="s">
        <v>71</v>
      </c>
      <c r="F52" t="s">
        <v>71</v>
      </c>
      <c r="G52" t="s">
        <v>71</v>
      </c>
      <c r="H52" t="s">
        <v>3</v>
      </c>
      <c r="I52" t="s">
        <v>71</v>
      </c>
      <c r="J52" t="s">
        <v>71</v>
      </c>
      <c r="K52" t="s">
        <v>3</v>
      </c>
      <c r="L52" t="s">
        <v>3</v>
      </c>
      <c r="M52" t="s">
        <v>3</v>
      </c>
      <c r="N52" t="s">
        <v>70</v>
      </c>
      <c r="O52" t="s">
        <v>71</v>
      </c>
      <c r="P52" t="s">
        <v>3</v>
      </c>
      <c r="Q52" t="s">
        <v>3</v>
      </c>
      <c r="R52" t="s">
        <v>3</v>
      </c>
      <c r="S52" t="s">
        <v>518</v>
      </c>
      <c r="T52" t="s">
        <v>519</v>
      </c>
      <c r="U52" t="s">
        <v>520</v>
      </c>
    </row>
    <row r="53" spans="1:21" x14ac:dyDescent="0.25">
      <c r="A53">
        <v>101</v>
      </c>
      <c r="B53">
        <v>1</v>
      </c>
      <c r="C53" t="s">
        <v>3</v>
      </c>
      <c r="D53" t="s">
        <v>70</v>
      </c>
      <c r="E53" t="s">
        <v>71</v>
      </c>
      <c r="F53" t="s">
        <v>71</v>
      </c>
      <c r="G53" t="s">
        <v>71</v>
      </c>
      <c r="H53" t="s">
        <v>3</v>
      </c>
      <c r="I53" t="s">
        <v>71</v>
      </c>
      <c r="J53" t="s">
        <v>71</v>
      </c>
      <c r="K53" t="s">
        <v>3</v>
      </c>
      <c r="L53" t="s">
        <v>3</v>
      </c>
      <c r="M53" t="s">
        <v>3</v>
      </c>
      <c r="N53" t="s">
        <v>70</v>
      </c>
      <c r="O53" t="s">
        <v>71</v>
      </c>
      <c r="P53" t="s">
        <v>3</v>
      </c>
      <c r="Q53" t="s">
        <v>3</v>
      </c>
      <c r="R53" t="s">
        <v>3</v>
      </c>
      <c r="S53" t="s">
        <v>518</v>
      </c>
      <c r="T53" t="s">
        <v>519</v>
      </c>
      <c r="U53" t="s">
        <v>520</v>
      </c>
    </row>
    <row r="54" spans="1:21" x14ac:dyDescent="0.25">
      <c r="A54">
        <v>102</v>
      </c>
      <c r="B54">
        <v>1</v>
      </c>
      <c r="C54" t="s">
        <v>3</v>
      </c>
      <c r="D54" t="s">
        <v>70</v>
      </c>
      <c r="E54" t="s">
        <v>71</v>
      </c>
      <c r="F54" t="s">
        <v>71</v>
      </c>
      <c r="G54" t="s">
        <v>71</v>
      </c>
      <c r="H54" t="s">
        <v>3</v>
      </c>
      <c r="I54" t="s">
        <v>71</v>
      </c>
      <c r="J54" t="s">
        <v>71</v>
      </c>
      <c r="K54" t="s">
        <v>3</v>
      </c>
      <c r="L54" t="s">
        <v>3</v>
      </c>
      <c r="M54" t="s">
        <v>3</v>
      </c>
      <c r="N54" t="s">
        <v>70</v>
      </c>
      <c r="O54" t="s">
        <v>71</v>
      </c>
      <c r="P54" t="s">
        <v>3</v>
      </c>
      <c r="Q54" t="s">
        <v>3</v>
      </c>
      <c r="R54" t="s">
        <v>3</v>
      </c>
      <c r="S54" t="s">
        <v>518</v>
      </c>
      <c r="T54" t="s">
        <v>519</v>
      </c>
      <c r="U54" t="s">
        <v>520</v>
      </c>
    </row>
    <row r="55" spans="1:21" x14ac:dyDescent="0.25">
      <c r="A55">
        <v>105</v>
      </c>
      <c r="B55">
        <v>1</v>
      </c>
      <c r="C55" t="s">
        <v>3</v>
      </c>
      <c r="D55" t="s">
        <v>70</v>
      </c>
      <c r="E55" t="s">
        <v>71</v>
      </c>
      <c r="F55" t="s">
        <v>71</v>
      </c>
      <c r="G55" t="s">
        <v>71</v>
      </c>
      <c r="H55" t="s">
        <v>3</v>
      </c>
      <c r="I55" t="s">
        <v>71</v>
      </c>
      <c r="J55" t="s">
        <v>71</v>
      </c>
      <c r="K55" t="s">
        <v>3</v>
      </c>
      <c r="L55" t="s">
        <v>3</v>
      </c>
      <c r="M55" t="s">
        <v>3</v>
      </c>
      <c r="N55" t="s">
        <v>70</v>
      </c>
      <c r="O55" t="s">
        <v>71</v>
      </c>
      <c r="P55" t="s">
        <v>3</v>
      </c>
      <c r="Q55" t="s">
        <v>3</v>
      </c>
      <c r="R55" t="s">
        <v>3</v>
      </c>
      <c r="S55" t="s">
        <v>518</v>
      </c>
      <c r="T55" t="s">
        <v>519</v>
      </c>
      <c r="U55" t="s">
        <v>520</v>
      </c>
    </row>
    <row r="56" spans="1:21" x14ac:dyDescent="0.25">
      <c r="A56">
        <v>106</v>
      </c>
      <c r="B56">
        <v>1</v>
      </c>
      <c r="C56" t="s">
        <v>3</v>
      </c>
      <c r="D56" t="s">
        <v>70</v>
      </c>
      <c r="E56" t="s">
        <v>71</v>
      </c>
      <c r="F56" t="s">
        <v>71</v>
      </c>
      <c r="G56" t="s">
        <v>71</v>
      </c>
      <c r="H56" t="s">
        <v>3</v>
      </c>
      <c r="I56" t="s">
        <v>71</v>
      </c>
      <c r="J56" t="s">
        <v>71</v>
      </c>
      <c r="K56" t="s">
        <v>3</v>
      </c>
      <c r="L56" t="s">
        <v>3</v>
      </c>
      <c r="M56" t="s">
        <v>3</v>
      </c>
      <c r="N56" t="s">
        <v>70</v>
      </c>
      <c r="O56" t="s">
        <v>71</v>
      </c>
      <c r="P56" t="s">
        <v>3</v>
      </c>
      <c r="Q56" t="s">
        <v>3</v>
      </c>
      <c r="R56" t="s">
        <v>3</v>
      </c>
      <c r="S56" t="s">
        <v>518</v>
      </c>
      <c r="T56" t="s">
        <v>519</v>
      </c>
      <c r="U56" t="s">
        <v>520</v>
      </c>
    </row>
    <row r="57" spans="1:21" x14ac:dyDescent="0.25">
      <c r="A57">
        <v>109</v>
      </c>
      <c r="B57">
        <v>1</v>
      </c>
      <c r="C57" t="s">
        <v>3</v>
      </c>
      <c r="D57" t="s">
        <v>70</v>
      </c>
      <c r="E57" t="s">
        <v>71</v>
      </c>
      <c r="F57" t="s">
        <v>71</v>
      </c>
      <c r="G57" t="s">
        <v>71</v>
      </c>
      <c r="H57" t="s">
        <v>3</v>
      </c>
      <c r="I57" t="s">
        <v>71</v>
      </c>
      <c r="J57" t="s">
        <v>71</v>
      </c>
      <c r="K57" t="s">
        <v>3</v>
      </c>
      <c r="L57" t="s">
        <v>3</v>
      </c>
      <c r="M57" t="s">
        <v>3</v>
      </c>
      <c r="N57" t="s">
        <v>70</v>
      </c>
      <c r="O57" t="s">
        <v>71</v>
      </c>
      <c r="P57" t="s">
        <v>3</v>
      </c>
      <c r="Q57" t="s">
        <v>3</v>
      </c>
      <c r="R57" t="s">
        <v>3</v>
      </c>
      <c r="S57" t="s">
        <v>518</v>
      </c>
      <c r="T57" t="s">
        <v>519</v>
      </c>
      <c r="U57" t="s">
        <v>520</v>
      </c>
    </row>
    <row r="58" spans="1:21" x14ac:dyDescent="0.25">
      <c r="A58">
        <v>110</v>
      </c>
      <c r="B58">
        <v>1</v>
      </c>
      <c r="C58" t="s">
        <v>3</v>
      </c>
      <c r="D58" t="s">
        <v>70</v>
      </c>
      <c r="E58" t="s">
        <v>71</v>
      </c>
      <c r="F58" t="s">
        <v>71</v>
      </c>
      <c r="G58" t="s">
        <v>71</v>
      </c>
      <c r="H58" t="s">
        <v>3</v>
      </c>
      <c r="I58" t="s">
        <v>71</v>
      </c>
      <c r="J58" t="s">
        <v>71</v>
      </c>
      <c r="K58" t="s">
        <v>3</v>
      </c>
      <c r="L58" t="s">
        <v>3</v>
      </c>
      <c r="M58" t="s">
        <v>3</v>
      </c>
      <c r="N58" t="s">
        <v>70</v>
      </c>
      <c r="O58" t="s">
        <v>71</v>
      </c>
      <c r="P58" t="s">
        <v>3</v>
      </c>
      <c r="Q58" t="s">
        <v>3</v>
      </c>
      <c r="R58" t="s">
        <v>3</v>
      </c>
      <c r="S58" t="s">
        <v>518</v>
      </c>
      <c r="T58" t="s">
        <v>519</v>
      </c>
      <c r="U58" t="s">
        <v>520</v>
      </c>
    </row>
    <row r="59" spans="1:21" x14ac:dyDescent="0.25">
      <c r="A59">
        <v>111</v>
      </c>
      <c r="B59">
        <v>1</v>
      </c>
      <c r="C59" t="s">
        <v>3</v>
      </c>
      <c r="D59" t="s">
        <v>70</v>
      </c>
      <c r="E59" t="s">
        <v>71</v>
      </c>
      <c r="F59" t="s">
        <v>71</v>
      </c>
      <c r="G59" t="s">
        <v>71</v>
      </c>
      <c r="H59" t="s">
        <v>3</v>
      </c>
      <c r="I59" t="s">
        <v>71</v>
      </c>
      <c r="J59" t="s">
        <v>71</v>
      </c>
      <c r="K59" t="s">
        <v>3</v>
      </c>
      <c r="L59" t="s">
        <v>3</v>
      </c>
      <c r="M59" t="s">
        <v>3</v>
      </c>
      <c r="N59" t="s">
        <v>70</v>
      </c>
      <c r="O59" t="s">
        <v>71</v>
      </c>
      <c r="P59" t="s">
        <v>3</v>
      </c>
      <c r="Q59" t="s">
        <v>3</v>
      </c>
      <c r="R59" t="s">
        <v>3</v>
      </c>
      <c r="S59" t="s">
        <v>518</v>
      </c>
      <c r="T59" t="s">
        <v>519</v>
      </c>
      <c r="U59" t="s">
        <v>520</v>
      </c>
    </row>
    <row r="60" spans="1:21" x14ac:dyDescent="0.25">
      <c r="A60">
        <v>112</v>
      </c>
      <c r="B60">
        <v>1</v>
      </c>
      <c r="C60" t="s">
        <v>3</v>
      </c>
      <c r="D60" t="s">
        <v>70</v>
      </c>
      <c r="E60" t="s">
        <v>71</v>
      </c>
      <c r="F60" t="s">
        <v>71</v>
      </c>
      <c r="G60" t="s">
        <v>71</v>
      </c>
      <c r="H60" t="s">
        <v>3</v>
      </c>
      <c r="I60" t="s">
        <v>71</v>
      </c>
      <c r="J60" t="s">
        <v>71</v>
      </c>
      <c r="K60" t="s">
        <v>3</v>
      </c>
      <c r="L60" t="s">
        <v>3</v>
      </c>
      <c r="M60" t="s">
        <v>3</v>
      </c>
      <c r="N60" t="s">
        <v>70</v>
      </c>
      <c r="O60" t="s">
        <v>71</v>
      </c>
      <c r="P60" t="s">
        <v>3</v>
      </c>
      <c r="Q60" t="s">
        <v>3</v>
      </c>
      <c r="R60" t="s">
        <v>3</v>
      </c>
      <c r="S60" t="s">
        <v>518</v>
      </c>
      <c r="T60" t="s">
        <v>519</v>
      </c>
      <c r="U60" t="s">
        <v>520</v>
      </c>
    </row>
    <row r="61" spans="1:21" x14ac:dyDescent="0.25">
      <c r="A61">
        <v>115</v>
      </c>
      <c r="B61">
        <v>1</v>
      </c>
      <c r="C61" t="s">
        <v>3</v>
      </c>
      <c r="D61" t="s">
        <v>70</v>
      </c>
      <c r="E61" t="s">
        <v>71</v>
      </c>
      <c r="F61" t="s">
        <v>71</v>
      </c>
      <c r="G61" t="s">
        <v>71</v>
      </c>
      <c r="H61" t="s">
        <v>3</v>
      </c>
      <c r="I61" t="s">
        <v>71</v>
      </c>
      <c r="J61" t="s">
        <v>71</v>
      </c>
      <c r="K61" t="s">
        <v>3</v>
      </c>
      <c r="L61" t="s">
        <v>3</v>
      </c>
      <c r="M61" t="s">
        <v>3</v>
      </c>
      <c r="N61" t="s">
        <v>70</v>
      </c>
      <c r="O61" t="s">
        <v>71</v>
      </c>
      <c r="P61" t="s">
        <v>3</v>
      </c>
      <c r="Q61" t="s">
        <v>3</v>
      </c>
      <c r="R61" t="s">
        <v>3</v>
      </c>
      <c r="S61" t="s">
        <v>518</v>
      </c>
      <c r="T61" t="s">
        <v>519</v>
      </c>
      <c r="U61" t="s">
        <v>520</v>
      </c>
    </row>
    <row r="62" spans="1:21" x14ac:dyDescent="0.25">
      <c r="A62">
        <v>116</v>
      </c>
      <c r="B62">
        <v>1</v>
      </c>
      <c r="C62" t="s">
        <v>3</v>
      </c>
      <c r="D62" t="s">
        <v>70</v>
      </c>
      <c r="E62" t="s">
        <v>71</v>
      </c>
      <c r="F62" t="s">
        <v>71</v>
      </c>
      <c r="G62" t="s">
        <v>71</v>
      </c>
      <c r="H62" t="s">
        <v>3</v>
      </c>
      <c r="I62" t="s">
        <v>71</v>
      </c>
      <c r="J62" t="s">
        <v>71</v>
      </c>
      <c r="K62" t="s">
        <v>3</v>
      </c>
      <c r="L62" t="s">
        <v>3</v>
      </c>
      <c r="M62" t="s">
        <v>3</v>
      </c>
      <c r="N62" t="s">
        <v>70</v>
      </c>
      <c r="O62" t="s">
        <v>71</v>
      </c>
      <c r="P62" t="s">
        <v>3</v>
      </c>
      <c r="Q62" t="s">
        <v>3</v>
      </c>
      <c r="R62" t="s">
        <v>3</v>
      </c>
      <c r="S62" t="s">
        <v>518</v>
      </c>
      <c r="T62" t="s">
        <v>519</v>
      </c>
      <c r="U62" t="s">
        <v>520</v>
      </c>
    </row>
    <row r="63" spans="1:21" x14ac:dyDescent="0.25">
      <c r="A63">
        <v>119</v>
      </c>
      <c r="B63">
        <v>1</v>
      </c>
      <c r="C63" t="s">
        <v>3</v>
      </c>
      <c r="D63" t="s">
        <v>70</v>
      </c>
      <c r="E63" t="s">
        <v>71</v>
      </c>
      <c r="F63" t="s">
        <v>71</v>
      </c>
      <c r="G63" t="s">
        <v>71</v>
      </c>
      <c r="H63" t="s">
        <v>3</v>
      </c>
      <c r="I63" t="s">
        <v>71</v>
      </c>
      <c r="J63" t="s">
        <v>71</v>
      </c>
      <c r="K63" t="s">
        <v>3</v>
      </c>
      <c r="L63" t="s">
        <v>3</v>
      </c>
      <c r="M63" t="s">
        <v>3</v>
      </c>
      <c r="N63" t="s">
        <v>70</v>
      </c>
      <c r="O63" t="s">
        <v>71</v>
      </c>
      <c r="P63" t="s">
        <v>3</v>
      </c>
      <c r="Q63" t="s">
        <v>3</v>
      </c>
      <c r="R63" t="s">
        <v>3</v>
      </c>
      <c r="S63" t="s">
        <v>518</v>
      </c>
      <c r="T63" t="s">
        <v>519</v>
      </c>
      <c r="U63" t="s">
        <v>520</v>
      </c>
    </row>
    <row r="64" spans="1:21" x14ac:dyDescent="0.25">
      <c r="A64">
        <v>120</v>
      </c>
      <c r="B64">
        <v>1</v>
      </c>
      <c r="C64" t="s">
        <v>3</v>
      </c>
      <c r="D64" t="s">
        <v>70</v>
      </c>
      <c r="E64" t="s">
        <v>71</v>
      </c>
      <c r="F64" t="s">
        <v>71</v>
      </c>
      <c r="G64" t="s">
        <v>71</v>
      </c>
      <c r="H64" t="s">
        <v>3</v>
      </c>
      <c r="I64" t="s">
        <v>71</v>
      </c>
      <c r="J64" t="s">
        <v>71</v>
      </c>
      <c r="K64" t="s">
        <v>3</v>
      </c>
      <c r="L64" t="s">
        <v>3</v>
      </c>
      <c r="M64" t="s">
        <v>3</v>
      </c>
      <c r="N64" t="s">
        <v>70</v>
      </c>
      <c r="O64" t="s">
        <v>71</v>
      </c>
      <c r="P64" t="s">
        <v>3</v>
      </c>
      <c r="Q64" t="s">
        <v>3</v>
      </c>
      <c r="R64" t="s">
        <v>3</v>
      </c>
      <c r="S64" t="s">
        <v>518</v>
      </c>
      <c r="T64" t="s">
        <v>519</v>
      </c>
      <c r="U64" t="s">
        <v>520</v>
      </c>
    </row>
    <row r="65" spans="1:21" x14ac:dyDescent="0.25">
      <c r="A65">
        <v>125</v>
      </c>
      <c r="B65">
        <v>1</v>
      </c>
      <c r="C65" t="s">
        <v>3</v>
      </c>
      <c r="D65" t="s">
        <v>70</v>
      </c>
      <c r="E65" t="s">
        <v>71</v>
      </c>
      <c r="F65" t="s">
        <v>71</v>
      </c>
      <c r="G65" t="s">
        <v>71</v>
      </c>
      <c r="H65" t="s">
        <v>3</v>
      </c>
      <c r="I65" t="s">
        <v>71</v>
      </c>
      <c r="J65" t="s">
        <v>71</v>
      </c>
      <c r="K65" t="s">
        <v>3</v>
      </c>
      <c r="L65" t="s">
        <v>3</v>
      </c>
      <c r="M65" t="s">
        <v>3</v>
      </c>
      <c r="N65" t="s">
        <v>70</v>
      </c>
      <c r="O65" t="s">
        <v>71</v>
      </c>
      <c r="P65" t="s">
        <v>3</v>
      </c>
      <c r="Q65" t="s">
        <v>3</v>
      </c>
      <c r="R65" t="s">
        <v>3</v>
      </c>
      <c r="S65" t="s">
        <v>518</v>
      </c>
      <c r="T65" t="s">
        <v>519</v>
      </c>
      <c r="U65" t="s">
        <v>520</v>
      </c>
    </row>
    <row r="66" spans="1:21" x14ac:dyDescent="0.25">
      <c r="A66">
        <v>126</v>
      </c>
      <c r="B66">
        <v>1</v>
      </c>
      <c r="C66" t="s">
        <v>3</v>
      </c>
      <c r="D66" t="s">
        <v>70</v>
      </c>
      <c r="E66" t="s">
        <v>71</v>
      </c>
      <c r="F66" t="s">
        <v>71</v>
      </c>
      <c r="G66" t="s">
        <v>71</v>
      </c>
      <c r="H66" t="s">
        <v>3</v>
      </c>
      <c r="I66" t="s">
        <v>71</v>
      </c>
      <c r="J66" t="s">
        <v>71</v>
      </c>
      <c r="K66" t="s">
        <v>3</v>
      </c>
      <c r="L66" t="s">
        <v>3</v>
      </c>
      <c r="M66" t="s">
        <v>3</v>
      </c>
      <c r="N66" t="s">
        <v>70</v>
      </c>
      <c r="O66" t="s">
        <v>71</v>
      </c>
      <c r="P66" t="s">
        <v>3</v>
      </c>
      <c r="Q66" t="s">
        <v>3</v>
      </c>
      <c r="R66" t="s">
        <v>3</v>
      </c>
      <c r="S66" t="s">
        <v>518</v>
      </c>
      <c r="T66" t="s">
        <v>519</v>
      </c>
      <c r="U66" t="s">
        <v>520</v>
      </c>
    </row>
    <row r="67" spans="1:21" x14ac:dyDescent="0.25">
      <c r="A67">
        <v>127</v>
      </c>
      <c r="B67">
        <v>1</v>
      </c>
      <c r="C67" t="s">
        <v>3</v>
      </c>
      <c r="D67" t="s">
        <v>70</v>
      </c>
      <c r="E67" t="s">
        <v>71</v>
      </c>
      <c r="F67" t="s">
        <v>71</v>
      </c>
      <c r="G67" t="s">
        <v>71</v>
      </c>
      <c r="H67" t="s">
        <v>3</v>
      </c>
      <c r="I67" t="s">
        <v>71</v>
      </c>
      <c r="J67" t="s">
        <v>71</v>
      </c>
      <c r="K67" t="s">
        <v>3</v>
      </c>
      <c r="L67" t="s">
        <v>3</v>
      </c>
      <c r="M67" t="s">
        <v>3</v>
      </c>
      <c r="N67" t="s">
        <v>70</v>
      </c>
      <c r="O67" t="s">
        <v>71</v>
      </c>
      <c r="P67" t="s">
        <v>3</v>
      </c>
      <c r="Q67" t="s">
        <v>3</v>
      </c>
      <c r="R67" t="s">
        <v>3</v>
      </c>
      <c r="S67" t="s">
        <v>518</v>
      </c>
      <c r="T67" t="s">
        <v>519</v>
      </c>
      <c r="U67" t="s">
        <v>520</v>
      </c>
    </row>
    <row r="68" spans="1:21" x14ac:dyDescent="0.25">
      <c r="A68">
        <v>128</v>
      </c>
      <c r="B68">
        <v>1</v>
      </c>
      <c r="C68" t="s">
        <v>3</v>
      </c>
      <c r="D68" t="s">
        <v>70</v>
      </c>
      <c r="E68" t="s">
        <v>71</v>
      </c>
      <c r="F68" t="s">
        <v>71</v>
      </c>
      <c r="G68" t="s">
        <v>71</v>
      </c>
      <c r="H68" t="s">
        <v>3</v>
      </c>
      <c r="I68" t="s">
        <v>71</v>
      </c>
      <c r="J68" t="s">
        <v>71</v>
      </c>
      <c r="K68" t="s">
        <v>3</v>
      </c>
      <c r="L68" t="s">
        <v>3</v>
      </c>
      <c r="M68" t="s">
        <v>3</v>
      </c>
      <c r="N68" t="s">
        <v>70</v>
      </c>
      <c r="O68" t="s">
        <v>71</v>
      </c>
      <c r="P68" t="s">
        <v>3</v>
      </c>
      <c r="Q68" t="s">
        <v>3</v>
      </c>
      <c r="R68" t="s">
        <v>3</v>
      </c>
      <c r="S68" t="s">
        <v>518</v>
      </c>
      <c r="T68" t="s">
        <v>519</v>
      </c>
      <c r="U68" t="s">
        <v>520</v>
      </c>
    </row>
    <row r="69" spans="1:21" x14ac:dyDescent="0.25">
      <c r="A69">
        <v>131</v>
      </c>
      <c r="B69">
        <v>1</v>
      </c>
      <c r="C69" t="s">
        <v>3</v>
      </c>
      <c r="D69" t="s">
        <v>70</v>
      </c>
      <c r="E69" t="s">
        <v>71</v>
      </c>
      <c r="F69" t="s">
        <v>71</v>
      </c>
      <c r="G69" t="s">
        <v>71</v>
      </c>
      <c r="H69" t="s">
        <v>3</v>
      </c>
      <c r="I69" t="s">
        <v>71</v>
      </c>
      <c r="J69" t="s">
        <v>71</v>
      </c>
      <c r="K69" t="s">
        <v>3</v>
      </c>
      <c r="L69" t="s">
        <v>3</v>
      </c>
      <c r="M69" t="s">
        <v>3</v>
      </c>
      <c r="N69" t="s">
        <v>70</v>
      </c>
      <c r="O69" t="s">
        <v>71</v>
      </c>
      <c r="P69" t="s">
        <v>3</v>
      </c>
      <c r="Q69" t="s">
        <v>3</v>
      </c>
      <c r="R69" t="s">
        <v>3</v>
      </c>
      <c r="S69" t="s">
        <v>518</v>
      </c>
      <c r="T69" t="s">
        <v>519</v>
      </c>
      <c r="U69" t="s">
        <v>520</v>
      </c>
    </row>
    <row r="70" spans="1:21" x14ac:dyDescent="0.25">
      <c r="A70">
        <v>132</v>
      </c>
      <c r="B70">
        <v>1</v>
      </c>
      <c r="C70" t="s">
        <v>3</v>
      </c>
      <c r="D70" t="s">
        <v>70</v>
      </c>
      <c r="E70" t="s">
        <v>71</v>
      </c>
      <c r="F70" t="s">
        <v>71</v>
      </c>
      <c r="G70" t="s">
        <v>71</v>
      </c>
      <c r="H70" t="s">
        <v>3</v>
      </c>
      <c r="I70" t="s">
        <v>71</v>
      </c>
      <c r="J70" t="s">
        <v>71</v>
      </c>
      <c r="K70" t="s">
        <v>3</v>
      </c>
      <c r="L70" t="s">
        <v>3</v>
      </c>
      <c r="M70" t="s">
        <v>3</v>
      </c>
      <c r="N70" t="s">
        <v>70</v>
      </c>
      <c r="O70" t="s">
        <v>71</v>
      </c>
      <c r="P70" t="s">
        <v>3</v>
      </c>
      <c r="Q70" t="s">
        <v>3</v>
      </c>
      <c r="R70" t="s">
        <v>3</v>
      </c>
      <c r="S70" t="s">
        <v>518</v>
      </c>
      <c r="T70" t="s">
        <v>519</v>
      </c>
      <c r="U70" t="s">
        <v>520</v>
      </c>
    </row>
    <row r="71" spans="1:21" x14ac:dyDescent="0.25">
      <c r="A71">
        <v>133</v>
      </c>
      <c r="B71">
        <v>1</v>
      </c>
      <c r="C71" t="s">
        <v>3</v>
      </c>
      <c r="D71" t="s">
        <v>70</v>
      </c>
      <c r="E71" t="s">
        <v>71</v>
      </c>
      <c r="F71" t="s">
        <v>71</v>
      </c>
      <c r="G71" t="s">
        <v>71</v>
      </c>
      <c r="H71" t="s">
        <v>3</v>
      </c>
      <c r="I71" t="s">
        <v>71</v>
      </c>
      <c r="J71" t="s">
        <v>71</v>
      </c>
      <c r="K71" t="s">
        <v>3</v>
      </c>
      <c r="L71" t="s">
        <v>3</v>
      </c>
      <c r="M71" t="s">
        <v>3</v>
      </c>
      <c r="N71" t="s">
        <v>70</v>
      </c>
      <c r="O71" t="s">
        <v>71</v>
      </c>
      <c r="P71" t="s">
        <v>3</v>
      </c>
      <c r="Q71" t="s">
        <v>3</v>
      </c>
      <c r="R71" t="s">
        <v>3</v>
      </c>
      <c r="S71" t="s">
        <v>518</v>
      </c>
      <c r="T71" t="s">
        <v>519</v>
      </c>
      <c r="U71" t="s">
        <v>520</v>
      </c>
    </row>
    <row r="72" spans="1:21" x14ac:dyDescent="0.25">
      <c r="A72">
        <v>134</v>
      </c>
      <c r="B72">
        <v>1</v>
      </c>
      <c r="C72" t="s">
        <v>3</v>
      </c>
      <c r="D72" t="s">
        <v>70</v>
      </c>
      <c r="E72" t="s">
        <v>71</v>
      </c>
      <c r="F72" t="s">
        <v>71</v>
      </c>
      <c r="G72" t="s">
        <v>71</v>
      </c>
      <c r="H72" t="s">
        <v>3</v>
      </c>
      <c r="I72" t="s">
        <v>71</v>
      </c>
      <c r="J72" t="s">
        <v>71</v>
      </c>
      <c r="K72" t="s">
        <v>3</v>
      </c>
      <c r="L72" t="s">
        <v>3</v>
      </c>
      <c r="M72" t="s">
        <v>3</v>
      </c>
      <c r="N72" t="s">
        <v>70</v>
      </c>
      <c r="O72" t="s">
        <v>71</v>
      </c>
      <c r="P72" t="s">
        <v>3</v>
      </c>
      <c r="Q72" t="s">
        <v>3</v>
      </c>
      <c r="R72" t="s">
        <v>3</v>
      </c>
      <c r="S72" t="s">
        <v>518</v>
      </c>
      <c r="T72" t="s">
        <v>519</v>
      </c>
      <c r="U72" t="s">
        <v>520</v>
      </c>
    </row>
    <row r="73" spans="1:21" x14ac:dyDescent="0.25">
      <c r="A73">
        <v>137</v>
      </c>
      <c r="B73">
        <v>1</v>
      </c>
      <c r="C73" t="s">
        <v>3</v>
      </c>
      <c r="D73" t="s">
        <v>70</v>
      </c>
      <c r="E73" t="s">
        <v>71</v>
      </c>
      <c r="F73" t="s">
        <v>71</v>
      </c>
      <c r="G73" t="s">
        <v>71</v>
      </c>
      <c r="H73" t="s">
        <v>3</v>
      </c>
      <c r="I73" t="s">
        <v>71</v>
      </c>
      <c r="J73" t="s">
        <v>71</v>
      </c>
      <c r="K73" t="s">
        <v>3</v>
      </c>
      <c r="L73" t="s">
        <v>3</v>
      </c>
      <c r="M73" t="s">
        <v>3</v>
      </c>
      <c r="N73" t="s">
        <v>70</v>
      </c>
      <c r="O73" t="s">
        <v>71</v>
      </c>
      <c r="P73" t="s">
        <v>3</v>
      </c>
      <c r="Q73" t="s">
        <v>3</v>
      </c>
      <c r="R73" t="s">
        <v>3</v>
      </c>
      <c r="S73" t="s">
        <v>518</v>
      </c>
      <c r="T73" t="s">
        <v>519</v>
      </c>
      <c r="U73" t="s">
        <v>520</v>
      </c>
    </row>
    <row r="74" spans="1:21" x14ac:dyDescent="0.25">
      <c r="A74">
        <v>138</v>
      </c>
      <c r="B74">
        <v>1</v>
      </c>
      <c r="C74" t="s">
        <v>3</v>
      </c>
      <c r="D74" t="s">
        <v>70</v>
      </c>
      <c r="E74" t="s">
        <v>71</v>
      </c>
      <c r="F74" t="s">
        <v>71</v>
      </c>
      <c r="G74" t="s">
        <v>71</v>
      </c>
      <c r="H74" t="s">
        <v>3</v>
      </c>
      <c r="I74" t="s">
        <v>71</v>
      </c>
      <c r="J74" t="s">
        <v>71</v>
      </c>
      <c r="K74" t="s">
        <v>3</v>
      </c>
      <c r="L74" t="s">
        <v>3</v>
      </c>
      <c r="M74" t="s">
        <v>3</v>
      </c>
      <c r="N74" t="s">
        <v>70</v>
      </c>
      <c r="O74" t="s">
        <v>71</v>
      </c>
      <c r="P74" t="s">
        <v>3</v>
      </c>
      <c r="Q74" t="s">
        <v>3</v>
      </c>
      <c r="R74" t="s">
        <v>3</v>
      </c>
      <c r="S74" t="s">
        <v>518</v>
      </c>
      <c r="T74" t="s">
        <v>519</v>
      </c>
      <c r="U74" t="s">
        <v>520</v>
      </c>
    </row>
    <row r="75" spans="1:21" x14ac:dyDescent="0.25">
      <c r="A75">
        <v>141</v>
      </c>
      <c r="B75">
        <v>1</v>
      </c>
      <c r="C75" t="s">
        <v>3</v>
      </c>
      <c r="D75" t="s">
        <v>70</v>
      </c>
      <c r="E75" t="s">
        <v>71</v>
      </c>
      <c r="F75" t="s">
        <v>71</v>
      </c>
      <c r="G75" t="s">
        <v>71</v>
      </c>
      <c r="H75" t="s">
        <v>3</v>
      </c>
      <c r="I75" t="s">
        <v>71</v>
      </c>
      <c r="J75" t="s">
        <v>71</v>
      </c>
      <c r="K75" t="s">
        <v>3</v>
      </c>
      <c r="L75" t="s">
        <v>3</v>
      </c>
      <c r="M75" t="s">
        <v>3</v>
      </c>
      <c r="N75" t="s">
        <v>70</v>
      </c>
      <c r="O75" t="s">
        <v>71</v>
      </c>
      <c r="P75" t="s">
        <v>3</v>
      </c>
      <c r="Q75" t="s">
        <v>3</v>
      </c>
      <c r="R75" t="s">
        <v>3</v>
      </c>
      <c r="S75" t="s">
        <v>518</v>
      </c>
      <c r="T75" t="s">
        <v>519</v>
      </c>
      <c r="U75" t="s">
        <v>520</v>
      </c>
    </row>
    <row r="76" spans="1:21" x14ac:dyDescent="0.25">
      <c r="A76">
        <v>142</v>
      </c>
      <c r="B76">
        <v>1</v>
      </c>
      <c r="C76" t="s">
        <v>3</v>
      </c>
      <c r="D76" t="s">
        <v>70</v>
      </c>
      <c r="E76" t="s">
        <v>71</v>
      </c>
      <c r="F76" t="s">
        <v>71</v>
      </c>
      <c r="G76" t="s">
        <v>71</v>
      </c>
      <c r="H76" t="s">
        <v>3</v>
      </c>
      <c r="I76" t="s">
        <v>71</v>
      </c>
      <c r="J76" t="s">
        <v>71</v>
      </c>
      <c r="K76" t="s">
        <v>3</v>
      </c>
      <c r="L76" t="s">
        <v>3</v>
      </c>
      <c r="M76" t="s">
        <v>3</v>
      </c>
      <c r="N76" t="s">
        <v>70</v>
      </c>
      <c r="O76" t="s">
        <v>71</v>
      </c>
      <c r="P76" t="s">
        <v>3</v>
      </c>
      <c r="Q76" t="s">
        <v>3</v>
      </c>
      <c r="R76" t="s">
        <v>3</v>
      </c>
      <c r="S76" t="s">
        <v>518</v>
      </c>
      <c r="T76" t="s">
        <v>519</v>
      </c>
      <c r="U76" t="s">
        <v>520</v>
      </c>
    </row>
    <row r="77" spans="1:21" x14ac:dyDescent="0.25">
      <c r="A77">
        <v>186</v>
      </c>
      <c r="B77">
        <v>1</v>
      </c>
      <c r="C77" t="s">
        <v>3</v>
      </c>
      <c r="D77" t="s">
        <v>70</v>
      </c>
      <c r="E77" t="s">
        <v>71</v>
      </c>
      <c r="F77" t="s">
        <v>71</v>
      </c>
      <c r="G77" t="s">
        <v>71</v>
      </c>
      <c r="H77" t="s">
        <v>3</v>
      </c>
      <c r="I77" t="s">
        <v>71</v>
      </c>
      <c r="J77" t="s">
        <v>71</v>
      </c>
      <c r="K77" t="s">
        <v>3</v>
      </c>
      <c r="L77" t="s">
        <v>3</v>
      </c>
      <c r="M77" t="s">
        <v>3</v>
      </c>
      <c r="N77" t="s">
        <v>70</v>
      </c>
      <c r="O77" t="s">
        <v>71</v>
      </c>
      <c r="P77" t="s">
        <v>3</v>
      </c>
      <c r="Q77" t="s">
        <v>3</v>
      </c>
      <c r="R77" t="s">
        <v>3</v>
      </c>
      <c r="S77" t="s">
        <v>518</v>
      </c>
      <c r="T77" t="s">
        <v>519</v>
      </c>
      <c r="U77" t="s">
        <v>520</v>
      </c>
    </row>
    <row r="78" spans="1:21" x14ac:dyDescent="0.25">
      <c r="A78">
        <v>187</v>
      </c>
      <c r="B78">
        <v>1</v>
      </c>
      <c r="C78" t="s">
        <v>3</v>
      </c>
      <c r="D78" t="s">
        <v>70</v>
      </c>
      <c r="E78" t="s">
        <v>71</v>
      </c>
      <c r="F78" t="s">
        <v>71</v>
      </c>
      <c r="G78" t="s">
        <v>71</v>
      </c>
      <c r="H78" t="s">
        <v>3</v>
      </c>
      <c r="I78" t="s">
        <v>71</v>
      </c>
      <c r="J78" t="s">
        <v>71</v>
      </c>
      <c r="K78" t="s">
        <v>3</v>
      </c>
      <c r="L78" t="s">
        <v>3</v>
      </c>
      <c r="M78" t="s">
        <v>3</v>
      </c>
      <c r="N78" t="s">
        <v>70</v>
      </c>
      <c r="O78" t="s">
        <v>71</v>
      </c>
      <c r="P78" t="s">
        <v>3</v>
      </c>
      <c r="Q78" t="s">
        <v>3</v>
      </c>
      <c r="R78" t="s">
        <v>3</v>
      </c>
      <c r="S78" t="s">
        <v>518</v>
      </c>
      <c r="T78" t="s">
        <v>519</v>
      </c>
      <c r="U78" t="s">
        <v>520</v>
      </c>
    </row>
    <row r="79" spans="1:21" x14ac:dyDescent="0.25">
      <c r="A79">
        <v>188</v>
      </c>
      <c r="B79">
        <v>1</v>
      </c>
      <c r="C79" t="s">
        <v>3</v>
      </c>
      <c r="D79" t="s">
        <v>70</v>
      </c>
      <c r="E79" t="s">
        <v>71</v>
      </c>
      <c r="F79" t="s">
        <v>71</v>
      </c>
      <c r="G79" t="s">
        <v>71</v>
      </c>
      <c r="H79" t="s">
        <v>3</v>
      </c>
      <c r="I79" t="s">
        <v>71</v>
      </c>
      <c r="J79" t="s">
        <v>71</v>
      </c>
      <c r="K79" t="s">
        <v>3</v>
      </c>
      <c r="L79" t="s">
        <v>3</v>
      </c>
      <c r="M79" t="s">
        <v>3</v>
      </c>
      <c r="N79" t="s">
        <v>70</v>
      </c>
      <c r="O79" t="s">
        <v>71</v>
      </c>
      <c r="P79" t="s">
        <v>3</v>
      </c>
      <c r="Q79" t="s">
        <v>3</v>
      </c>
      <c r="R79" t="s">
        <v>3</v>
      </c>
      <c r="S79" t="s">
        <v>518</v>
      </c>
      <c r="T79" t="s">
        <v>519</v>
      </c>
      <c r="U79" t="s">
        <v>520</v>
      </c>
    </row>
    <row r="80" spans="1:21" x14ac:dyDescent="0.25">
      <c r="A80">
        <v>189</v>
      </c>
      <c r="B80">
        <v>1</v>
      </c>
      <c r="C80" t="s">
        <v>3</v>
      </c>
      <c r="D80" t="s">
        <v>70</v>
      </c>
      <c r="E80" t="s">
        <v>71</v>
      </c>
      <c r="F80" t="s">
        <v>71</v>
      </c>
      <c r="G80" t="s">
        <v>71</v>
      </c>
      <c r="H80" t="s">
        <v>3</v>
      </c>
      <c r="I80" t="s">
        <v>71</v>
      </c>
      <c r="J80" t="s">
        <v>71</v>
      </c>
      <c r="K80" t="s">
        <v>3</v>
      </c>
      <c r="L80" t="s">
        <v>3</v>
      </c>
      <c r="M80" t="s">
        <v>3</v>
      </c>
      <c r="N80" t="s">
        <v>70</v>
      </c>
      <c r="O80" t="s">
        <v>71</v>
      </c>
      <c r="P80" t="s">
        <v>3</v>
      </c>
      <c r="Q80" t="s">
        <v>3</v>
      </c>
      <c r="R80" t="s">
        <v>3</v>
      </c>
      <c r="S80" t="s">
        <v>518</v>
      </c>
      <c r="T80" t="s">
        <v>519</v>
      </c>
      <c r="U80" t="s">
        <v>520</v>
      </c>
    </row>
    <row r="81" spans="1:21" x14ac:dyDescent="0.25">
      <c r="A81">
        <v>206</v>
      </c>
      <c r="B81">
        <v>1</v>
      </c>
      <c r="C81" t="s">
        <v>3</v>
      </c>
      <c r="D81" t="s">
        <v>70</v>
      </c>
      <c r="E81" t="s">
        <v>71</v>
      </c>
      <c r="F81" t="s">
        <v>71</v>
      </c>
      <c r="G81" t="s">
        <v>71</v>
      </c>
      <c r="H81" t="s">
        <v>3</v>
      </c>
      <c r="I81" t="s">
        <v>71</v>
      </c>
      <c r="J81" t="s">
        <v>71</v>
      </c>
      <c r="K81" t="s">
        <v>3</v>
      </c>
      <c r="L81" t="s">
        <v>3</v>
      </c>
      <c r="M81" t="s">
        <v>3</v>
      </c>
      <c r="N81" t="s">
        <v>70</v>
      </c>
      <c r="O81" t="s">
        <v>71</v>
      </c>
      <c r="P81" t="s">
        <v>3</v>
      </c>
      <c r="Q81" t="s">
        <v>3</v>
      </c>
      <c r="R81" t="s">
        <v>3</v>
      </c>
      <c r="S81" t="s">
        <v>518</v>
      </c>
      <c r="T81" t="s">
        <v>519</v>
      </c>
      <c r="U81" t="s">
        <v>520</v>
      </c>
    </row>
    <row r="82" spans="1:21" x14ac:dyDescent="0.25">
      <c r="A82">
        <v>207</v>
      </c>
      <c r="B82">
        <v>1</v>
      </c>
      <c r="C82" t="s">
        <v>3</v>
      </c>
      <c r="D82" t="s">
        <v>70</v>
      </c>
      <c r="E82" t="s">
        <v>71</v>
      </c>
      <c r="F82" t="s">
        <v>71</v>
      </c>
      <c r="G82" t="s">
        <v>71</v>
      </c>
      <c r="H82" t="s">
        <v>3</v>
      </c>
      <c r="I82" t="s">
        <v>71</v>
      </c>
      <c r="J82" t="s">
        <v>71</v>
      </c>
      <c r="K82" t="s">
        <v>3</v>
      </c>
      <c r="L82" t="s">
        <v>3</v>
      </c>
      <c r="M82" t="s">
        <v>3</v>
      </c>
      <c r="N82" t="s">
        <v>70</v>
      </c>
      <c r="O82" t="s">
        <v>71</v>
      </c>
      <c r="P82" t="s">
        <v>3</v>
      </c>
      <c r="Q82" t="s">
        <v>3</v>
      </c>
      <c r="R82" t="s">
        <v>3</v>
      </c>
      <c r="S82" t="s">
        <v>518</v>
      </c>
      <c r="T82" t="s">
        <v>519</v>
      </c>
      <c r="U82" t="s">
        <v>520</v>
      </c>
    </row>
    <row r="83" spans="1:21" x14ac:dyDescent="0.25">
      <c r="A83">
        <v>210</v>
      </c>
      <c r="B83">
        <v>1</v>
      </c>
      <c r="C83" t="s">
        <v>3</v>
      </c>
      <c r="D83" t="s">
        <v>70</v>
      </c>
      <c r="E83" t="s">
        <v>71</v>
      </c>
      <c r="F83" t="s">
        <v>71</v>
      </c>
      <c r="G83" t="s">
        <v>71</v>
      </c>
      <c r="H83" t="s">
        <v>3</v>
      </c>
      <c r="I83" t="s">
        <v>71</v>
      </c>
      <c r="J83" t="s">
        <v>71</v>
      </c>
      <c r="K83" t="s">
        <v>3</v>
      </c>
      <c r="L83" t="s">
        <v>3</v>
      </c>
      <c r="M83" t="s">
        <v>3</v>
      </c>
      <c r="N83" t="s">
        <v>70</v>
      </c>
      <c r="O83" t="s">
        <v>71</v>
      </c>
      <c r="P83" t="s">
        <v>3</v>
      </c>
      <c r="Q83" t="s">
        <v>3</v>
      </c>
      <c r="R83" t="s">
        <v>3</v>
      </c>
      <c r="S83" t="s">
        <v>518</v>
      </c>
      <c r="T83" t="s">
        <v>519</v>
      </c>
      <c r="U83" t="s">
        <v>520</v>
      </c>
    </row>
    <row r="84" spans="1:21" x14ac:dyDescent="0.25">
      <c r="A84">
        <v>211</v>
      </c>
      <c r="B84">
        <v>1</v>
      </c>
      <c r="C84" t="s">
        <v>3</v>
      </c>
      <c r="D84" t="s">
        <v>70</v>
      </c>
      <c r="E84" t="s">
        <v>71</v>
      </c>
      <c r="F84" t="s">
        <v>71</v>
      </c>
      <c r="G84" t="s">
        <v>71</v>
      </c>
      <c r="H84" t="s">
        <v>3</v>
      </c>
      <c r="I84" t="s">
        <v>71</v>
      </c>
      <c r="J84" t="s">
        <v>71</v>
      </c>
      <c r="K84" t="s">
        <v>3</v>
      </c>
      <c r="L84" t="s">
        <v>3</v>
      </c>
      <c r="M84" t="s">
        <v>3</v>
      </c>
      <c r="N84" t="s">
        <v>70</v>
      </c>
      <c r="O84" t="s">
        <v>71</v>
      </c>
      <c r="P84" t="s">
        <v>3</v>
      </c>
      <c r="Q84" t="s">
        <v>3</v>
      </c>
      <c r="R84" t="s">
        <v>3</v>
      </c>
      <c r="S84" t="s">
        <v>518</v>
      </c>
      <c r="T84" t="s">
        <v>519</v>
      </c>
      <c r="U84" t="s">
        <v>520</v>
      </c>
    </row>
    <row r="85" spans="1:21" x14ac:dyDescent="0.25">
      <c r="A85">
        <v>214</v>
      </c>
      <c r="B85">
        <v>1</v>
      </c>
      <c r="C85" t="s">
        <v>3</v>
      </c>
      <c r="D85" t="s">
        <v>70</v>
      </c>
      <c r="E85" t="s">
        <v>71</v>
      </c>
      <c r="F85" t="s">
        <v>71</v>
      </c>
      <c r="G85" t="s">
        <v>71</v>
      </c>
      <c r="H85" t="s">
        <v>3</v>
      </c>
      <c r="I85" t="s">
        <v>71</v>
      </c>
      <c r="J85" t="s">
        <v>71</v>
      </c>
      <c r="K85" t="s">
        <v>3</v>
      </c>
      <c r="L85" t="s">
        <v>3</v>
      </c>
      <c r="M85" t="s">
        <v>3</v>
      </c>
      <c r="N85" t="s">
        <v>70</v>
      </c>
      <c r="O85" t="s">
        <v>71</v>
      </c>
      <c r="P85" t="s">
        <v>3</v>
      </c>
      <c r="Q85" t="s">
        <v>3</v>
      </c>
      <c r="R85" t="s">
        <v>3</v>
      </c>
      <c r="S85" t="s">
        <v>518</v>
      </c>
      <c r="T85" t="s">
        <v>519</v>
      </c>
      <c r="U85" t="s">
        <v>520</v>
      </c>
    </row>
    <row r="86" spans="1:21" x14ac:dyDescent="0.25">
      <c r="A86">
        <v>215</v>
      </c>
      <c r="B86">
        <v>1</v>
      </c>
      <c r="C86" t="s">
        <v>3</v>
      </c>
      <c r="D86" t="s">
        <v>70</v>
      </c>
      <c r="E86" t="s">
        <v>71</v>
      </c>
      <c r="F86" t="s">
        <v>71</v>
      </c>
      <c r="G86" t="s">
        <v>71</v>
      </c>
      <c r="H86" t="s">
        <v>3</v>
      </c>
      <c r="I86" t="s">
        <v>71</v>
      </c>
      <c r="J86" t="s">
        <v>71</v>
      </c>
      <c r="K86" t="s">
        <v>3</v>
      </c>
      <c r="L86" t="s">
        <v>3</v>
      </c>
      <c r="M86" t="s">
        <v>3</v>
      </c>
      <c r="N86" t="s">
        <v>70</v>
      </c>
      <c r="O86" t="s">
        <v>71</v>
      </c>
      <c r="P86" t="s">
        <v>3</v>
      </c>
      <c r="Q86" t="s">
        <v>3</v>
      </c>
      <c r="R86" t="s">
        <v>3</v>
      </c>
      <c r="S86" t="s">
        <v>518</v>
      </c>
      <c r="T86" t="s">
        <v>519</v>
      </c>
      <c r="U86" t="s">
        <v>520</v>
      </c>
    </row>
    <row r="87" spans="1:21" x14ac:dyDescent="0.25">
      <c r="A87">
        <v>218</v>
      </c>
      <c r="B87">
        <v>1</v>
      </c>
      <c r="C87" t="s">
        <v>3</v>
      </c>
      <c r="D87" t="s">
        <v>70</v>
      </c>
      <c r="E87" t="s">
        <v>71</v>
      </c>
      <c r="F87" t="s">
        <v>71</v>
      </c>
      <c r="G87" t="s">
        <v>71</v>
      </c>
      <c r="H87" t="s">
        <v>3</v>
      </c>
      <c r="I87" t="s">
        <v>71</v>
      </c>
      <c r="J87" t="s">
        <v>71</v>
      </c>
      <c r="K87" t="s">
        <v>3</v>
      </c>
      <c r="L87" t="s">
        <v>3</v>
      </c>
      <c r="M87" t="s">
        <v>3</v>
      </c>
      <c r="N87" t="s">
        <v>70</v>
      </c>
      <c r="O87" t="s">
        <v>71</v>
      </c>
      <c r="P87" t="s">
        <v>3</v>
      </c>
      <c r="Q87" t="s">
        <v>3</v>
      </c>
      <c r="R87" t="s">
        <v>3</v>
      </c>
      <c r="S87" t="s">
        <v>518</v>
      </c>
      <c r="T87" t="s">
        <v>519</v>
      </c>
      <c r="U87" t="s">
        <v>520</v>
      </c>
    </row>
    <row r="88" spans="1:21" x14ac:dyDescent="0.25">
      <c r="A88">
        <v>219</v>
      </c>
      <c r="B88">
        <v>1</v>
      </c>
      <c r="C88" t="s">
        <v>3</v>
      </c>
      <c r="D88" t="s">
        <v>70</v>
      </c>
      <c r="E88" t="s">
        <v>71</v>
      </c>
      <c r="F88" t="s">
        <v>71</v>
      </c>
      <c r="G88" t="s">
        <v>71</v>
      </c>
      <c r="H88" t="s">
        <v>3</v>
      </c>
      <c r="I88" t="s">
        <v>71</v>
      </c>
      <c r="J88" t="s">
        <v>71</v>
      </c>
      <c r="K88" t="s">
        <v>3</v>
      </c>
      <c r="L88" t="s">
        <v>3</v>
      </c>
      <c r="M88" t="s">
        <v>3</v>
      </c>
      <c r="N88" t="s">
        <v>70</v>
      </c>
      <c r="O88" t="s">
        <v>71</v>
      </c>
      <c r="P88" t="s">
        <v>3</v>
      </c>
      <c r="Q88" t="s">
        <v>3</v>
      </c>
      <c r="R88" t="s">
        <v>3</v>
      </c>
      <c r="S88" t="s">
        <v>518</v>
      </c>
      <c r="T88" t="s">
        <v>519</v>
      </c>
      <c r="U88" t="s">
        <v>520</v>
      </c>
    </row>
    <row r="89" spans="1:21" x14ac:dyDescent="0.25">
      <c r="A89">
        <v>224</v>
      </c>
      <c r="B89">
        <v>1</v>
      </c>
      <c r="C89" t="s">
        <v>3</v>
      </c>
      <c r="D89" t="s">
        <v>70</v>
      </c>
      <c r="E89" t="s">
        <v>71</v>
      </c>
      <c r="F89" t="s">
        <v>71</v>
      </c>
      <c r="G89" t="s">
        <v>71</v>
      </c>
      <c r="H89" t="s">
        <v>3</v>
      </c>
      <c r="I89" t="s">
        <v>71</v>
      </c>
      <c r="J89" t="s">
        <v>71</v>
      </c>
      <c r="K89" t="s">
        <v>3</v>
      </c>
      <c r="L89" t="s">
        <v>3</v>
      </c>
      <c r="M89" t="s">
        <v>3</v>
      </c>
      <c r="N89" t="s">
        <v>70</v>
      </c>
      <c r="O89" t="s">
        <v>71</v>
      </c>
      <c r="P89" t="s">
        <v>3</v>
      </c>
      <c r="Q89" t="s">
        <v>3</v>
      </c>
      <c r="R89" t="s">
        <v>3</v>
      </c>
      <c r="S89" t="s">
        <v>518</v>
      </c>
      <c r="T89" t="s">
        <v>519</v>
      </c>
      <c r="U89" t="s">
        <v>520</v>
      </c>
    </row>
    <row r="90" spans="1:21" x14ac:dyDescent="0.25">
      <c r="A90">
        <v>225</v>
      </c>
      <c r="B90">
        <v>1</v>
      </c>
      <c r="C90" t="s">
        <v>3</v>
      </c>
      <c r="D90" t="s">
        <v>70</v>
      </c>
      <c r="E90" t="s">
        <v>71</v>
      </c>
      <c r="F90" t="s">
        <v>71</v>
      </c>
      <c r="G90" t="s">
        <v>71</v>
      </c>
      <c r="H90" t="s">
        <v>3</v>
      </c>
      <c r="I90" t="s">
        <v>71</v>
      </c>
      <c r="J90" t="s">
        <v>71</v>
      </c>
      <c r="K90" t="s">
        <v>3</v>
      </c>
      <c r="L90" t="s">
        <v>3</v>
      </c>
      <c r="M90" t="s">
        <v>3</v>
      </c>
      <c r="N90" t="s">
        <v>70</v>
      </c>
      <c r="O90" t="s">
        <v>71</v>
      </c>
      <c r="P90" t="s">
        <v>3</v>
      </c>
      <c r="Q90" t="s">
        <v>3</v>
      </c>
      <c r="R90" t="s">
        <v>3</v>
      </c>
      <c r="S90" t="s">
        <v>518</v>
      </c>
      <c r="T90" t="s">
        <v>519</v>
      </c>
      <c r="U90" t="s">
        <v>520</v>
      </c>
    </row>
    <row r="91" spans="1:21" x14ac:dyDescent="0.25">
      <c r="A91">
        <v>228</v>
      </c>
      <c r="B91">
        <v>1</v>
      </c>
      <c r="C91" t="s">
        <v>3</v>
      </c>
      <c r="D91" t="s">
        <v>70</v>
      </c>
      <c r="E91" t="s">
        <v>71</v>
      </c>
      <c r="F91" t="s">
        <v>71</v>
      </c>
      <c r="G91" t="s">
        <v>71</v>
      </c>
      <c r="H91" t="s">
        <v>3</v>
      </c>
      <c r="I91" t="s">
        <v>71</v>
      </c>
      <c r="J91" t="s">
        <v>71</v>
      </c>
      <c r="K91" t="s">
        <v>3</v>
      </c>
      <c r="L91" t="s">
        <v>3</v>
      </c>
      <c r="M91" t="s">
        <v>3</v>
      </c>
      <c r="N91" t="s">
        <v>70</v>
      </c>
      <c r="O91" t="s">
        <v>71</v>
      </c>
      <c r="P91" t="s">
        <v>3</v>
      </c>
      <c r="Q91" t="s">
        <v>3</v>
      </c>
      <c r="R91" t="s">
        <v>3</v>
      </c>
      <c r="S91" t="s">
        <v>518</v>
      </c>
      <c r="T91" t="s">
        <v>519</v>
      </c>
      <c r="U91" t="s">
        <v>520</v>
      </c>
    </row>
    <row r="92" spans="1:21" x14ac:dyDescent="0.25">
      <c r="A92">
        <v>229</v>
      </c>
      <c r="B92">
        <v>1</v>
      </c>
      <c r="C92" t="s">
        <v>3</v>
      </c>
      <c r="D92" t="s">
        <v>70</v>
      </c>
      <c r="E92" t="s">
        <v>71</v>
      </c>
      <c r="F92" t="s">
        <v>71</v>
      </c>
      <c r="G92" t="s">
        <v>71</v>
      </c>
      <c r="H92" t="s">
        <v>3</v>
      </c>
      <c r="I92" t="s">
        <v>71</v>
      </c>
      <c r="J92" t="s">
        <v>71</v>
      </c>
      <c r="K92" t="s">
        <v>3</v>
      </c>
      <c r="L92" t="s">
        <v>3</v>
      </c>
      <c r="M92" t="s">
        <v>3</v>
      </c>
      <c r="N92" t="s">
        <v>70</v>
      </c>
      <c r="O92" t="s">
        <v>71</v>
      </c>
      <c r="P92" t="s">
        <v>3</v>
      </c>
      <c r="Q92" t="s">
        <v>3</v>
      </c>
      <c r="R92" t="s">
        <v>3</v>
      </c>
      <c r="S92" t="s">
        <v>518</v>
      </c>
      <c r="T92" t="s">
        <v>519</v>
      </c>
      <c r="U92" t="s">
        <v>520</v>
      </c>
    </row>
    <row r="93" spans="1:21" x14ac:dyDescent="0.25">
      <c r="A93">
        <v>267</v>
      </c>
      <c r="B93">
        <v>1</v>
      </c>
      <c r="C93" t="s">
        <v>3</v>
      </c>
      <c r="D93" t="s">
        <v>70</v>
      </c>
      <c r="E93" t="s">
        <v>71</v>
      </c>
      <c r="F93" t="s">
        <v>71</v>
      </c>
      <c r="G93" t="s">
        <v>71</v>
      </c>
      <c r="H93" t="s">
        <v>3</v>
      </c>
      <c r="I93" t="s">
        <v>71</v>
      </c>
      <c r="J93" t="s">
        <v>71</v>
      </c>
      <c r="K93" t="s">
        <v>3</v>
      </c>
      <c r="L93" t="s">
        <v>3</v>
      </c>
      <c r="M93" t="s">
        <v>3</v>
      </c>
      <c r="N93" t="s">
        <v>70</v>
      </c>
      <c r="O93" t="s">
        <v>71</v>
      </c>
      <c r="P93" t="s">
        <v>3</v>
      </c>
      <c r="Q93" t="s">
        <v>3</v>
      </c>
      <c r="R93" t="s">
        <v>3</v>
      </c>
      <c r="S93" t="s">
        <v>518</v>
      </c>
      <c r="T93" t="s">
        <v>519</v>
      </c>
      <c r="U93" t="s">
        <v>520</v>
      </c>
    </row>
    <row r="94" spans="1:21" x14ac:dyDescent="0.25">
      <c r="A94">
        <v>268</v>
      </c>
      <c r="B94">
        <v>1</v>
      </c>
      <c r="C94" t="s">
        <v>3</v>
      </c>
      <c r="D94" t="s">
        <v>70</v>
      </c>
      <c r="E94" t="s">
        <v>71</v>
      </c>
      <c r="F94" t="s">
        <v>71</v>
      </c>
      <c r="G94" t="s">
        <v>71</v>
      </c>
      <c r="H94" t="s">
        <v>3</v>
      </c>
      <c r="I94" t="s">
        <v>71</v>
      </c>
      <c r="J94" t="s">
        <v>71</v>
      </c>
      <c r="K94" t="s">
        <v>3</v>
      </c>
      <c r="L94" t="s">
        <v>3</v>
      </c>
      <c r="M94" t="s">
        <v>3</v>
      </c>
      <c r="N94" t="s">
        <v>70</v>
      </c>
      <c r="O94" t="s">
        <v>71</v>
      </c>
      <c r="P94" t="s">
        <v>3</v>
      </c>
      <c r="Q94" t="s">
        <v>3</v>
      </c>
      <c r="R94" t="s">
        <v>3</v>
      </c>
      <c r="S94" t="s">
        <v>518</v>
      </c>
      <c r="T94" t="s">
        <v>519</v>
      </c>
      <c r="U94" t="s">
        <v>520</v>
      </c>
    </row>
    <row r="95" spans="1:21" x14ac:dyDescent="0.25">
      <c r="A95">
        <v>314</v>
      </c>
      <c r="B95">
        <v>1</v>
      </c>
      <c r="C95" t="s">
        <v>3</v>
      </c>
      <c r="D95" t="s">
        <v>70</v>
      </c>
      <c r="E95" t="s">
        <v>71</v>
      </c>
      <c r="F95" t="s">
        <v>71</v>
      </c>
      <c r="G95" t="s">
        <v>71</v>
      </c>
      <c r="H95" t="s">
        <v>3</v>
      </c>
      <c r="I95" t="s">
        <v>71</v>
      </c>
      <c r="J95" t="s">
        <v>71</v>
      </c>
      <c r="K95" t="s">
        <v>3</v>
      </c>
      <c r="L95" t="s">
        <v>3</v>
      </c>
      <c r="M95" t="s">
        <v>3</v>
      </c>
      <c r="N95" t="s">
        <v>70</v>
      </c>
      <c r="O95" t="s">
        <v>71</v>
      </c>
      <c r="P95" t="s">
        <v>3</v>
      </c>
      <c r="Q95" t="s">
        <v>3</v>
      </c>
      <c r="R95" t="s">
        <v>3</v>
      </c>
      <c r="S95" t="s">
        <v>518</v>
      </c>
      <c r="T95" t="s">
        <v>519</v>
      </c>
      <c r="U95" t="s">
        <v>520</v>
      </c>
    </row>
    <row r="96" spans="1:21" x14ac:dyDescent="0.25">
      <c r="A96">
        <v>315</v>
      </c>
      <c r="B96">
        <v>1</v>
      </c>
      <c r="C96" t="s">
        <v>3</v>
      </c>
      <c r="D96" t="s">
        <v>70</v>
      </c>
      <c r="E96" t="s">
        <v>71</v>
      </c>
      <c r="F96" t="s">
        <v>71</v>
      </c>
      <c r="G96" t="s">
        <v>71</v>
      </c>
      <c r="H96" t="s">
        <v>3</v>
      </c>
      <c r="I96" t="s">
        <v>71</v>
      </c>
      <c r="J96" t="s">
        <v>71</v>
      </c>
      <c r="K96" t="s">
        <v>3</v>
      </c>
      <c r="L96" t="s">
        <v>3</v>
      </c>
      <c r="M96" t="s">
        <v>3</v>
      </c>
      <c r="N96" t="s">
        <v>70</v>
      </c>
      <c r="O96" t="s">
        <v>71</v>
      </c>
      <c r="P96" t="s">
        <v>3</v>
      </c>
      <c r="Q96" t="s">
        <v>3</v>
      </c>
      <c r="R96" t="s">
        <v>3</v>
      </c>
      <c r="S96" t="s">
        <v>518</v>
      </c>
      <c r="T96" t="s">
        <v>519</v>
      </c>
      <c r="U96" t="s">
        <v>520</v>
      </c>
    </row>
    <row r="97" spans="1:21" x14ac:dyDescent="0.25">
      <c r="A97">
        <v>322</v>
      </c>
      <c r="B97">
        <v>1</v>
      </c>
      <c r="C97" t="s">
        <v>3</v>
      </c>
      <c r="D97" t="s">
        <v>70</v>
      </c>
      <c r="E97" t="s">
        <v>71</v>
      </c>
      <c r="F97" t="s">
        <v>71</v>
      </c>
      <c r="G97" t="s">
        <v>71</v>
      </c>
      <c r="H97" t="s">
        <v>3</v>
      </c>
      <c r="I97" t="s">
        <v>71</v>
      </c>
      <c r="J97" t="s">
        <v>71</v>
      </c>
      <c r="K97" t="s">
        <v>3</v>
      </c>
      <c r="L97" t="s">
        <v>3</v>
      </c>
      <c r="M97" t="s">
        <v>3</v>
      </c>
      <c r="N97" t="s">
        <v>70</v>
      </c>
      <c r="O97" t="s">
        <v>71</v>
      </c>
      <c r="P97" t="s">
        <v>3</v>
      </c>
      <c r="Q97" t="s">
        <v>3</v>
      </c>
      <c r="R97" t="s">
        <v>3</v>
      </c>
      <c r="S97" t="s">
        <v>518</v>
      </c>
      <c r="T97" t="s">
        <v>519</v>
      </c>
      <c r="U97" t="s">
        <v>520</v>
      </c>
    </row>
    <row r="98" spans="1:21" x14ac:dyDescent="0.25">
      <c r="A98">
        <v>323</v>
      </c>
      <c r="B98">
        <v>1</v>
      </c>
      <c r="C98" t="s">
        <v>3</v>
      </c>
      <c r="D98" t="s">
        <v>70</v>
      </c>
      <c r="E98" t="s">
        <v>71</v>
      </c>
      <c r="F98" t="s">
        <v>71</v>
      </c>
      <c r="G98" t="s">
        <v>71</v>
      </c>
      <c r="H98" t="s">
        <v>3</v>
      </c>
      <c r="I98" t="s">
        <v>71</v>
      </c>
      <c r="J98" t="s">
        <v>71</v>
      </c>
      <c r="K98" t="s">
        <v>3</v>
      </c>
      <c r="L98" t="s">
        <v>3</v>
      </c>
      <c r="M98" t="s">
        <v>3</v>
      </c>
      <c r="N98" t="s">
        <v>70</v>
      </c>
      <c r="O98" t="s">
        <v>71</v>
      </c>
      <c r="P98" t="s">
        <v>3</v>
      </c>
      <c r="Q98" t="s">
        <v>3</v>
      </c>
      <c r="R98" t="s">
        <v>3</v>
      </c>
      <c r="S98" t="s">
        <v>518</v>
      </c>
      <c r="T98" t="s">
        <v>519</v>
      </c>
      <c r="U98" t="s">
        <v>520</v>
      </c>
    </row>
  </sheetData>
  <printOptions gridLines="1"/>
  <pageMargins left="0.75" right="0.75" top="1" bottom="1" header="0.5" footer="0.5"/>
  <headerFooter alignWithMargins="0">
    <oddHeader>&amp;A</oddHeader>
    <oddFooter>Page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Y74"/>
  <sheetViews>
    <sheetView workbookViewId="0"/>
  </sheetViews>
  <sheetFormatPr defaultColWidth="9.1796875" defaultRowHeight="12.5" x14ac:dyDescent="0.25"/>
  <cols>
    <col min="1" max="256" width="9.1796875" customWidth="1"/>
  </cols>
  <sheetData>
    <row r="1" spans="1:103" x14ac:dyDescent="0.25">
      <c r="A1">
        <v>0</v>
      </c>
      <c r="B1" t="s">
        <v>0</v>
      </c>
      <c r="D1" t="s">
        <v>1</v>
      </c>
      <c r="F1">
        <v>0</v>
      </c>
      <c r="G1">
        <v>0</v>
      </c>
      <c r="H1">
        <v>0</v>
      </c>
      <c r="I1" t="s">
        <v>2</v>
      </c>
      <c r="J1" t="s">
        <v>3</v>
      </c>
      <c r="K1">
        <v>1</v>
      </c>
      <c r="L1">
        <v>74599</v>
      </c>
      <c r="M1">
        <v>10</v>
      </c>
      <c r="N1">
        <v>12</v>
      </c>
      <c r="O1">
        <v>1</v>
      </c>
      <c r="P1">
        <v>0</v>
      </c>
      <c r="Q1">
        <v>5</v>
      </c>
    </row>
    <row r="12" spans="1:103" x14ac:dyDescent="0.25">
      <c r="F12" t="str">
        <f>Source!F12</f>
        <v>02-01-09</v>
      </c>
      <c r="G12" t="str">
        <f>Source!G12</f>
        <v>02-01-09 СОУЭ 20.07</v>
      </c>
      <c r="AB12" t="s">
        <v>3</v>
      </c>
      <c r="AC12" t="s">
        <v>3</v>
      </c>
      <c r="AD12" t="s">
        <v>3</v>
      </c>
      <c r="AE12" t="s">
        <v>3</v>
      </c>
      <c r="AF12" t="s">
        <v>3</v>
      </c>
      <c r="AG12" t="s">
        <v>3</v>
      </c>
      <c r="AH12" t="s">
        <v>3</v>
      </c>
      <c r="AI12" t="s">
        <v>3</v>
      </c>
      <c r="AJ12">
        <v>0</v>
      </c>
      <c r="AK12" t="s">
        <v>3</v>
      </c>
      <c r="AL12" t="s">
        <v>3</v>
      </c>
      <c r="AM12" t="s">
        <v>3</v>
      </c>
      <c r="CY12">
        <v>0</v>
      </c>
    </row>
    <row r="14" spans="1:103" x14ac:dyDescent="0.25">
      <c r="D14" t="s">
        <v>5</v>
      </c>
      <c r="E14" t="s">
        <v>20</v>
      </c>
      <c r="AD14">
        <v>3</v>
      </c>
    </row>
    <row r="15" spans="1:103" x14ac:dyDescent="0.25">
      <c r="B15" t="s">
        <v>530</v>
      </c>
      <c r="C15">
        <v>0</v>
      </c>
      <c r="D15" t="s">
        <v>150</v>
      </c>
      <c r="E15" t="s">
        <v>3</v>
      </c>
      <c r="F15" t="s">
        <v>531</v>
      </c>
      <c r="G15" t="s">
        <v>3</v>
      </c>
      <c r="H15">
        <v>3017293.5</v>
      </c>
      <c r="I15">
        <v>3017293.5</v>
      </c>
      <c r="J15">
        <v>0</v>
      </c>
      <c r="K15">
        <v>3017293.5</v>
      </c>
      <c r="L15">
        <v>0</v>
      </c>
      <c r="M15">
        <v>0</v>
      </c>
      <c r="N15">
        <v>0</v>
      </c>
      <c r="O15" t="s">
        <v>532</v>
      </c>
      <c r="P15" t="s">
        <v>3</v>
      </c>
      <c r="Q15" t="s">
        <v>533</v>
      </c>
      <c r="R15" t="s">
        <v>3</v>
      </c>
      <c r="S15" t="s">
        <v>3</v>
      </c>
      <c r="T15" t="s">
        <v>3</v>
      </c>
      <c r="U15">
        <v>0</v>
      </c>
      <c r="V15">
        <v>0</v>
      </c>
      <c r="W15">
        <v>0</v>
      </c>
      <c r="X15">
        <v>0</v>
      </c>
      <c r="Y15" t="s">
        <v>3</v>
      </c>
      <c r="Z15" t="s">
        <v>3</v>
      </c>
      <c r="AA15">
        <v>0</v>
      </c>
      <c r="AB15" t="s">
        <v>3</v>
      </c>
      <c r="AC15">
        <v>3017293.5</v>
      </c>
      <c r="AD15">
        <v>1</v>
      </c>
      <c r="AE15">
        <v>0</v>
      </c>
      <c r="AF15">
        <v>3</v>
      </c>
      <c r="AG15">
        <v>3</v>
      </c>
      <c r="AH15" t="s">
        <v>152</v>
      </c>
      <c r="AI15" t="s">
        <v>151</v>
      </c>
      <c r="AJ15">
        <v>46223.501469907409</v>
      </c>
      <c r="AK15">
        <v>57014508</v>
      </c>
      <c r="AL15">
        <v>0</v>
      </c>
      <c r="AM15">
        <v>0</v>
      </c>
      <c r="AN15">
        <v>0</v>
      </c>
      <c r="AO15">
        <v>46101</v>
      </c>
      <c r="AP15">
        <v>731490.5</v>
      </c>
      <c r="AQ15">
        <v>1</v>
      </c>
      <c r="AR15">
        <v>0</v>
      </c>
      <c r="AS15" t="s">
        <v>534</v>
      </c>
      <c r="AT15">
        <v>1</v>
      </c>
      <c r="AU15">
        <v>1</v>
      </c>
    </row>
    <row r="16" spans="1:103" x14ac:dyDescent="0.25">
      <c r="B16" t="s">
        <v>535</v>
      </c>
      <c r="C16">
        <v>0</v>
      </c>
      <c r="D16" t="s">
        <v>150</v>
      </c>
      <c r="E16" t="s">
        <v>3</v>
      </c>
      <c r="F16" t="s">
        <v>531</v>
      </c>
      <c r="G16" t="s">
        <v>3</v>
      </c>
      <c r="H16">
        <v>3168158.18</v>
      </c>
      <c r="I16">
        <v>3168158.18</v>
      </c>
      <c r="J16">
        <v>0</v>
      </c>
      <c r="K16">
        <v>3168158.18</v>
      </c>
      <c r="L16">
        <v>0</v>
      </c>
      <c r="M16">
        <v>0</v>
      </c>
      <c r="N16">
        <v>0</v>
      </c>
      <c r="O16" t="s">
        <v>536</v>
      </c>
      <c r="P16" t="s">
        <v>3</v>
      </c>
      <c r="Q16" t="s">
        <v>537</v>
      </c>
      <c r="R16" t="s">
        <v>3</v>
      </c>
      <c r="S16" t="s">
        <v>3</v>
      </c>
      <c r="T16" t="s">
        <v>3</v>
      </c>
      <c r="U16">
        <v>0</v>
      </c>
      <c r="V16">
        <v>0</v>
      </c>
      <c r="W16">
        <v>0</v>
      </c>
      <c r="X16">
        <v>0</v>
      </c>
      <c r="Y16" t="s">
        <v>3</v>
      </c>
      <c r="Z16" t="s">
        <v>3</v>
      </c>
      <c r="AA16">
        <v>0</v>
      </c>
      <c r="AB16" t="s">
        <v>3</v>
      </c>
      <c r="AC16">
        <v>3168158.18</v>
      </c>
      <c r="AD16">
        <v>1</v>
      </c>
      <c r="AE16">
        <v>0</v>
      </c>
      <c r="AF16">
        <v>3</v>
      </c>
      <c r="AG16">
        <v>3</v>
      </c>
      <c r="AH16" t="s">
        <v>152</v>
      </c>
      <c r="AI16" t="s">
        <v>151</v>
      </c>
      <c r="AJ16">
        <v>46223.501469907409</v>
      </c>
      <c r="AK16">
        <v>57014508</v>
      </c>
      <c r="AL16">
        <v>0</v>
      </c>
      <c r="AM16">
        <v>0</v>
      </c>
      <c r="AN16">
        <v>0</v>
      </c>
      <c r="AO16">
        <v>46101</v>
      </c>
      <c r="AP16">
        <v>731490.5</v>
      </c>
      <c r="AQ16">
        <v>1</v>
      </c>
      <c r="AR16">
        <v>0</v>
      </c>
      <c r="AS16" t="s">
        <v>3</v>
      </c>
      <c r="AT16">
        <v>1</v>
      </c>
      <c r="AU16">
        <v>1</v>
      </c>
    </row>
    <row r="17" spans="2:47" x14ac:dyDescent="0.25">
      <c r="B17" t="s">
        <v>538</v>
      </c>
      <c r="C17">
        <v>0</v>
      </c>
      <c r="D17" t="s">
        <v>150</v>
      </c>
      <c r="E17" t="s">
        <v>3</v>
      </c>
      <c r="F17" t="s">
        <v>531</v>
      </c>
      <c r="G17" t="s">
        <v>3</v>
      </c>
      <c r="H17">
        <v>3326566.09</v>
      </c>
      <c r="I17">
        <v>3326566.09</v>
      </c>
      <c r="J17">
        <v>0</v>
      </c>
      <c r="K17">
        <v>3326566.09</v>
      </c>
      <c r="L17">
        <v>0</v>
      </c>
      <c r="M17">
        <v>0</v>
      </c>
      <c r="N17">
        <v>0</v>
      </c>
      <c r="O17" t="s">
        <v>539</v>
      </c>
      <c r="P17" t="s">
        <v>3</v>
      </c>
      <c r="Q17" t="s">
        <v>540</v>
      </c>
      <c r="R17" t="s">
        <v>3</v>
      </c>
      <c r="S17" t="s">
        <v>3</v>
      </c>
      <c r="T17" t="s">
        <v>3</v>
      </c>
      <c r="U17">
        <v>0</v>
      </c>
      <c r="V17">
        <v>0</v>
      </c>
      <c r="W17">
        <v>0</v>
      </c>
      <c r="X17">
        <v>0</v>
      </c>
      <c r="Y17" t="s">
        <v>3</v>
      </c>
      <c r="Z17" t="s">
        <v>3</v>
      </c>
      <c r="AA17">
        <v>0</v>
      </c>
      <c r="AB17" t="s">
        <v>3</v>
      </c>
      <c r="AC17">
        <v>3326566.09</v>
      </c>
      <c r="AD17">
        <v>1</v>
      </c>
      <c r="AE17">
        <v>0</v>
      </c>
      <c r="AF17">
        <v>3</v>
      </c>
      <c r="AG17">
        <v>3</v>
      </c>
      <c r="AH17" t="s">
        <v>152</v>
      </c>
      <c r="AI17" t="s">
        <v>151</v>
      </c>
      <c r="AJ17">
        <v>46223.501469907409</v>
      </c>
      <c r="AK17">
        <v>57014508</v>
      </c>
      <c r="AL17">
        <v>0</v>
      </c>
      <c r="AM17">
        <v>0</v>
      </c>
      <c r="AN17">
        <v>0</v>
      </c>
      <c r="AO17">
        <v>46101</v>
      </c>
      <c r="AP17">
        <v>731490.5</v>
      </c>
      <c r="AQ17">
        <v>1</v>
      </c>
      <c r="AR17">
        <v>0</v>
      </c>
      <c r="AS17" t="s">
        <v>3</v>
      </c>
      <c r="AT17">
        <v>1</v>
      </c>
      <c r="AU17">
        <v>1</v>
      </c>
    </row>
    <row r="18" spans="2:47" x14ac:dyDescent="0.25">
      <c r="B18" t="s">
        <v>541</v>
      </c>
      <c r="C18">
        <v>1</v>
      </c>
      <c r="D18" t="s">
        <v>210</v>
      </c>
      <c r="E18" t="s">
        <v>3</v>
      </c>
      <c r="F18" t="s">
        <v>531</v>
      </c>
      <c r="G18" t="s">
        <v>3</v>
      </c>
      <c r="H18">
        <v>39325</v>
      </c>
      <c r="I18">
        <v>39325</v>
      </c>
      <c r="J18">
        <v>0</v>
      </c>
      <c r="K18">
        <v>39325</v>
      </c>
      <c r="L18">
        <v>0</v>
      </c>
      <c r="M18">
        <v>0</v>
      </c>
      <c r="N18">
        <v>0</v>
      </c>
      <c r="O18" t="s">
        <v>542</v>
      </c>
      <c r="P18" t="s">
        <v>3</v>
      </c>
      <c r="Q18" t="s">
        <v>543</v>
      </c>
      <c r="R18" t="s">
        <v>3</v>
      </c>
      <c r="S18" t="s">
        <v>3</v>
      </c>
      <c r="T18" t="s">
        <v>3</v>
      </c>
      <c r="U18">
        <v>0</v>
      </c>
      <c r="V18">
        <v>0</v>
      </c>
      <c r="W18">
        <v>0</v>
      </c>
      <c r="X18">
        <v>0</v>
      </c>
      <c r="Y18" t="s">
        <v>3</v>
      </c>
      <c r="Z18" t="s">
        <v>3</v>
      </c>
      <c r="AA18">
        <v>0</v>
      </c>
      <c r="AB18" t="s">
        <v>3</v>
      </c>
      <c r="AC18">
        <v>39325</v>
      </c>
      <c r="AD18">
        <v>1</v>
      </c>
      <c r="AE18">
        <v>0</v>
      </c>
      <c r="AF18">
        <v>3</v>
      </c>
      <c r="AG18">
        <v>3</v>
      </c>
      <c r="AH18" t="s">
        <v>152</v>
      </c>
      <c r="AI18" t="s">
        <v>211</v>
      </c>
      <c r="AJ18">
        <v>46216.550208333334</v>
      </c>
      <c r="AK18">
        <v>57014618</v>
      </c>
      <c r="AL18">
        <v>0</v>
      </c>
      <c r="AM18">
        <v>0</v>
      </c>
      <c r="AN18">
        <v>0</v>
      </c>
      <c r="AO18">
        <v>46101</v>
      </c>
      <c r="AP18">
        <v>0</v>
      </c>
      <c r="AQ18">
        <v>1</v>
      </c>
      <c r="AR18">
        <v>0</v>
      </c>
      <c r="AS18" t="s">
        <v>534</v>
      </c>
      <c r="AT18">
        <v>1</v>
      </c>
      <c r="AU18">
        <v>1</v>
      </c>
    </row>
    <row r="19" spans="2:47" x14ac:dyDescent="0.25">
      <c r="B19" t="s">
        <v>544</v>
      </c>
      <c r="C19">
        <v>0</v>
      </c>
      <c r="D19" t="s">
        <v>210</v>
      </c>
      <c r="E19" t="s">
        <v>3</v>
      </c>
      <c r="F19" t="s">
        <v>531</v>
      </c>
      <c r="G19" t="s">
        <v>3</v>
      </c>
      <c r="H19">
        <v>39325</v>
      </c>
      <c r="I19">
        <v>39325</v>
      </c>
      <c r="J19">
        <v>0</v>
      </c>
      <c r="K19">
        <v>39325</v>
      </c>
      <c r="L19">
        <v>0</v>
      </c>
      <c r="M19">
        <v>0</v>
      </c>
      <c r="N19">
        <v>0</v>
      </c>
      <c r="O19" t="s">
        <v>545</v>
      </c>
      <c r="P19" t="s">
        <v>3</v>
      </c>
      <c r="Q19" t="s">
        <v>546</v>
      </c>
      <c r="R19" t="s">
        <v>3</v>
      </c>
      <c r="S19" t="s">
        <v>3</v>
      </c>
      <c r="T19" t="s">
        <v>3</v>
      </c>
      <c r="U19">
        <v>0</v>
      </c>
      <c r="V19">
        <v>0</v>
      </c>
      <c r="W19">
        <v>0</v>
      </c>
      <c r="X19">
        <v>0</v>
      </c>
      <c r="Y19" t="s">
        <v>3</v>
      </c>
      <c r="Z19" t="s">
        <v>3</v>
      </c>
      <c r="AA19">
        <v>0</v>
      </c>
      <c r="AB19" t="s">
        <v>3</v>
      </c>
      <c r="AC19">
        <v>39325</v>
      </c>
      <c r="AD19">
        <v>1</v>
      </c>
      <c r="AE19">
        <v>0</v>
      </c>
      <c r="AF19">
        <v>3</v>
      </c>
      <c r="AG19">
        <v>3</v>
      </c>
      <c r="AH19" t="s">
        <v>152</v>
      </c>
      <c r="AI19" t="s">
        <v>211</v>
      </c>
      <c r="AJ19">
        <v>46216.550208333334</v>
      </c>
      <c r="AK19">
        <v>57014618</v>
      </c>
      <c r="AL19">
        <v>0</v>
      </c>
      <c r="AM19">
        <v>0</v>
      </c>
      <c r="AN19">
        <v>0</v>
      </c>
      <c r="AO19">
        <v>46101</v>
      </c>
      <c r="AP19">
        <v>0</v>
      </c>
      <c r="AQ19">
        <v>1</v>
      </c>
      <c r="AR19">
        <v>0</v>
      </c>
      <c r="AS19" t="s">
        <v>3</v>
      </c>
      <c r="AT19">
        <v>1</v>
      </c>
      <c r="AU19">
        <v>1</v>
      </c>
    </row>
    <row r="20" spans="2:47" x14ac:dyDescent="0.25">
      <c r="B20" t="s">
        <v>547</v>
      </c>
      <c r="C20">
        <v>0</v>
      </c>
      <c r="D20" t="s">
        <v>210</v>
      </c>
      <c r="E20" t="s">
        <v>3</v>
      </c>
      <c r="F20" t="s">
        <v>531</v>
      </c>
      <c r="G20" t="s">
        <v>3</v>
      </c>
      <c r="H20">
        <v>39325</v>
      </c>
      <c r="I20">
        <v>39325</v>
      </c>
      <c r="J20">
        <v>0</v>
      </c>
      <c r="K20">
        <v>39325</v>
      </c>
      <c r="L20">
        <v>0</v>
      </c>
      <c r="M20">
        <v>0</v>
      </c>
      <c r="N20">
        <v>0</v>
      </c>
      <c r="O20" t="s">
        <v>548</v>
      </c>
      <c r="P20" t="s">
        <v>3</v>
      </c>
      <c r="Q20" t="s">
        <v>549</v>
      </c>
      <c r="R20" t="s">
        <v>3</v>
      </c>
      <c r="S20" t="s">
        <v>3</v>
      </c>
      <c r="T20" t="s">
        <v>3</v>
      </c>
      <c r="U20">
        <v>0</v>
      </c>
      <c r="V20">
        <v>0</v>
      </c>
      <c r="W20">
        <v>0</v>
      </c>
      <c r="X20">
        <v>0</v>
      </c>
      <c r="Y20" t="s">
        <v>3</v>
      </c>
      <c r="Z20" t="s">
        <v>3</v>
      </c>
      <c r="AA20">
        <v>0</v>
      </c>
      <c r="AB20" t="s">
        <v>3</v>
      </c>
      <c r="AC20">
        <v>39325</v>
      </c>
      <c r="AD20">
        <v>1</v>
      </c>
      <c r="AE20">
        <v>0</v>
      </c>
      <c r="AF20">
        <v>3</v>
      </c>
      <c r="AG20">
        <v>3</v>
      </c>
      <c r="AH20" t="s">
        <v>152</v>
      </c>
      <c r="AI20" t="s">
        <v>211</v>
      </c>
      <c r="AJ20">
        <v>46216.550208333334</v>
      </c>
      <c r="AK20">
        <v>57014618</v>
      </c>
      <c r="AL20">
        <v>0</v>
      </c>
      <c r="AM20">
        <v>0</v>
      </c>
      <c r="AN20">
        <v>0</v>
      </c>
      <c r="AO20">
        <v>46101</v>
      </c>
      <c r="AP20">
        <v>0</v>
      </c>
      <c r="AQ20">
        <v>1</v>
      </c>
      <c r="AR20">
        <v>0</v>
      </c>
      <c r="AS20" t="s">
        <v>3</v>
      </c>
      <c r="AT20">
        <v>1</v>
      </c>
      <c r="AU20">
        <v>1</v>
      </c>
    </row>
    <row r="21" spans="2:47" x14ac:dyDescent="0.25">
      <c r="B21" t="s">
        <v>550</v>
      </c>
      <c r="C21">
        <v>0</v>
      </c>
      <c r="D21" t="s">
        <v>216</v>
      </c>
      <c r="E21" t="s">
        <v>3</v>
      </c>
      <c r="F21" t="s">
        <v>531</v>
      </c>
      <c r="G21" t="s">
        <v>3</v>
      </c>
      <c r="H21">
        <v>46210</v>
      </c>
      <c r="I21">
        <v>46210</v>
      </c>
      <c r="J21">
        <v>0</v>
      </c>
      <c r="K21">
        <v>46210</v>
      </c>
      <c r="L21">
        <v>0</v>
      </c>
      <c r="M21">
        <v>0</v>
      </c>
      <c r="N21">
        <v>0</v>
      </c>
      <c r="O21" t="s">
        <v>551</v>
      </c>
      <c r="P21" t="s">
        <v>3</v>
      </c>
      <c r="Q21" t="s">
        <v>552</v>
      </c>
      <c r="R21" t="s">
        <v>3</v>
      </c>
      <c r="S21" t="s">
        <v>3</v>
      </c>
      <c r="T21" t="s">
        <v>3</v>
      </c>
      <c r="U21">
        <v>0</v>
      </c>
      <c r="V21">
        <v>0</v>
      </c>
      <c r="W21">
        <v>0</v>
      </c>
      <c r="X21">
        <v>0</v>
      </c>
      <c r="Y21" t="s">
        <v>3</v>
      </c>
      <c r="Z21" t="s">
        <v>3</v>
      </c>
      <c r="AA21">
        <v>0</v>
      </c>
      <c r="AB21" t="s">
        <v>3</v>
      </c>
      <c r="AC21">
        <v>46210</v>
      </c>
      <c r="AD21">
        <v>1</v>
      </c>
      <c r="AE21">
        <v>0</v>
      </c>
      <c r="AF21">
        <v>3</v>
      </c>
      <c r="AG21">
        <v>3</v>
      </c>
      <c r="AH21" t="s">
        <v>152</v>
      </c>
      <c r="AI21" t="s">
        <v>217</v>
      </c>
      <c r="AJ21">
        <v>46216.550208333334</v>
      </c>
      <c r="AK21">
        <v>57014626</v>
      </c>
      <c r="AL21">
        <v>0</v>
      </c>
      <c r="AM21">
        <v>0</v>
      </c>
      <c r="AN21">
        <v>0</v>
      </c>
      <c r="AO21">
        <v>46101</v>
      </c>
      <c r="AP21">
        <v>0</v>
      </c>
      <c r="AQ21">
        <v>1</v>
      </c>
      <c r="AR21">
        <v>0</v>
      </c>
      <c r="AS21" t="s">
        <v>534</v>
      </c>
      <c r="AT21">
        <v>1</v>
      </c>
      <c r="AU21">
        <v>2</v>
      </c>
    </row>
    <row r="22" spans="2:47" x14ac:dyDescent="0.25">
      <c r="B22" t="s">
        <v>553</v>
      </c>
      <c r="C22">
        <v>1</v>
      </c>
      <c r="D22" t="s">
        <v>216</v>
      </c>
      <c r="E22" t="s">
        <v>3</v>
      </c>
      <c r="F22" t="s">
        <v>531</v>
      </c>
      <c r="G22" t="s">
        <v>3</v>
      </c>
      <c r="H22">
        <v>39543</v>
      </c>
      <c r="I22">
        <v>39543</v>
      </c>
      <c r="J22">
        <v>0</v>
      </c>
      <c r="K22">
        <v>39543</v>
      </c>
      <c r="L22">
        <v>0</v>
      </c>
      <c r="M22">
        <v>0</v>
      </c>
      <c r="N22">
        <v>0</v>
      </c>
      <c r="O22" t="s">
        <v>542</v>
      </c>
      <c r="P22" t="s">
        <v>3</v>
      </c>
      <c r="Q22" t="s">
        <v>543</v>
      </c>
      <c r="R22" t="s">
        <v>3</v>
      </c>
      <c r="S22" t="s">
        <v>3</v>
      </c>
      <c r="T22" t="s">
        <v>3</v>
      </c>
      <c r="U22">
        <v>0</v>
      </c>
      <c r="V22">
        <v>0</v>
      </c>
      <c r="W22">
        <v>0</v>
      </c>
      <c r="X22">
        <v>0</v>
      </c>
      <c r="Y22" t="s">
        <v>3</v>
      </c>
      <c r="Z22" t="s">
        <v>3</v>
      </c>
      <c r="AA22">
        <v>0</v>
      </c>
      <c r="AB22" t="s">
        <v>3</v>
      </c>
      <c r="AC22">
        <v>39543</v>
      </c>
      <c r="AD22">
        <v>1</v>
      </c>
      <c r="AE22">
        <v>0</v>
      </c>
      <c r="AF22">
        <v>3</v>
      </c>
      <c r="AG22">
        <v>3</v>
      </c>
      <c r="AH22" t="s">
        <v>152</v>
      </c>
      <c r="AI22" t="s">
        <v>217</v>
      </c>
      <c r="AJ22">
        <v>46216.550208333334</v>
      </c>
      <c r="AK22">
        <v>57014626</v>
      </c>
      <c r="AL22">
        <v>0</v>
      </c>
      <c r="AM22">
        <v>0</v>
      </c>
      <c r="AN22">
        <v>0</v>
      </c>
      <c r="AO22">
        <v>46101</v>
      </c>
      <c r="AP22">
        <v>0</v>
      </c>
      <c r="AQ22">
        <v>1</v>
      </c>
      <c r="AR22">
        <v>0</v>
      </c>
      <c r="AS22" t="s">
        <v>3</v>
      </c>
      <c r="AT22">
        <v>1</v>
      </c>
      <c r="AU22">
        <v>2</v>
      </c>
    </row>
    <row r="23" spans="2:47" x14ac:dyDescent="0.25">
      <c r="B23" t="s">
        <v>554</v>
      </c>
      <c r="C23">
        <v>0</v>
      </c>
      <c r="D23" t="s">
        <v>216</v>
      </c>
      <c r="E23" t="s">
        <v>3</v>
      </c>
      <c r="F23" t="s">
        <v>531</v>
      </c>
      <c r="G23" t="s">
        <v>3</v>
      </c>
      <c r="H23">
        <v>42981</v>
      </c>
      <c r="I23">
        <v>42981</v>
      </c>
      <c r="J23">
        <v>0</v>
      </c>
      <c r="K23">
        <v>42981</v>
      </c>
      <c r="L23">
        <v>0</v>
      </c>
      <c r="M23">
        <v>0</v>
      </c>
      <c r="N23">
        <v>0</v>
      </c>
      <c r="O23" t="s">
        <v>548</v>
      </c>
      <c r="P23" t="s">
        <v>3</v>
      </c>
      <c r="Q23" t="s">
        <v>549</v>
      </c>
      <c r="R23" t="s">
        <v>3</v>
      </c>
      <c r="S23" t="s">
        <v>3</v>
      </c>
      <c r="T23" t="s">
        <v>3</v>
      </c>
      <c r="U23">
        <v>0</v>
      </c>
      <c r="V23">
        <v>0</v>
      </c>
      <c r="W23">
        <v>0</v>
      </c>
      <c r="X23">
        <v>0</v>
      </c>
      <c r="Y23" t="s">
        <v>3</v>
      </c>
      <c r="Z23" t="s">
        <v>3</v>
      </c>
      <c r="AA23">
        <v>0</v>
      </c>
      <c r="AB23" t="s">
        <v>3</v>
      </c>
      <c r="AC23">
        <v>42981</v>
      </c>
      <c r="AD23">
        <v>1</v>
      </c>
      <c r="AE23">
        <v>0</v>
      </c>
      <c r="AF23">
        <v>3</v>
      </c>
      <c r="AG23">
        <v>3</v>
      </c>
      <c r="AH23" t="s">
        <v>152</v>
      </c>
      <c r="AI23" t="s">
        <v>217</v>
      </c>
      <c r="AJ23">
        <v>46216.550208333334</v>
      </c>
      <c r="AK23">
        <v>57014626</v>
      </c>
      <c r="AL23">
        <v>0</v>
      </c>
      <c r="AM23">
        <v>0</v>
      </c>
      <c r="AN23">
        <v>0</v>
      </c>
      <c r="AO23">
        <v>46101</v>
      </c>
      <c r="AP23">
        <v>0</v>
      </c>
      <c r="AQ23">
        <v>1</v>
      </c>
      <c r="AR23">
        <v>0</v>
      </c>
      <c r="AS23" t="s">
        <v>3</v>
      </c>
      <c r="AT23">
        <v>1</v>
      </c>
      <c r="AU23">
        <v>2</v>
      </c>
    </row>
    <row r="24" spans="2:47" x14ac:dyDescent="0.25">
      <c r="B24" t="s">
        <v>555</v>
      </c>
      <c r="C24">
        <v>1</v>
      </c>
      <c r="D24" t="s">
        <v>222</v>
      </c>
      <c r="E24" t="s">
        <v>3</v>
      </c>
      <c r="F24" t="s">
        <v>531</v>
      </c>
      <c r="G24" t="s">
        <v>3</v>
      </c>
      <c r="H24">
        <v>61623</v>
      </c>
      <c r="I24">
        <v>61623</v>
      </c>
      <c r="J24">
        <v>0</v>
      </c>
      <c r="K24">
        <v>61623</v>
      </c>
      <c r="L24">
        <v>0</v>
      </c>
      <c r="M24">
        <v>0</v>
      </c>
      <c r="N24">
        <v>0</v>
      </c>
      <c r="O24" t="s">
        <v>548</v>
      </c>
      <c r="P24" t="s">
        <v>3</v>
      </c>
      <c r="Q24" t="s">
        <v>549</v>
      </c>
      <c r="R24" t="s">
        <v>3</v>
      </c>
      <c r="S24" t="s">
        <v>3</v>
      </c>
      <c r="T24" t="s">
        <v>3</v>
      </c>
      <c r="U24">
        <v>0</v>
      </c>
      <c r="V24">
        <v>0</v>
      </c>
      <c r="W24">
        <v>0</v>
      </c>
      <c r="X24">
        <v>0</v>
      </c>
      <c r="Y24" t="s">
        <v>3</v>
      </c>
      <c r="Z24" t="s">
        <v>3</v>
      </c>
      <c r="AA24">
        <v>0</v>
      </c>
      <c r="AB24" t="s">
        <v>3</v>
      </c>
      <c r="AC24">
        <v>61623</v>
      </c>
      <c r="AD24">
        <v>1</v>
      </c>
      <c r="AE24">
        <v>0</v>
      </c>
      <c r="AF24">
        <v>3</v>
      </c>
      <c r="AG24">
        <v>3</v>
      </c>
      <c r="AH24" t="s">
        <v>152</v>
      </c>
      <c r="AI24" t="s">
        <v>223</v>
      </c>
      <c r="AJ24">
        <v>46216.550208333334</v>
      </c>
      <c r="AK24">
        <v>57014641</v>
      </c>
      <c r="AL24">
        <v>0</v>
      </c>
      <c r="AM24">
        <v>0</v>
      </c>
      <c r="AN24">
        <v>0</v>
      </c>
      <c r="AO24">
        <v>46101</v>
      </c>
      <c r="AP24">
        <v>0</v>
      </c>
      <c r="AQ24">
        <v>1</v>
      </c>
      <c r="AR24">
        <v>0</v>
      </c>
      <c r="AS24" t="s">
        <v>534</v>
      </c>
      <c r="AT24">
        <v>1</v>
      </c>
      <c r="AU24">
        <v>1</v>
      </c>
    </row>
    <row r="25" spans="2:47" x14ac:dyDescent="0.25">
      <c r="B25" t="s">
        <v>556</v>
      </c>
      <c r="C25">
        <v>0</v>
      </c>
      <c r="D25" t="s">
        <v>222</v>
      </c>
      <c r="E25" t="s">
        <v>3</v>
      </c>
      <c r="F25" t="s">
        <v>531</v>
      </c>
      <c r="G25" t="s">
        <v>3</v>
      </c>
      <c r="H25">
        <v>69416</v>
      </c>
      <c r="I25">
        <v>69416</v>
      </c>
      <c r="J25">
        <v>0</v>
      </c>
      <c r="K25">
        <v>69416</v>
      </c>
      <c r="L25">
        <v>0</v>
      </c>
      <c r="M25">
        <v>0</v>
      </c>
      <c r="N25">
        <v>0</v>
      </c>
      <c r="O25" t="s">
        <v>557</v>
      </c>
      <c r="P25" t="s">
        <v>3</v>
      </c>
      <c r="Q25" t="s">
        <v>558</v>
      </c>
      <c r="R25" t="s">
        <v>3</v>
      </c>
      <c r="S25" t="s">
        <v>3</v>
      </c>
      <c r="T25" t="s">
        <v>3</v>
      </c>
      <c r="U25">
        <v>0</v>
      </c>
      <c r="V25">
        <v>0</v>
      </c>
      <c r="W25">
        <v>0</v>
      </c>
      <c r="X25">
        <v>0</v>
      </c>
      <c r="Y25" t="s">
        <v>3</v>
      </c>
      <c r="Z25" t="s">
        <v>3</v>
      </c>
      <c r="AA25">
        <v>0</v>
      </c>
      <c r="AB25" t="s">
        <v>3</v>
      </c>
      <c r="AC25">
        <v>69416</v>
      </c>
      <c r="AD25">
        <v>1</v>
      </c>
      <c r="AE25">
        <v>0</v>
      </c>
      <c r="AF25">
        <v>3</v>
      </c>
      <c r="AG25">
        <v>3</v>
      </c>
      <c r="AH25" t="s">
        <v>152</v>
      </c>
      <c r="AI25" t="s">
        <v>223</v>
      </c>
      <c r="AJ25">
        <v>46216.550208333334</v>
      </c>
      <c r="AK25">
        <v>57014641</v>
      </c>
      <c r="AL25">
        <v>0</v>
      </c>
      <c r="AM25">
        <v>0</v>
      </c>
      <c r="AN25">
        <v>0</v>
      </c>
      <c r="AO25">
        <v>46101</v>
      </c>
      <c r="AP25">
        <v>0</v>
      </c>
      <c r="AQ25">
        <v>1</v>
      </c>
      <c r="AR25">
        <v>0</v>
      </c>
      <c r="AS25" t="s">
        <v>3</v>
      </c>
      <c r="AT25">
        <v>1</v>
      </c>
      <c r="AU25">
        <v>1</v>
      </c>
    </row>
    <row r="26" spans="2:47" x14ac:dyDescent="0.25">
      <c r="B26" t="s">
        <v>559</v>
      </c>
      <c r="C26">
        <v>0</v>
      </c>
      <c r="D26" t="s">
        <v>222</v>
      </c>
      <c r="E26" t="s">
        <v>3</v>
      </c>
      <c r="F26" t="s">
        <v>531</v>
      </c>
      <c r="G26" t="s">
        <v>3</v>
      </c>
      <c r="H26">
        <v>61623</v>
      </c>
      <c r="I26">
        <v>61623</v>
      </c>
      <c r="J26">
        <v>0</v>
      </c>
      <c r="K26">
        <v>61623</v>
      </c>
      <c r="L26">
        <v>0</v>
      </c>
      <c r="M26">
        <v>0</v>
      </c>
      <c r="N26">
        <v>0</v>
      </c>
      <c r="O26" t="s">
        <v>560</v>
      </c>
      <c r="P26" t="s">
        <v>3</v>
      </c>
      <c r="Q26" t="s">
        <v>561</v>
      </c>
      <c r="R26" t="s">
        <v>3</v>
      </c>
      <c r="S26" t="s">
        <v>3</v>
      </c>
      <c r="T26" t="s">
        <v>3</v>
      </c>
      <c r="U26">
        <v>0</v>
      </c>
      <c r="V26">
        <v>0</v>
      </c>
      <c r="W26">
        <v>0</v>
      </c>
      <c r="X26">
        <v>0</v>
      </c>
      <c r="Y26" t="s">
        <v>3</v>
      </c>
      <c r="Z26" t="s">
        <v>3</v>
      </c>
      <c r="AA26">
        <v>0</v>
      </c>
      <c r="AB26" t="s">
        <v>3</v>
      </c>
      <c r="AC26">
        <v>61623</v>
      </c>
      <c r="AD26">
        <v>1</v>
      </c>
      <c r="AE26">
        <v>0</v>
      </c>
      <c r="AF26">
        <v>3</v>
      </c>
      <c r="AG26">
        <v>3</v>
      </c>
      <c r="AH26" t="s">
        <v>152</v>
      </c>
      <c r="AI26" t="s">
        <v>223</v>
      </c>
      <c r="AJ26">
        <v>46216.550208333334</v>
      </c>
      <c r="AK26">
        <v>57014641</v>
      </c>
      <c r="AL26">
        <v>0</v>
      </c>
      <c r="AM26">
        <v>0</v>
      </c>
      <c r="AN26">
        <v>0</v>
      </c>
      <c r="AO26">
        <v>46101</v>
      </c>
      <c r="AP26">
        <v>0</v>
      </c>
      <c r="AQ26">
        <v>1</v>
      </c>
      <c r="AR26">
        <v>0</v>
      </c>
      <c r="AS26" t="s">
        <v>3</v>
      </c>
      <c r="AT26">
        <v>1</v>
      </c>
      <c r="AU26">
        <v>1</v>
      </c>
    </row>
    <row r="27" spans="2:47" x14ac:dyDescent="0.25">
      <c r="B27" t="s">
        <v>562</v>
      </c>
      <c r="C27">
        <v>1</v>
      </c>
      <c r="D27" t="s">
        <v>227</v>
      </c>
      <c r="E27" t="s">
        <v>3</v>
      </c>
      <c r="F27" t="s">
        <v>531</v>
      </c>
      <c r="G27" t="s">
        <v>3</v>
      </c>
      <c r="H27">
        <v>7634</v>
      </c>
      <c r="I27">
        <v>7634</v>
      </c>
      <c r="J27">
        <v>0</v>
      </c>
      <c r="K27">
        <v>7634</v>
      </c>
      <c r="L27">
        <v>0</v>
      </c>
      <c r="M27">
        <v>0</v>
      </c>
      <c r="N27">
        <v>0</v>
      </c>
      <c r="O27" t="s">
        <v>548</v>
      </c>
      <c r="P27" t="s">
        <v>3</v>
      </c>
      <c r="Q27" t="s">
        <v>549</v>
      </c>
      <c r="R27" t="s">
        <v>3</v>
      </c>
      <c r="S27" t="s">
        <v>3</v>
      </c>
      <c r="T27" t="s">
        <v>3</v>
      </c>
      <c r="U27">
        <v>0</v>
      </c>
      <c r="V27">
        <v>0</v>
      </c>
      <c r="W27">
        <v>0</v>
      </c>
      <c r="X27">
        <v>0</v>
      </c>
      <c r="Y27" t="s">
        <v>3</v>
      </c>
      <c r="Z27" t="s">
        <v>3</v>
      </c>
      <c r="AA27">
        <v>0</v>
      </c>
      <c r="AB27" t="s">
        <v>3</v>
      </c>
      <c r="AC27">
        <v>7634</v>
      </c>
      <c r="AD27">
        <v>1</v>
      </c>
      <c r="AE27">
        <v>0</v>
      </c>
      <c r="AF27">
        <v>3</v>
      </c>
      <c r="AG27">
        <v>3</v>
      </c>
      <c r="AH27" t="s">
        <v>152</v>
      </c>
      <c r="AI27" t="s">
        <v>228</v>
      </c>
      <c r="AJ27">
        <v>46216.550208333334</v>
      </c>
      <c r="AK27">
        <v>57014660</v>
      </c>
      <c r="AL27">
        <v>0</v>
      </c>
      <c r="AM27">
        <v>0</v>
      </c>
      <c r="AN27">
        <v>0</v>
      </c>
      <c r="AO27">
        <v>46101</v>
      </c>
      <c r="AP27">
        <v>0</v>
      </c>
      <c r="AQ27">
        <v>1</v>
      </c>
      <c r="AR27">
        <v>0</v>
      </c>
      <c r="AS27" t="s">
        <v>534</v>
      </c>
      <c r="AT27">
        <v>1</v>
      </c>
      <c r="AU27">
        <v>2</v>
      </c>
    </row>
    <row r="28" spans="2:47" x14ac:dyDescent="0.25">
      <c r="B28" t="s">
        <v>563</v>
      </c>
      <c r="C28">
        <v>0</v>
      </c>
      <c r="D28" t="s">
        <v>227</v>
      </c>
      <c r="E28" t="s">
        <v>3</v>
      </c>
      <c r="F28" t="s">
        <v>531</v>
      </c>
      <c r="G28" t="s">
        <v>3</v>
      </c>
      <c r="H28">
        <v>7638.15</v>
      </c>
      <c r="I28">
        <v>7638.15</v>
      </c>
      <c r="J28">
        <v>0</v>
      </c>
      <c r="K28">
        <v>7638.15</v>
      </c>
      <c r="L28">
        <v>0</v>
      </c>
      <c r="M28">
        <v>0</v>
      </c>
      <c r="N28">
        <v>0</v>
      </c>
      <c r="O28" t="s">
        <v>557</v>
      </c>
      <c r="P28" t="s">
        <v>3</v>
      </c>
      <c r="Q28" t="s">
        <v>558</v>
      </c>
      <c r="R28" t="s">
        <v>3</v>
      </c>
      <c r="S28" t="s">
        <v>3</v>
      </c>
      <c r="T28" t="s">
        <v>3</v>
      </c>
      <c r="U28">
        <v>0</v>
      </c>
      <c r="V28">
        <v>0</v>
      </c>
      <c r="W28">
        <v>0</v>
      </c>
      <c r="X28">
        <v>0</v>
      </c>
      <c r="Y28" t="s">
        <v>3</v>
      </c>
      <c r="Z28" t="s">
        <v>3</v>
      </c>
      <c r="AA28">
        <v>0</v>
      </c>
      <c r="AB28" t="s">
        <v>3</v>
      </c>
      <c r="AC28">
        <v>7638.15</v>
      </c>
      <c r="AD28">
        <v>1</v>
      </c>
      <c r="AE28">
        <v>0</v>
      </c>
      <c r="AF28">
        <v>3</v>
      </c>
      <c r="AG28">
        <v>3</v>
      </c>
      <c r="AH28" t="s">
        <v>152</v>
      </c>
      <c r="AI28" t="s">
        <v>228</v>
      </c>
      <c r="AJ28">
        <v>46216.550208333334</v>
      </c>
      <c r="AK28">
        <v>57014660</v>
      </c>
      <c r="AL28">
        <v>0</v>
      </c>
      <c r="AM28">
        <v>0</v>
      </c>
      <c r="AN28">
        <v>0</v>
      </c>
      <c r="AO28">
        <v>46101</v>
      </c>
      <c r="AP28">
        <v>0</v>
      </c>
      <c r="AQ28">
        <v>1</v>
      </c>
      <c r="AR28">
        <v>0</v>
      </c>
      <c r="AS28" t="s">
        <v>3</v>
      </c>
      <c r="AT28">
        <v>1</v>
      </c>
      <c r="AU28">
        <v>2</v>
      </c>
    </row>
    <row r="29" spans="2:47" x14ac:dyDescent="0.25">
      <c r="B29" t="s">
        <v>564</v>
      </c>
      <c r="C29">
        <v>0</v>
      </c>
      <c r="D29" t="s">
        <v>227</v>
      </c>
      <c r="E29" t="s">
        <v>3</v>
      </c>
      <c r="F29" t="s">
        <v>531</v>
      </c>
      <c r="G29" t="s">
        <v>3</v>
      </c>
      <c r="H29">
        <v>8210</v>
      </c>
      <c r="I29">
        <v>8210</v>
      </c>
      <c r="J29">
        <v>0</v>
      </c>
      <c r="K29">
        <v>8210</v>
      </c>
      <c r="L29">
        <v>0</v>
      </c>
      <c r="M29">
        <v>0</v>
      </c>
      <c r="N29">
        <v>0</v>
      </c>
      <c r="O29" t="s">
        <v>551</v>
      </c>
      <c r="P29" t="s">
        <v>3</v>
      </c>
      <c r="Q29" t="s">
        <v>552</v>
      </c>
      <c r="R29" t="s">
        <v>3</v>
      </c>
      <c r="S29" t="s">
        <v>3</v>
      </c>
      <c r="T29" t="s">
        <v>3</v>
      </c>
      <c r="U29">
        <v>0</v>
      </c>
      <c r="V29">
        <v>0</v>
      </c>
      <c r="W29">
        <v>0</v>
      </c>
      <c r="X29">
        <v>0</v>
      </c>
      <c r="Y29" t="s">
        <v>3</v>
      </c>
      <c r="Z29" t="s">
        <v>3</v>
      </c>
      <c r="AA29">
        <v>0</v>
      </c>
      <c r="AB29" t="s">
        <v>3</v>
      </c>
      <c r="AC29">
        <v>8210</v>
      </c>
      <c r="AD29">
        <v>1</v>
      </c>
      <c r="AE29">
        <v>0</v>
      </c>
      <c r="AF29">
        <v>3</v>
      </c>
      <c r="AG29">
        <v>3</v>
      </c>
      <c r="AH29" t="s">
        <v>152</v>
      </c>
      <c r="AI29" t="s">
        <v>228</v>
      </c>
      <c r="AJ29">
        <v>46216.550208333334</v>
      </c>
      <c r="AK29">
        <v>57014660</v>
      </c>
      <c r="AL29">
        <v>0</v>
      </c>
      <c r="AM29">
        <v>0</v>
      </c>
      <c r="AN29">
        <v>0</v>
      </c>
      <c r="AO29">
        <v>46101</v>
      </c>
      <c r="AP29">
        <v>0</v>
      </c>
      <c r="AQ29">
        <v>1</v>
      </c>
      <c r="AR29">
        <v>0</v>
      </c>
      <c r="AS29" t="s">
        <v>3</v>
      </c>
      <c r="AT29">
        <v>1</v>
      </c>
      <c r="AU29">
        <v>2</v>
      </c>
    </row>
    <row r="30" spans="2:47" x14ac:dyDescent="0.25">
      <c r="B30" t="s">
        <v>565</v>
      </c>
      <c r="C30">
        <v>1</v>
      </c>
      <c r="D30" t="s">
        <v>231</v>
      </c>
      <c r="E30" t="s">
        <v>3</v>
      </c>
      <c r="F30" t="s">
        <v>531</v>
      </c>
      <c r="G30" t="s">
        <v>3</v>
      </c>
      <c r="H30">
        <v>7512</v>
      </c>
      <c r="I30">
        <v>7512</v>
      </c>
      <c r="J30">
        <v>0</v>
      </c>
      <c r="K30">
        <v>7512</v>
      </c>
      <c r="L30">
        <v>0</v>
      </c>
      <c r="M30">
        <v>0</v>
      </c>
      <c r="N30">
        <v>0</v>
      </c>
      <c r="O30" t="s">
        <v>548</v>
      </c>
      <c r="P30" t="s">
        <v>3</v>
      </c>
      <c r="Q30" t="s">
        <v>549</v>
      </c>
      <c r="R30" t="s">
        <v>3</v>
      </c>
      <c r="S30" t="s">
        <v>3</v>
      </c>
      <c r="T30" t="s">
        <v>3</v>
      </c>
      <c r="U30">
        <v>0</v>
      </c>
      <c r="V30">
        <v>0</v>
      </c>
      <c r="W30">
        <v>0</v>
      </c>
      <c r="X30">
        <v>0</v>
      </c>
      <c r="Y30" t="s">
        <v>3</v>
      </c>
      <c r="Z30" t="s">
        <v>3</v>
      </c>
      <c r="AA30">
        <v>0</v>
      </c>
      <c r="AB30" t="s">
        <v>3</v>
      </c>
      <c r="AC30">
        <v>7512</v>
      </c>
      <c r="AD30">
        <v>1</v>
      </c>
      <c r="AE30">
        <v>0</v>
      </c>
      <c r="AF30">
        <v>3</v>
      </c>
      <c r="AG30">
        <v>3</v>
      </c>
      <c r="AH30" t="s">
        <v>152</v>
      </c>
      <c r="AI30" t="s">
        <v>232</v>
      </c>
      <c r="AJ30">
        <v>46216.550208333334</v>
      </c>
      <c r="AK30">
        <v>57014665</v>
      </c>
      <c r="AL30">
        <v>0</v>
      </c>
      <c r="AM30">
        <v>0</v>
      </c>
      <c r="AN30">
        <v>0</v>
      </c>
      <c r="AO30">
        <v>46101</v>
      </c>
      <c r="AP30">
        <v>0</v>
      </c>
      <c r="AQ30">
        <v>1</v>
      </c>
      <c r="AR30">
        <v>0</v>
      </c>
      <c r="AS30" t="s">
        <v>534</v>
      </c>
      <c r="AT30">
        <v>1</v>
      </c>
      <c r="AU30">
        <v>2</v>
      </c>
    </row>
    <row r="31" spans="2:47" x14ac:dyDescent="0.25">
      <c r="B31" t="s">
        <v>566</v>
      </c>
      <c r="C31">
        <v>0</v>
      </c>
      <c r="D31" t="s">
        <v>231</v>
      </c>
      <c r="E31" t="s">
        <v>3</v>
      </c>
      <c r="F31" t="s">
        <v>531</v>
      </c>
      <c r="G31" t="s">
        <v>3</v>
      </c>
      <c r="H31">
        <v>7516.08</v>
      </c>
      <c r="I31">
        <v>7516.08</v>
      </c>
      <c r="J31">
        <v>0</v>
      </c>
      <c r="K31">
        <v>7516.08</v>
      </c>
      <c r="L31">
        <v>0</v>
      </c>
      <c r="M31">
        <v>0</v>
      </c>
      <c r="N31">
        <v>0</v>
      </c>
      <c r="O31" t="s">
        <v>557</v>
      </c>
      <c r="P31" t="s">
        <v>3</v>
      </c>
      <c r="Q31" t="s">
        <v>558</v>
      </c>
      <c r="R31" t="s">
        <v>3</v>
      </c>
      <c r="S31" t="s">
        <v>3</v>
      </c>
      <c r="T31" t="s">
        <v>3</v>
      </c>
      <c r="U31">
        <v>0</v>
      </c>
      <c r="V31">
        <v>0</v>
      </c>
      <c r="W31">
        <v>0</v>
      </c>
      <c r="X31">
        <v>0</v>
      </c>
      <c r="Y31" t="s">
        <v>3</v>
      </c>
      <c r="Z31" t="s">
        <v>3</v>
      </c>
      <c r="AA31">
        <v>0</v>
      </c>
      <c r="AB31" t="s">
        <v>3</v>
      </c>
      <c r="AC31">
        <v>7516.08</v>
      </c>
      <c r="AD31">
        <v>1</v>
      </c>
      <c r="AE31">
        <v>0</v>
      </c>
      <c r="AF31">
        <v>3</v>
      </c>
      <c r="AG31">
        <v>3</v>
      </c>
      <c r="AH31" t="s">
        <v>152</v>
      </c>
      <c r="AI31" t="s">
        <v>232</v>
      </c>
      <c r="AJ31">
        <v>46216.550208333334</v>
      </c>
      <c r="AK31">
        <v>57014665</v>
      </c>
      <c r="AL31">
        <v>0</v>
      </c>
      <c r="AM31">
        <v>0</v>
      </c>
      <c r="AN31">
        <v>0</v>
      </c>
      <c r="AO31">
        <v>46101</v>
      </c>
      <c r="AP31">
        <v>0</v>
      </c>
      <c r="AQ31">
        <v>1</v>
      </c>
      <c r="AR31">
        <v>0</v>
      </c>
      <c r="AS31" t="s">
        <v>3</v>
      </c>
      <c r="AT31">
        <v>1</v>
      </c>
      <c r="AU31">
        <v>2</v>
      </c>
    </row>
    <row r="32" spans="2:47" x14ac:dyDescent="0.25">
      <c r="B32" t="s">
        <v>567</v>
      </c>
      <c r="C32">
        <v>0</v>
      </c>
      <c r="D32" t="s">
        <v>231</v>
      </c>
      <c r="E32" t="s">
        <v>3</v>
      </c>
      <c r="F32" t="s">
        <v>531</v>
      </c>
      <c r="G32" t="s">
        <v>3</v>
      </c>
      <c r="H32">
        <v>8080</v>
      </c>
      <c r="I32">
        <v>8080</v>
      </c>
      <c r="J32">
        <v>0</v>
      </c>
      <c r="K32">
        <v>8080</v>
      </c>
      <c r="L32">
        <v>0</v>
      </c>
      <c r="M32">
        <v>0</v>
      </c>
      <c r="N32">
        <v>0</v>
      </c>
      <c r="O32" t="s">
        <v>551</v>
      </c>
      <c r="P32" t="s">
        <v>3</v>
      </c>
      <c r="Q32" t="s">
        <v>552</v>
      </c>
      <c r="R32" t="s">
        <v>3</v>
      </c>
      <c r="S32" t="s">
        <v>3</v>
      </c>
      <c r="T32" t="s">
        <v>3</v>
      </c>
      <c r="U32">
        <v>0</v>
      </c>
      <c r="V32">
        <v>0</v>
      </c>
      <c r="W32">
        <v>0</v>
      </c>
      <c r="X32">
        <v>0</v>
      </c>
      <c r="Y32" t="s">
        <v>3</v>
      </c>
      <c r="Z32" t="s">
        <v>3</v>
      </c>
      <c r="AA32">
        <v>0</v>
      </c>
      <c r="AB32" t="s">
        <v>3</v>
      </c>
      <c r="AC32">
        <v>8080</v>
      </c>
      <c r="AD32">
        <v>1</v>
      </c>
      <c r="AE32">
        <v>0</v>
      </c>
      <c r="AF32">
        <v>3</v>
      </c>
      <c r="AG32">
        <v>3</v>
      </c>
      <c r="AH32" t="s">
        <v>152</v>
      </c>
      <c r="AI32" t="s">
        <v>232</v>
      </c>
      <c r="AJ32">
        <v>46216.550208333334</v>
      </c>
      <c r="AK32">
        <v>57014665</v>
      </c>
      <c r="AL32">
        <v>0</v>
      </c>
      <c r="AM32">
        <v>0</v>
      </c>
      <c r="AN32">
        <v>0</v>
      </c>
      <c r="AO32">
        <v>46101</v>
      </c>
      <c r="AP32">
        <v>0</v>
      </c>
      <c r="AQ32">
        <v>1</v>
      </c>
      <c r="AR32">
        <v>0</v>
      </c>
      <c r="AS32" t="s">
        <v>3</v>
      </c>
      <c r="AT32">
        <v>1</v>
      </c>
      <c r="AU32">
        <v>2</v>
      </c>
    </row>
    <row r="33" spans="2:47" x14ac:dyDescent="0.25">
      <c r="B33" t="s">
        <v>568</v>
      </c>
      <c r="C33">
        <v>0</v>
      </c>
      <c r="D33" t="s">
        <v>235</v>
      </c>
      <c r="E33" t="s">
        <v>3</v>
      </c>
      <c r="F33" t="s">
        <v>531</v>
      </c>
      <c r="G33" t="s">
        <v>3</v>
      </c>
      <c r="H33">
        <v>2190</v>
      </c>
      <c r="I33">
        <v>2190</v>
      </c>
      <c r="J33">
        <v>0</v>
      </c>
      <c r="K33">
        <v>2190</v>
      </c>
      <c r="L33">
        <v>0</v>
      </c>
      <c r="M33">
        <v>0</v>
      </c>
      <c r="N33">
        <v>0</v>
      </c>
      <c r="O33" t="s">
        <v>551</v>
      </c>
      <c r="P33" t="s">
        <v>3</v>
      </c>
      <c r="Q33" t="s">
        <v>552</v>
      </c>
      <c r="R33" t="s">
        <v>3</v>
      </c>
      <c r="S33" t="s">
        <v>3</v>
      </c>
      <c r="T33" t="s">
        <v>3</v>
      </c>
      <c r="U33">
        <v>0</v>
      </c>
      <c r="V33">
        <v>0</v>
      </c>
      <c r="W33">
        <v>0</v>
      </c>
      <c r="X33">
        <v>0</v>
      </c>
      <c r="Y33" t="s">
        <v>3</v>
      </c>
      <c r="Z33" t="s">
        <v>3</v>
      </c>
      <c r="AA33">
        <v>0</v>
      </c>
      <c r="AB33" t="s">
        <v>3</v>
      </c>
      <c r="AC33">
        <v>2190</v>
      </c>
      <c r="AD33">
        <v>1</v>
      </c>
      <c r="AE33">
        <v>0</v>
      </c>
      <c r="AF33">
        <v>3</v>
      </c>
      <c r="AG33">
        <v>3</v>
      </c>
      <c r="AH33" t="s">
        <v>152</v>
      </c>
      <c r="AI33" t="s">
        <v>236</v>
      </c>
      <c r="AJ33">
        <v>46216.550208333334</v>
      </c>
      <c r="AK33">
        <v>57014670</v>
      </c>
      <c r="AL33">
        <v>0</v>
      </c>
      <c r="AM33">
        <v>0</v>
      </c>
      <c r="AN33">
        <v>0</v>
      </c>
      <c r="AO33">
        <v>46101</v>
      </c>
      <c r="AP33">
        <v>0</v>
      </c>
      <c r="AQ33">
        <v>1</v>
      </c>
      <c r="AR33">
        <v>0</v>
      </c>
      <c r="AS33" t="s">
        <v>534</v>
      </c>
      <c r="AT33">
        <v>1</v>
      </c>
      <c r="AU33">
        <v>4</v>
      </c>
    </row>
    <row r="34" spans="2:47" x14ac:dyDescent="0.25">
      <c r="B34" t="s">
        <v>569</v>
      </c>
      <c r="C34">
        <v>1</v>
      </c>
      <c r="D34" t="s">
        <v>235</v>
      </c>
      <c r="E34" t="s">
        <v>3</v>
      </c>
      <c r="F34" t="s">
        <v>531</v>
      </c>
      <c r="G34" t="s">
        <v>3</v>
      </c>
      <c r="H34">
        <v>1705.33</v>
      </c>
      <c r="I34">
        <v>1705.33</v>
      </c>
      <c r="J34">
        <v>0</v>
      </c>
      <c r="K34">
        <v>1705.33</v>
      </c>
      <c r="L34">
        <v>0</v>
      </c>
      <c r="M34">
        <v>0</v>
      </c>
      <c r="N34">
        <v>0</v>
      </c>
      <c r="O34" t="s">
        <v>570</v>
      </c>
      <c r="P34" t="s">
        <v>3</v>
      </c>
      <c r="Q34" t="s">
        <v>571</v>
      </c>
      <c r="R34" t="s">
        <v>3</v>
      </c>
      <c r="S34" t="s">
        <v>3</v>
      </c>
      <c r="T34" t="s">
        <v>3</v>
      </c>
      <c r="U34">
        <v>0</v>
      </c>
      <c r="V34">
        <v>0</v>
      </c>
      <c r="W34">
        <v>0</v>
      </c>
      <c r="X34">
        <v>0</v>
      </c>
      <c r="Y34" t="s">
        <v>3</v>
      </c>
      <c r="Z34" t="s">
        <v>3</v>
      </c>
      <c r="AA34">
        <v>0</v>
      </c>
      <c r="AB34" t="s">
        <v>3</v>
      </c>
      <c r="AC34">
        <v>1705.33</v>
      </c>
      <c r="AD34">
        <v>1</v>
      </c>
      <c r="AE34">
        <v>0</v>
      </c>
      <c r="AF34">
        <v>3</v>
      </c>
      <c r="AG34">
        <v>3</v>
      </c>
      <c r="AH34" t="s">
        <v>152</v>
      </c>
      <c r="AI34" t="s">
        <v>236</v>
      </c>
      <c r="AJ34">
        <v>46216.550208333334</v>
      </c>
      <c r="AK34">
        <v>57014670</v>
      </c>
      <c r="AL34">
        <v>0</v>
      </c>
      <c r="AM34">
        <v>0</v>
      </c>
      <c r="AN34">
        <v>0</v>
      </c>
      <c r="AO34">
        <v>46101</v>
      </c>
      <c r="AP34">
        <v>0</v>
      </c>
      <c r="AQ34">
        <v>1</v>
      </c>
      <c r="AR34">
        <v>0</v>
      </c>
      <c r="AS34" t="s">
        <v>3</v>
      </c>
      <c r="AT34">
        <v>1</v>
      </c>
      <c r="AU34">
        <v>4</v>
      </c>
    </row>
    <row r="35" spans="2:47" x14ac:dyDescent="0.25">
      <c r="B35" t="s">
        <v>572</v>
      </c>
      <c r="C35">
        <v>0</v>
      </c>
      <c r="D35" t="s">
        <v>235</v>
      </c>
      <c r="E35" t="s">
        <v>3</v>
      </c>
      <c r="F35" t="s">
        <v>531</v>
      </c>
      <c r="G35" t="s">
        <v>3</v>
      </c>
      <c r="H35">
        <v>1733.7</v>
      </c>
      <c r="I35">
        <v>1733.7</v>
      </c>
      <c r="J35">
        <v>0</v>
      </c>
      <c r="K35">
        <v>1733.7</v>
      </c>
      <c r="L35">
        <v>0</v>
      </c>
      <c r="M35">
        <v>0</v>
      </c>
      <c r="N35">
        <v>0</v>
      </c>
      <c r="O35" t="s">
        <v>557</v>
      </c>
      <c r="P35" t="s">
        <v>3</v>
      </c>
      <c r="Q35" t="s">
        <v>558</v>
      </c>
      <c r="R35" t="s">
        <v>3</v>
      </c>
      <c r="S35" t="s">
        <v>3</v>
      </c>
      <c r="T35" t="s">
        <v>3</v>
      </c>
      <c r="U35">
        <v>0</v>
      </c>
      <c r="V35">
        <v>0</v>
      </c>
      <c r="W35">
        <v>0</v>
      </c>
      <c r="X35">
        <v>0</v>
      </c>
      <c r="Y35" t="s">
        <v>3</v>
      </c>
      <c r="Z35" t="s">
        <v>3</v>
      </c>
      <c r="AA35">
        <v>0</v>
      </c>
      <c r="AB35" t="s">
        <v>3</v>
      </c>
      <c r="AC35">
        <v>1733.7</v>
      </c>
      <c r="AD35">
        <v>1</v>
      </c>
      <c r="AE35">
        <v>0</v>
      </c>
      <c r="AF35">
        <v>3</v>
      </c>
      <c r="AG35">
        <v>3</v>
      </c>
      <c r="AH35" t="s">
        <v>152</v>
      </c>
      <c r="AI35" t="s">
        <v>236</v>
      </c>
      <c r="AJ35">
        <v>46216.550208333334</v>
      </c>
      <c r="AK35">
        <v>57014670</v>
      </c>
      <c r="AL35">
        <v>0</v>
      </c>
      <c r="AM35">
        <v>0</v>
      </c>
      <c r="AN35">
        <v>0</v>
      </c>
      <c r="AO35">
        <v>46101</v>
      </c>
      <c r="AP35">
        <v>0</v>
      </c>
      <c r="AQ35">
        <v>1</v>
      </c>
      <c r="AR35">
        <v>0</v>
      </c>
      <c r="AS35" t="s">
        <v>3</v>
      </c>
      <c r="AT35">
        <v>1</v>
      </c>
      <c r="AU35">
        <v>4</v>
      </c>
    </row>
    <row r="36" spans="2:47" x14ac:dyDescent="0.25">
      <c r="B36" t="s">
        <v>573</v>
      </c>
      <c r="C36">
        <v>0</v>
      </c>
      <c r="D36" t="s">
        <v>239</v>
      </c>
      <c r="E36" t="s">
        <v>3</v>
      </c>
      <c r="F36" t="s">
        <v>531</v>
      </c>
      <c r="G36" t="s">
        <v>3</v>
      </c>
      <c r="H36">
        <v>3300.9</v>
      </c>
      <c r="I36">
        <v>3300.9</v>
      </c>
      <c r="J36">
        <v>0</v>
      </c>
      <c r="K36">
        <v>3300.9</v>
      </c>
      <c r="L36">
        <v>0</v>
      </c>
      <c r="M36">
        <v>0</v>
      </c>
      <c r="N36">
        <v>0</v>
      </c>
      <c r="O36" t="s">
        <v>574</v>
      </c>
      <c r="P36" t="s">
        <v>3</v>
      </c>
      <c r="Q36" t="s">
        <v>575</v>
      </c>
      <c r="R36" t="s">
        <v>3</v>
      </c>
      <c r="S36" t="s">
        <v>3</v>
      </c>
      <c r="T36" t="s">
        <v>3</v>
      </c>
      <c r="U36">
        <v>0</v>
      </c>
      <c r="V36">
        <v>0</v>
      </c>
      <c r="W36">
        <v>0</v>
      </c>
      <c r="X36">
        <v>0</v>
      </c>
      <c r="Y36" t="s">
        <v>3</v>
      </c>
      <c r="Z36" t="s">
        <v>3</v>
      </c>
      <c r="AA36">
        <v>0</v>
      </c>
      <c r="AB36" t="s">
        <v>3</v>
      </c>
      <c r="AC36">
        <v>3300.9</v>
      </c>
      <c r="AD36">
        <v>1</v>
      </c>
      <c r="AE36">
        <v>0</v>
      </c>
      <c r="AF36">
        <v>3</v>
      </c>
      <c r="AG36">
        <v>3</v>
      </c>
      <c r="AH36" t="s">
        <v>152</v>
      </c>
      <c r="AI36" t="s">
        <v>240</v>
      </c>
      <c r="AJ36">
        <v>46216.550208333334</v>
      </c>
      <c r="AK36">
        <v>57014675</v>
      </c>
      <c r="AL36">
        <v>0</v>
      </c>
      <c r="AM36">
        <v>0</v>
      </c>
      <c r="AN36">
        <v>0</v>
      </c>
      <c r="AO36">
        <v>46101</v>
      </c>
      <c r="AP36">
        <v>0</v>
      </c>
      <c r="AQ36">
        <v>1</v>
      </c>
      <c r="AR36">
        <v>0</v>
      </c>
      <c r="AS36" t="s">
        <v>534</v>
      </c>
      <c r="AT36">
        <v>1</v>
      </c>
      <c r="AU36">
        <v>4</v>
      </c>
    </row>
    <row r="37" spans="2:47" x14ac:dyDescent="0.25">
      <c r="B37" t="s">
        <v>576</v>
      </c>
      <c r="C37">
        <v>1</v>
      </c>
      <c r="D37" t="s">
        <v>239</v>
      </c>
      <c r="E37" t="s">
        <v>3</v>
      </c>
      <c r="F37" t="s">
        <v>531</v>
      </c>
      <c r="G37" t="s">
        <v>3</v>
      </c>
      <c r="H37">
        <v>2770</v>
      </c>
      <c r="I37">
        <v>2770</v>
      </c>
      <c r="J37">
        <v>0</v>
      </c>
      <c r="K37">
        <v>2770</v>
      </c>
      <c r="L37">
        <v>0</v>
      </c>
      <c r="M37">
        <v>0</v>
      </c>
      <c r="N37">
        <v>0</v>
      </c>
      <c r="O37" t="s">
        <v>577</v>
      </c>
      <c r="P37" t="s">
        <v>3</v>
      </c>
      <c r="Q37" t="s">
        <v>578</v>
      </c>
      <c r="R37" t="s">
        <v>3</v>
      </c>
      <c r="S37" t="s">
        <v>3</v>
      </c>
      <c r="T37" t="s">
        <v>3</v>
      </c>
      <c r="U37">
        <v>0</v>
      </c>
      <c r="V37">
        <v>0</v>
      </c>
      <c r="W37">
        <v>0</v>
      </c>
      <c r="X37">
        <v>0</v>
      </c>
      <c r="Y37" t="s">
        <v>3</v>
      </c>
      <c r="Z37" t="s">
        <v>3</v>
      </c>
      <c r="AA37">
        <v>0</v>
      </c>
      <c r="AB37" t="s">
        <v>3</v>
      </c>
      <c r="AC37">
        <v>2770</v>
      </c>
      <c r="AD37">
        <v>1</v>
      </c>
      <c r="AE37">
        <v>0</v>
      </c>
      <c r="AF37">
        <v>3</v>
      </c>
      <c r="AG37">
        <v>3</v>
      </c>
      <c r="AH37" t="s">
        <v>152</v>
      </c>
      <c r="AI37" t="s">
        <v>240</v>
      </c>
      <c r="AJ37">
        <v>46216.550208333334</v>
      </c>
      <c r="AK37">
        <v>57014675</v>
      </c>
      <c r="AL37">
        <v>0</v>
      </c>
      <c r="AM37">
        <v>0</v>
      </c>
      <c r="AN37">
        <v>0</v>
      </c>
      <c r="AO37">
        <v>46101</v>
      </c>
      <c r="AP37">
        <v>0</v>
      </c>
      <c r="AQ37">
        <v>1</v>
      </c>
      <c r="AR37">
        <v>0</v>
      </c>
      <c r="AS37" t="s">
        <v>3</v>
      </c>
      <c r="AT37">
        <v>1</v>
      </c>
      <c r="AU37">
        <v>4</v>
      </c>
    </row>
    <row r="38" spans="2:47" x14ac:dyDescent="0.25">
      <c r="B38" t="s">
        <v>579</v>
      </c>
      <c r="C38">
        <v>0</v>
      </c>
      <c r="D38" t="s">
        <v>239</v>
      </c>
      <c r="E38" t="s">
        <v>3</v>
      </c>
      <c r="F38" t="s">
        <v>531</v>
      </c>
      <c r="G38" t="s">
        <v>3</v>
      </c>
      <c r="H38">
        <v>5010.24</v>
      </c>
      <c r="I38">
        <v>5010.24</v>
      </c>
      <c r="J38">
        <v>0</v>
      </c>
      <c r="K38">
        <v>5010.24</v>
      </c>
      <c r="L38">
        <v>0</v>
      </c>
      <c r="M38">
        <v>0</v>
      </c>
      <c r="N38">
        <v>0</v>
      </c>
      <c r="O38" t="s">
        <v>580</v>
      </c>
      <c r="P38" t="s">
        <v>3</v>
      </c>
      <c r="Q38" t="s">
        <v>581</v>
      </c>
      <c r="R38" t="s">
        <v>3</v>
      </c>
      <c r="S38" t="s">
        <v>3</v>
      </c>
      <c r="T38" t="s">
        <v>3</v>
      </c>
      <c r="U38">
        <v>0</v>
      </c>
      <c r="V38">
        <v>0</v>
      </c>
      <c r="W38">
        <v>0</v>
      </c>
      <c r="X38">
        <v>0</v>
      </c>
      <c r="Y38" t="s">
        <v>3</v>
      </c>
      <c r="Z38" t="s">
        <v>3</v>
      </c>
      <c r="AA38">
        <v>0</v>
      </c>
      <c r="AB38" t="s">
        <v>3</v>
      </c>
      <c r="AC38">
        <v>5010.24</v>
      </c>
      <c r="AD38">
        <v>1</v>
      </c>
      <c r="AE38">
        <v>0</v>
      </c>
      <c r="AF38">
        <v>3</v>
      </c>
      <c r="AG38">
        <v>3</v>
      </c>
      <c r="AH38" t="s">
        <v>152</v>
      </c>
      <c r="AI38" t="s">
        <v>240</v>
      </c>
      <c r="AJ38">
        <v>46216.550208333334</v>
      </c>
      <c r="AK38">
        <v>57014675</v>
      </c>
      <c r="AL38">
        <v>0</v>
      </c>
      <c r="AM38">
        <v>0</v>
      </c>
      <c r="AN38">
        <v>0</v>
      </c>
      <c r="AO38">
        <v>46101</v>
      </c>
      <c r="AP38">
        <v>0</v>
      </c>
      <c r="AQ38">
        <v>1</v>
      </c>
      <c r="AR38">
        <v>0</v>
      </c>
      <c r="AS38" t="s">
        <v>3</v>
      </c>
      <c r="AT38">
        <v>1</v>
      </c>
      <c r="AU38">
        <v>4</v>
      </c>
    </row>
    <row r="39" spans="2:47" x14ac:dyDescent="0.25">
      <c r="B39" t="s">
        <v>582</v>
      </c>
      <c r="C39">
        <v>0</v>
      </c>
      <c r="D39" t="s">
        <v>275</v>
      </c>
      <c r="E39" t="s">
        <v>3</v>
      </c>
      <c r="F39" t="s">
        <v>531</v>
      </c>
      <c r="G39" t="s">
        <v>3</v>
      </c>
      <c r="H39">
        <v>1890</v>
      </c>
      <c r="I39">
        <v>1890</v>
      </c>
      <c r="J39">
        <v>0</v>
      </c>
      <c r="K39">
        <v>1890</v>
      </c>
      <c r="L39">
        <v>0</v>
      </c>
      <c r="M39">
        <v>0</v>
      </c>
      <c r="N39">
        <v>0</v>
      </c>
      <c r="O39" t="s">
        <v>551</v>
      </c>
      <c r="P39" t="s">
        <v>3</v>
      </c>
      <c r="Q39" t="s">
        <v>552</v>
      </c>
      <c r="R39" t="s">
        <v>3</v>
      </c>
      <c r="S39" t="s">
        <v>3</v>
      </c>
      <c r="T39" t="s">
        <v>3</v>
      </c>
      <c r="U39">
        <v>0</v>
      </c>
      <c r="V39">
        <v>0</v>
      </c>
      <c r="W39">
        <v>0</v>
      </c>
      <c r="X39">
        <v>0</v>
      </c>
      <c r="Y39" t="s">
        <v>3</v>
      </c>
      <c r="Z39" t="s">
        <v>3</v>
      </c>
      <c r="AA39">
        <v>0</v>
      </c>
      <c r="AB39" t="s">
        <v>3</v>
      </c>
      <c r="AC39">
        <v>1890</v>
      </c>
      <c r="AD39">
        <v>1</v>
      </c>
      <c r="AE39">
        <v>0</v>
      </c>
      <c r="AF39">
        <v>3</v>
      </c>
      <c r="AG39">
        <v>3</v>
      </c>
      <c r="AH39" t="s">
        <v>152</v>
      </c>
      <c r="AI39" t="s">
        <v>276</v>
      </c>
      <c r="AJ39">
        <v>46216.550219907411</v>
      </c>
      <c r="AK39">
        <v>57014691</v>
      </c>
      <c r="AL39">
        <v>0</v>
      </c>
      <c r="AM39">
        <v>0</v>
      </c>
      <c r="AN39">
        <v>0</v>
      </c>
      <c r="AO39">
        <v>46101</v>
      </c>
      <c r="AP39">
        <v>0</v>
      </c>
      <c r="AQ39">
        <v>1</v>
      </c>
      <c r="AR39">
        <v>0</v>
      </c>
      <c r="AS39" t="s">
        <v>534</v>
      </c>
      <c r="AT39">
        <v>1</v>
      </c>
      <c r="AU39">
        <v>1</v>
      </c>
    </row>
    <row r="40" spans="2:47" x14ac:dyDescent="0.25">
      <c r="B40" t="s">
        <v>583</v>
      </c>
      <c r="C40">
        <v>1</v>
      </c>
      <c r="D40" t="s">
        <v>275</v>
      </c>
      <c r="E40" t="s">
        <v>3</v>
      </c>
      <c r="F40" t="s">
        <v>531</v>
      </c>
      <c r="G40" t="s">
        <v>3</v>
      </c>
      <c r="H40">
        <v>1683</v>
      </c>
      <c r="I40">
        <v>1683</v>
      </c>
      <c r="J40">
        <v>0</v>
      </c>
      <c r="K40">
        <v>1683</v>
      </c>
      <c r="L40">
        <v>0</v>
      </c>
      <c r="M40">
        <v>0</v>
      </c>
      <c r="N40">
        <v>0</v>
      </c>
      <c r="O40" t="s">
        <v>548</v>
      </c>
      <c r="P40" t="s">
        <v>3</v>
      </c>
      <c r="Q40" t="s">
        <v>549</v>
      </c>
      <c r="R40" t="s">
        <v>3</v>
      </c>
      <c r="S40" t="s">
        <v>3</v>
      </c>
      <c r="T40" t="s">
        <v>3</v>
      </c>
      <c r="U40">
        <v>0</v>
      </c>
      <c r="V40">
        <v>0</v>
      </c>
      <c r="W40">
        <v>0</v>
      </c>
      <c r="X40">
        <v>0</v>
      </c>
      <c r="Y40" t="s">
        <v>3</v>
      </c>
      <c r="Z40" t="s">
        <v>3</v>
      </c>
      <c r="AA40">
        <v>0</v>
      </c>
      <c r="AB40" t="s">
        <v>3</v>
      </c>
      <c r="AC40">
        <v>1683</v>
      </c>
      <c r="AD40">
        <v>1</v>
      </c>
      <c r="AE40">
        <v>0</v>
      </c>
      <c r="AF40">
        <v>3</v>
      </c>
      <c r="AG40">
        <v>3</v>
      </c>
      <c r="AH40" t="s">
        <v>152</v>
      </c>
      <c r="AI40" t="s">
        <v>276</v>
      </c>
      <c r="AJ40">
        <v>46216.550219907411</v>
      </c>
      <c r="AK40">
        <v>57014691</v>
      </c>
      <c r="AL40">
        <v>0</v>
      </c>
      <c r="AM40">
        <v>0</v>
      </c>
      <c r="AN40">
        <v>0</v>
      </c>
      <c r="AO40">
        <v>46101</v>
      </c>
      <c r="AP40">
        <v>0</v>
      </c>
      <c r="AQ40">
        <v>1</v>
      </c>
      <c r="AR40">
        <v>0</v>
      </c>
      <c r="AS40" t="s">
        <v>3</v>
      </c>
      <c r="AT40">
        <v>1</v>
      </c>
      <c r="AU40">
        <v>1</v>
      </c>
    </row>
    <row r="41" spans="2:47" x14ac:dyDescent="0.25">
      <c r="B41" t="s">
        <v>584</v>
      </c>
      <c r="C41">
        <v>0</v>
      </c>
      <c r="D41" t="s">
        <v>275</v>
      </c>
      <c r="E41" t="s">
        <v>3</v>
      </c>
      <c r="F41" t="s">
        <v>531</v>
      </c>
      <c r="G41" t="s">
        <v>3</v>
      </c>
      <c r="H41">
        <v>2907.86</v>
      </c>
      <c r="I41">
        <v>2907.86</v>
      </c>
      <c r="J41">
        <v>0</v>
      </c>
      <c r="K41">
        <v>2907.86</v>
      </c>
      <c r="L41">
        <v>0</v>
      </c>
      <c r="M41">
        <v>0</v>
      </c>
      <c r="N41">
        <v>0</v>
      </c>
      <c r="O41" t="s">
        <v>557</v>
      </c>
      <c r="P41" t="s">
        <v>3</v>
      </c>
      <c r="Q41" t="s">
        <v>558</v>
      </c>
      <c r="R41" t="s">
        <v>3</v>
      </c>
      <c r="S41" t="s">
        <v>3</v>
      </c>
      <c r="T41" t="s">
        <v>3</v>
      </c>
      <c r="U41">
        <v>0</v>
      </c>
      <c r="V41">
        <v>0</v>
      </c>
      <c r="W41">
        <v>0</v>
      </c>
      <c r="X41">
        <v>0</v>
      </c>
      <c r="Y41" t="s">
        <v>3</v>
      </c>
      <c r="Z41" t="s">
        <v>3</v>
      </c>
      <c r="AA41">
        <v>0</v>
      </c>
      <c r="AB41" t="s">
        <v>3</v>
      </c>
      <c r="AC41">
        <v>2907.86</v>
      </c>
      <c r="AD41">
        <v>1</v>
      </c>
      <c r="AE41">
        <v>0</v>
      </c>
      <c r="AF41">
        <v>3</v>
      </c>
      <c r="AG41">
        <v>3</v>
      </c>
      <c r="AH41" t="s">
        <v>152</v>
      </c>
      <c r="AI41" t="s">
        <v>276</v>
      </c>
      <c r="AJ41">
        <v>46216.550219907411</v>
      </c>
      <c r="AK41">
        <v>57014691</v>
      </c>
      <c r="AL41">
        <v>0</v>
      </c>
      <c r="AM41">
        <v>0</v>
      </c>
      <c r="AN41">
        <v>0</v>
      </c>
      <c r="AO41">
        <v>46101</v>
      </c>
      <c r="AP41">
        <v>0</v>
      </c>
      <c r="AQ41">
        <v>1</v>
      </c>
      <c r="AR41">
        <v>0</v>
      </c>
      <c r="AS41" t="s">
        <v>3</v>
      </c>
      <c r="AT41">
        <v>1</v>
      </c>
      <c r="AU41">
        <v>1</v>
      </c>
    </row>
    <row r="42" spans="2:47" x14ac:dyDescent="0.25">
      <c r="B42" t="s">
        <v>585</v>
      </c>
      <c r="C42">
        <v>1</v>
      </c>
      <c r="D42" t="s">
        <v>283</v>
      </c>
      <c r="E42" t="s">
        <v>3</v>
      </c>
      <c r="F42" t="s">
        <v>531</v>
      </c>
      <c r="G42" t="s">
        <v>3</v>
      </c>
      <c r="H42">
        <v>3108</v>
      </c>
      <c r="I42">
        <v>3108</v>
      </c>
      <c r="J42">
        <v>0</v>
      </c>
      <c r="K42">
        <v>3108</v>
      </c>
      <c r="L42">
        <v>0</v>
      </c>
      <c r="M42">
        <v>0</v>
      </c>
      <c r="N42">
        <v>0</v>
      </c>
      <c r="O42" t="s">
        <v>548</v>
      </c>
      <c r="P42" t="s">
        <v>3</v>
      </c>
      <c r="Q42" t="s">
        <v>549</v>
      </c>
      <c r="R42" t="s">
        <v>3</v>
      </c>
      <c r="S42" t="s">
        <v>3</v>
      </c>
      <c r="T42" t="s">
        <v>3</v>
      </c>
      <c r="U42">
        <v>0</v>
      </c>
      <c r="V42">
        <v>0</v>
      </c>
      <c r="W42">
        <v>0</v>
      </c>
      <c r="X42">
        <v>0</v>
      </c>
      <c r="Y42" t="s">
        <v>3</v>
      </c>
      <c r="Z42" t="s">
        <v>3</v>
      </c>
      <c r="AA42">
        <v>0</v>
      </c>
      <c r="AB42" t="s">
        <v>3</v>
      </c>
      <c r="AC42">
        <v>3108</v>
      </c>
      <c r="AD42">
        <v>1</v>
      </c>
      <c r="AE42">
        <v>0</v>
      </c>
      <c r="AF42">
        <v>3</v>
      </c>
      <c r="AG42">
        <v>3</v>
      </c>
      <c r="AH42" t="s">
        <v>152</v>
      </c>
      <c r="AI42" t="s">
        <v>284</v>
      </c>
      <c r="AJ42">
        <v>46216.550219907411</v>
      </c>
      <c r="AK42">
        <v>57014696</v>
      </c>
      <c r="AL42">
        <v>0</v>
      </c>
      <c r="AM42">
        <v>0</v>
      </c>
      <c r="AN42">
        <v>0</v>
      </c>
      <c r="AO42">
        <v>46101</v>
      </c>
      <c r="AP42">
        <v>0</v>
      </c>
      <c r="AQ42">
        <v>1</v>
      </c>
      <c r="AR42">
        <v>0</v>
      </c>
      <c r="AS42" t="s">
        <v>534</v>
      </c>
      <c r="AT42">
        <v>1</v>
      </c>
      <c r="AU42">
        <v>10</v>
      </c>
    </row>
    <row r="43" spans="2:47" x14ac:dyDescent="0.25">
      <c r="B43" t="s">
        <v>586</v>
      </c>
      <c r="C43">
        <v>0</v>
      </c>
      <c r="D43" t="s">
        <v>283</v>
      </c>
      <c r="E43" t="s">
        <v>3</v>
      </c>
      <c r="F43" t="s">
        <v>531</v>
      </c>
      <c r="G43" t="s">
        <v>3</v>
      </c>
      <c r="H43">
        <v>5926.59</v>
      </c>
      <c r="I43">
        <v>5926.59</v>
      </c>
      <c r="J43">
        <v>0</v>
      </c>
      <c r="K43">
        <v>5926.59</v>
      </c>
      <c r="L43">
        <v>0</v>
      </c>
      <c r="M43">
        <v>0</v>
      </c>
      <c r="N43">
        <v>0</v>
      </c>
      <c r="O43" t="s">
        <v>557</v>
      </c>
      <c r="P43" t="s">
        <v>3</v>
      </c>
      <c r="Q43" t="s">
        <v>558</v>
      </c>
      <c r="R43" t="s">
        <v>3</v>
      </c>
      <c r="S43" t="s">
        <v>3</v>
      </c>
      <c r="T43" t="s">
        <v>3</v>
      </c>
      <c r="U43">
        <v>0</v>
      </c>
      <c r="V43">
        <v>0</v>
      </c>
      <c r="W43">
        <v>0</v>
      </c>
      <c r="X43">
        <v>0</v>
      </c>
      <c r="Y43" t="s">
        <v>3</v>
      </c>
      <c r="Z43" t="s">
        <v>3</v>
      </c>
      <c r="AA43">
        <v>0</v>
      </c>
      <c r="AB43" t="s">
        <v>3</v>
      </c>
      <c r="AC43">
        <v>5926.59</v>
      </c>
      <c r="AD43">
        <v>1</v>
      </c>
      <c r="AE43">
        <v>0</v>
      </c>
      <c r="AF43">
        <v>3</v>
      </c>
      <c r="AG43">
        <v>3</v>
      </c>
      <c r="AH43" t="s">
        <v>152</v>
      </c>
      <c r="AI43" t="s">
        <v>284</v>
      </c>
      <c r="AJ43">
        <v>46216.550219907411</v>
      </c>
      <c r="AK43">
        <v>57014696</v>
      </c>
      <c r="AL43">
        <v>0</v>
      </c>
      <c r="AM43">
        <v>0</v>
      </c>
      <c r="AN43">
        <v>0</v>
      </c>
      <c r="AO43">
        <v>46101</v>
      </c>
      <c r="AP43">
        <v>0</v>
      </c>
      <c r="AQ43">
        <v>1</v>
      </c>
      <c r="AR43">
        <v>0</v>
      </c>
      <c r="AS43" t="s">
        <v>3</v>
      </c>
      <c r="AT43">
        <v>1</v>
      </c>
      <c r="AU43">
        <v>10</v>
      </c>
    </row>
    <row r="44" spans="2:47" x14ac:dyDescent="0.25">
      <c r="B44" t="s">
        <v>587</v>
      </c>
      <c r="C44">
        <v>0</v>
      </c>
      <c r="D44" t="s">
        <v>283</v>
      </c>
      <c r="E44" t="s">
        <v>3</v>
      </c>
      <c r="F44" t="s">
        <v>531</v>
      </c>
      <c r="G44" t="s">
        <v>3</v>
      </c>
      <c r="H44">
        <v>3480</v>
      </c>
      <c r="I44">
        <v>3480</v>
      </c>
      <c r="J44">
        <v>0</v>
      </c>
      <c r="K44">
        <v>3480</v>
      </c>
      <c r="L44">
        <v>0</v>
      </c>
      <c r="M44">
        <v>0</v>
      </c>
      <c r="N44">
        <v>0</v>
      </c>
      <c r="O44" t="s">
        <v>551</v>
      </c>
      <c r="P44" t="s">
        <v>3</v>
      </c>
      <c r="Q44" t="s">
        <v>552</v>
      </c>
      <c r="R44" t="s">
        <v>3</v>
      </c>
      <c r="S44" t="s">
        <v>3</v>
      </c>
      <c r="T44" t="s">
        <v>3</v>
      </c>
      <c r="U44">
        <v>0</v>
      </c>
      <c r="V44">
        <v>0</v>
      </c>
      <c r="W44">
        <v>0</v>
      </c>
      <c r="X44">
        <v>0</v>
      </c>
      <c r="Y44" t="s">
        <v>3</v>
      </c>
      <c r="Z44" t="s">
        <v>3</v>
      </c>
      <c r="AA44">
        <v>0</v>
      </c>
      <c r="AB44" t="s">
        <v>3</v>
      </c>
      <c r="AC44">
        <v>3480</v>
      </c>
      <c r="AD44">
        <v>1</v>
      </c>
      <c r="AE44">
        <v>0</v>
      </c>
      <c r="AF44">
        <v>3</v>
      </c>
      <c r="AG44">
        <v>3</v>
      </c>
      <c r="AH44" t="s">
        <v>152</v>
      </c>
      <c r="AI44" t="s">
        <v>284</v>
      </c>
      <c r="AJ44">
        <v>46216.550219907411</v>
      </c>
      <c r="AK44">
        <v>57014696</v>
      </c>
      <c r="AL44">
        <v>0</v>
      </c>
      <c r="AM44">
        <v>0</v>
      </c>
      <c r="AN44">
        <v>0</v>
      </c>
      <c r="AO44">
        <v>46101</v>
      </c>
      <c r="AP44">
        <v>0</v>
      </c>
      <c r="AQ44">
        <v>1</v>
      </c>
      <c r="AR44">
        <v>0</v>
      </c>
      <c r="AS44" t="s">
        <v>3</v>
      </c>
      <c r="AT44">
        <v>1</v>
      </c>
      <c r="AU44">
        <v>10</v>
      </c>
    </row>
    <row r="45" spans="2:47" x14ac:dyDescent="0.25">
      <c r="B45" t="s">
        <v>588</v>
      </c>
      <c r="C45">
        <v>1</v>
      </c>
      <c r="D45" t="s">
        <v>288</v>
      </c>
      <c r="E45" t="s">
        <v>3</v>
      </c>
      <c r="F45" t="s">
        <v>531</v>
      </c>
      <c r="G45" t="s">
        <v>3</v>
      </c>
      <c r="H45">
        <v>4672</v>
      </c>
      <c r="I45">
        <v>4672</v>
      </c>
      <c r="J45">
        <v>0</v>
      </c>
      <c r="K45">
        <v>4672</v>
      </c>
      <c r="L45">
        <v>0</v>
      </c>
      <c r="M45">
        <v>0</v>
      </c>
      <c r="N45">
        <v>0</v>
      </c>
      <c r="O45" t="s">
        <v>548</v>
      </c>
      <c r="P45" t="s">
        <v>3</v>
      </c>
      <c r="Q45" t="s">
        <v>549</v>
      </c>
      <c r="R45" t="s">
        <v>3</v>
      </c>
      <c r="S45" t="s">
        <v>3</v>
      </c>
      <c r="T45" t="s">
        <v>3</v>
      </c>
      <c r="U45">
        <v>0</v>
      </c>
      <c r="V45">
        <v>0</v>
      </c>
      <c r="W45">
        <v>0</v>
      </c>
      <c r="X45">
        <v>0</v>
      </c>
      <c r="Y45" t="s">
        <v>3</v>
      </c>
      <c r="Z45" t="s">
        <v>3</v>
      </c>
      <c r="AA45">
        <v>0</v>
      </c>
      <c r="AB45" t="s">
        <v>3</v>
      </c>
      <c r="AC45">
        <v>4672</v>
      </c>
      <c r="AD45">
        <v>1</v>
      </c>
      <c r="AE45">
        <v>0</v>
      </c>
      <c r="AF45">
        <v>3</v>
      </c>
      <c r="AG45">
        <v>3</v>
      </c>
      <c r="AH45" t="s">
        <v>152</v>
      </c>
      <c r="AI45" t="s">
        <v>289</v>
      </c>
      <c r="AJ45">
        <v>46216.550219907411</v>
      </c>
      <c r="AK45">
        <v>57014701</v>
      </c>
      <c r="AL45">
        <v>0</v>
      </c>
      <c r="AM45">
        <v>0</v>
      </c>
      <c r="AN45">
        <v>0</v>
      </c>
      <c r="AO45">
        <v>46101</v>
      </c>
      <c r="AP45">
        <v>0</v>
      </c>
      <c r="AQ45">
        <v>1</v>
      </c>
      <c r="AR45">
        <v>0</v>
      </c>
      <c r="AS45" t="s">
        <v>534</v>
      </c>
      <c r="AT45">
        <v>1</v>
      </c>
      <c r="AU45">
        <v>2</v>
      </c>
    </row>
    <row r="46" spans="2:47" x14ac:dyDescent="0.25">
      <c r="B46" t="s">
        <v>589</v>
      </c>
      <c r="C46">
        <v>0</v>
      </c>
      <c r="D46" t="s">
        <v>288</v>
      </c>
      <c r="E46" t="s">
        <v>3</v>
      </c>
      <c r="F46" t="s">
        <v>531</v>
      </c>
      <c r="G46" t="s">
        <v>3</v>
      </c>
      <c r="H46">
        <v>5230</v>
      </c>
      <c r="I46">
        <v>5230</v>
      </c>
      <c r="J46">
        <v>0</v>
      </c>
      <c r="K46">
        <v>5230</v>
      </c>
      <c r="L46">
        <v>0</v>
      </c>
      <c r="M46">
        <v>0</v>
      </c>
      <c r="N46">
        <v>0</v>
      </c>
      <c r="O46" t="s">
        <v>557</v>
      </c>
      <c r="P46" t="s">
        <v>3</v>
      </c>
      <c r="Q46" t="s">
        <v>558</v>
      </c>
      <c r="R46" t="s">
        <v>3</v>
      </c>
      <c r="S46" t="s">
        <v>3</v>
      </c>
      <c r="T46" t="s">
        <v>3</v>
      </c>
      <c r="U46">
        <v>0</v>
      </c>
      <c r="V46">
        <v>0</v>
      </c>
      <c r="W46">
        <v>0</v>
      </c>
      <c r="X46">
        <v>0</v>
      </c>
      <c r="Y46" t="s">
        <v>3</v>
      </c>
      <c r="Z46" t="s">
        <v>3</v>
      </c>
      <c r="AA46">
        <v>0</v>
      </c>
      <c r="AB46" t="s">
        <v>3</v>
      </c>
      <c r="AC46">
        <v>5230</v>
      </c>
      <c r="AD46">
        <v>1</v>
      </c>
      <c r="AE46">
        <v>0</v>
      </c>
      <c r="AF46">
        <v>3</v>
      </c>
      <c r="AG46">
        <v>3</v>
      </c>
      <c r="AH46" t="s">
        <v>152</v>
      </c>
      <c r="AI46" t="s">
        <v>289</v>
      </c>
      <c r="AJ46">
        <v>46216.550219907411</v>
      </c>
      <c r="AK46">
        <v>57014701</v>
      </c>
      <c r="AL46">
        <v>0</v>
      </c>
      <c r="AM46">
        <v>0</v>
      </c>
      <c r="AN46">
        <v>0</v>
      </c>
      <c r="AO46">
        <v>46101</v>
      </c>
      <c r="AP46">
        <v>0</v>
      </c>
      <c r="AQ46">
        <v>1</v>
      </c>
      <c r="AR46">
        <v>0</v>
      </c>
      <c r="AS46" t="s">
        <v>3</v>
      </c>
      <c r="AT46">
        <v>1</v>
      </c>
      <c r="AU46">
        <v>2</v>
      </c>
    </row>
    <row r="47" spans="2:47" x14ac:dyDescent="0.25">
      <c r="B47" t="s">
        <v>590</v>
      </c>
      <c r="C47">
        <v>0</v>
      </c>
      <c r="D47" t="s">
        <v>288</v>
      </c>
      <c r="E47" t="s">
        <v>3</v>
      </c>
      <c r="F47" t="s">
        <v>531</v>
      </c>
      <c r="G47" t="s">
        <v>3</v>
      </c>
      <c r="H47">
        <v>4674.54</v>
      </c>
      <c r="I47">
        <v>4674.54</v>
      </c>
      <c r="J47">
        <v>0</v>
      </c>
      <c r="K47">
        <v>4674.54</v>
      </c>
      <c r="L47">
        <v>0</v>
      </c>
      <c r="M47">
        <v>0</v>
      </c>
      <c r="N47">
        <v>0</v>
      </c>
      <c r="O47" t="s">
        <v>551</v>
      </c>
      <c r="P47" t="s">
        <v>3</v>
      </c>
      <c r="Q47" t="s">
        <v>552</v>
      </c>
      <c r="R47" t="s">
        <v>3</v>
      </c>
      <c r="S47" t="s">
        <v>3</v>
      </c>
      <c r="T47" t="s">
        <v>3</v>
      </c>
      <c r="U47">
        <v>0</v>
      </c>
      <c r="V47">
        <v>0</v>
      </c>
      <c r="W47">
        <v>0</v>
      </c>
      <c r="X47">
        <v>0</v>
      </c>
      <c r="Y47" t="s">
        <v>3</v>
      </c>
      <c r="Z47" t="s">
        <v>3</v>
      </c>
      <c r="AA47">
        <v>0</v>
      </c>
      <c r="AB47" t="s">
        <v>3</v>
      </c>
      <c r="AC47">
        <v>4674.54</v>
      </c>
      <c r="AD47">
        <v>1</v>
      </c>
      <c r="AE47">
        <v>0</v>
      </c>
      <c r="AF47">
        <v>3</v>
      </c>
      <c r="AG47">
        <v>3</v>
      </c>
      <c r="AH47" t="s">
        <v>152</v>
      </c>
      <c r="AI47" t="s">
        <v>289</v>
      </c>
      <c r="AJ47">
        <v>46216.550219907411</v>
      </c>
      <c r="AK47">
        <v>57014701</v>
      </c>
      <c r="AL47">
        <v>0</v>
      </c>
      <c r="AM47">
        <v>0</v>
      </c>
      <c r="AN47">
        <v>0</v>
      </c>
      <c r="AO47">
        <v>46101</v>
      </c>
      <c r="AP47">
        <v>0</v>
      </c>
      <c r="AQ47">
        <v>1</v>
      </c>
      <c r="AR47">
        <v>0</v>
      </c>
      <c r="AS47" t="s">
        <v>3</v>
      </c>
      <c r="AT47">
        <v>1</v>
      </c>
      <c r="AU47">
        <v>2</v>
      </c>
    </row>
    <row r="48" spans="2:47" x14ac:dyDescent="0.25">
      <c r="B48" t="s">
        <v>591</v>
      </c>
      <c r="C48">
        <v>1</v>
      </c>
      <c r="D48" t="s">
        <v>312</v>
      </c>
      <c r="E48" t="s">
        <v>3</v>
      </c>
      <c r="F48" t="s">
        <v>531</v>
      </c>
      <c r="G48" t="s">
        <v>3</v>
      </c>
      <c r="H48">
        <v>5238</v>
      </c>
      <c r="I48">
        <v>5238</v>
      </c>
      <c r="J48">
        <v>0</v>
      </c>
      <c r="K48">
        <v>5238</v>
      </c>
      <c r="L48">
        <v>0</v>
      </c>
      <c r="M48">
        <v>0</v>
      </c>
      <c r="N48">
        <v>0</v>
      </c>
      <c r="O48" t="s">
        <v>548</v>
      </c>
      <c r="P48" t="s">
        <v>3</v>
      </c>
      <c r="Q48" t="s">
        <v>549</v>
      </c>
      <c r="R48" t="s">
        <v>3</v>
      </c>
      <c r="S48" t="s">
        <v>3</v>
      </c>
      <c r="T48" t="s">
        <v>3</v>
      </c>
      <c r="U48">
        <v>0</v>
      </c>
      <c r="V48">
        <v>0</v>
      </c>
      <c r="W48">
        <v>0</v>
      </c>
      <c r="X48">
        <v>0</v>
      </c>
      <c r="Y48" t="s">
        <v>3</v>
      </c>
      <c r="Z48" t="s">
        <v>3</v>
      </c>
      <c r="AA48">
        <v>0</v>
      </c>
      <c r="AB48" t="s">
        <v>3</v>
      </c>
      <c r="AC48">
        <v>5238</v>
      </c>
      <c r="AD48">
        <v>1</v>
      </c>
      <c r="AE48">
        <v>0</v>
      </c>
      <c r="AF48">
        <v>3</v>
      </c>
      <c r="AG48">
        <v>3</v>
      </c>
      <c r="AH48" t="s">
        <v>152</v>
      </c>
      <c r="AI48" t="s">
        <v>313</v>
      </c>
      <c r="AJ48">
        <v>46216.550219907411</v>
      </c>
      <c r="AK48">
        <v>57014734</v>
      </c>
      <c r="AL48">
        <v>0</v>
      </c>
      <c r="AM48">
        <v>0</v>
      </c>
      <c r="AN48">
        <v>0</v>
      </c>
      <c r="AO48">
        <v>46101</v>
      </c>
      <c r="AP48">
        <v>0</v>
      </c>
      <c r="AQ48">
        <v>1</v>
      </c>
      <c r="AR48">
        <v>0</v>
      </c>
      <c r="AS48" t="s">
        <v>534</v>
      </c>
      <c r="AT48">
        <v>1</v>
      </c>
      <c r="AU48">
        <v>7</v>
      </c>
    </row>
    <row r="49" spans="2:47" x14ac:dyDescent="0.25">
      <c r="B49" t="s">
        <v>592</v>
      </c>
      <c r="C49">
        <v>0</v>
      </c>
      <c r="D49" t="s">
        <v>312</v>
      </c>
      <c r="E49" t="s">
        <v>3</v>
      </c>
      <c r="F49" t="s">
        <v>531</v>
      </c>
      <c r="G49" t="s">
        <v>3</v>
      </c>
      <c r="H49">
        <v>5238</v>
      </c>
      <c r="I49">
        <v>5238</v>
      </c>
      <c r="J49">
        <v>0</v>
      </c>
      <c r="K49">
        <v>5238</v>
      </c>
      <c r="L49">
        <v>0</v>
      </c>
      <c r="M49">
        <v>0</v>
      </c>
      <c r="N49">
        <v>0</v>
      </c>
      <c r="O49" t="s">
        <v>545</v>
      </c>
      <c r="P49" t="s">
        <v>3</v>
      </c>
      <c r="Q49" t="s">
        <v>546</v>
      </c>
      <c r="R49" t="s">
        <v>3</v>
      </c>
      <c r="S49" t="s">
        <v>3</v>
      </c>
      <c r="T49" t="s">
        <v>3</v>
      </c>
      <c r="U49">
        <v>0</v>
      </c>
      <c r="V49">
        <v>0</v>
      </c>
      <c r="W49">
        <v>0</v>
      </c>
      <c r="X49">
        <v>0</v>
      </c>
      <c r="Y49" t="s">
        <v>3</v>
      </c>
      <c r="Z49" t="s">
        <v>3</v>
      </c>
      <c r="AA49">
        <v>0</v>
      </c>
      <c r="AB49" t="s">
        <v>3</v>
      </c>
      <c r="AC49">
        <v>5238</v>
      </c>
      <c r="AD49">
        <v>1</v>
      </c>
      <c r="AE49">
        <v>0</v>
      </c>
      <c r="AF49">
        <v>3</v>
      </c>
      <c r="AG49">
        <v>3</v>
      </c>
      <c r="AH49" t="s">
        <v>152</v>
      </c>
      <c r="AI49" t="s">
        <v>313</v>
      </c>
      <c r="AJ49">
        <v>46216.550219907411</v>
      </c>
      <c r="AK49">
        <v>57014734</v>
      </c>
      <c r="AL49">
        <v>0</v>
      </c>
      <c r="AM49">
        <v>0</v>
      </c>
      <c r="AN49">
        <v>0</v>
      </c>
      <c r="AO49">
        <v>46101</v>
      </c>
      <c r="AP49">
        <v>0</v>
      </c>
      <c r="AQ49">
        <v>1</v>
      </c>
      <c r="AR49">
        <v>0</v>
      </c>
      <c r="AS49" t="s">
        <v>3</v>
      </c>
      <c r="AT49">
        <v>1</v>
      </c>
      <c r="AU49">
        <v>7</v>
      </c>
    </row>
    <row r="50" spans="2:47" x14ac:dyDescent="0.25">
      <c r="B50" t="s">
        <v>593</v>
      </c>
      <c r="C50">
        <v>0</v>
      </c>
      <c r="D50" t="s">
        <v>312</v>
      </c>
      <c r="E50" t="s">
        <v>3</v>
      </c>
      <c r="F50" t="s">
        <v>531</v>
      </c>
      <c r="G50" t="s">
        <v>3</v>
      </c>
      <c r="H50">
        <v>5240</v>
      </c>
      <c r="I50">
        <v>5240</v>
      </c>
      <c r="J50">
        <v>0</v>
      </c>
      <c r="K50">
        <v>5240</v>
      </c>
      <c r="L50">
        <v>0</v>
      </c>
      <c r="M50">
        <v>0</v>
      </c>
      <c r="N50">
        <v>0</v>
      </c>
      <c r="O50" t="s">
        <v>551</v>
      </c>
      <c r="P50" t="s">
        <v>3</v>
      </c>
      <c r="Q50" t="s">
        <v>552</v>
      </c>
      <c r="R50" t="s">
        <v>3</v>
      </c>
      <c r="S50" t="s">
        <v>3</v>
      </c>
      <c r="T50" t="s">
        <v>3</v>
      </c>
      <c r="U50">
        <v>0</v>
      </c>
      <c r="V50">
        <v>0</v>
      </c>
      <c r="W50">
        <v>0</v>
      </c>
      <c r="X50">
        <v>0</v>
      </c>
      <c r="Y50" t="s">
        <v>3</v>
      </c>
      <c r="Z50" t="s">
        <v>3</v>
      </c>
      <c r="AA50">
        <v>0</v>
      </c>
      <c r="AB50" t="s">
        <v>3</v>
      </c>
      <c r="AC50">
        <v>5240</v>
      </c>
      <c r="AD50">
        <v>1</v>
      </c>
      <c r="AE50">
        <v>0</v>
      </c>
      <c r="AF50">
        <v>3</v>
      </c>
      <c r="AG50">
        <v>3</v>
      </c>
      <c r="AH50" t="s">
        <v>152</v>
      </c>
      <c r="AI50" t="s">
        <v>313</v>
      </c>
      <c r="AJ50">
        <v>46216.550219907411</v>
      </c>
      <c r="AK50">
        <v>57014734</v>
      </c>
      <c r="AL50">
        <v>0</v>
      </c>
      <c r="AM50">
        <v>0</v>
      </c>
      <c r="AN50">
        <v>0</v>
      </c>
      <c r="AO50">
        <v>46101</v>
      </c>
      <c r="AP50">
        <v>0</v>
      </c>
      <c r="AQ50">
        <v>1</v>
      </c>
      <c r="AR50">
        <v>0</v>
      </c>
      <c r="AS50" t="s">
        <v>3</v>
      </c>
      <c r="AT50">
        <v>1</v>
      </c>
      <c r="AU50">
        <v>7</v>
      </c>
    </row>
    <row r="51" spans="2:47" x14ac:dyDescent="0.25">
      <c r="B51" t="s">
        <v>594</v>
      </c>
      <c r="C51">
        <v>1</v>
      </c>
      <c r="D51" t="s">
        <v>318</v>
      </c>
      <c r="E51" t="s">
        <v>3</v>
      </c>
      <c r="F51" t="s">
        <v>531</v>
      </c>
      <c r="G51" t="s">
        <v>3</v>
      </c>
      <c r="H51">
        <v>133.33000000000001</v>
      </c>
      <c r="I51">
        <v>133.33000000000001</v>
      </c>
      <c r="J51">
        <v>0</v>
      </c>
      <c r="K51">
        <v>133.33000000000001</v>
      </c>
      <c r="L51">
        <v>0</v>
      </c>
      <c r="M51">
        <v>0</v>
      </c>
      <c r="N51">
        <v>0</v>
      </c>
      <c r="O51" t="s">
        <v>545</v>
      </c>
      <c r="P51" t="s">
        <v>3</v>
      </c>
      <c r="Q51" t="s">
        <v>546</v>
      </c>
      <c r="R51" t="s">
        <v>3</v>
      </c>
      <c r="S51" t="s">
        <v>3</v>
      </c>
      <c r="T51" t="s">
        <v>3</v>
      </c>
      <c r="U51">
        <v>0</v>
      </c>
      <c r="V51">
        <v>0</v>
      </c>
      <c r="W51">
        <v>0</v>
      </c>
      <c r="X51">
        <v>0</v>
      </c>
      <c r="Y51" t="s">
        <v>3</v>
      </c>
      <c r="Z51" t="s">
        <v>3</v>
      </c>
      <c r="AA51">
        <v>0</v>
      </c>
      <c r="AB51" t="s">
        <v>3</v>
      </c>
      <c r="AC51">
        <v>133.33000000000001</v>
      </c>
      <c r="AD51">
        <v>1</v>
      </c>
      <c r="AE51">
        <v>0</v>
      </c>
      <c r="AF51">
        <v>2</v>
      </c>
      <c r="AG51">
        <v>3</v>
      </c>
      <c r="AH51" t="s">
        <v>320</v>
      </c>
      <c r="AI51" t="s">
        <v>319</v>
      </c>
      <c r="AJ51">
        <v>46216.550219907411</v>
      </c>
      <c r="AK51">
        <v>57014756</v>
      </c>
      <c r="AL51">
        <v>0</v>
      </c>
      <c r="AM51">
        <v>0</v>
      </c>
      <c r="AN51">
        <v>0</v>
      </c>
      <c r="AO51">
        <v>46101</v>
      </c>
      <c r="AP51">
        <v>0</v>
      </c>
      <c r="AQ51">
        <v>1</v>
      </c>
      <c r="AR51">
        <v>0</v>
      </c>
      <c r="AS51" t="s">
        <v>534</v>
      </c>
      <c r="AT51">
        <v>1</v>
      </c>
      <c r="AU51">
        <v>4641</v>
      </c>
    </row>
    <row r="52" spans="2:47" x14ac:dyDescent="0.25">
      <c r="B52" t="s">
        <v>595</v>
      </c>
      <c r="C52">
        <v>0</v>
      </c>
      <c r="D52" t="s">
        <v>318</v>
      </c>
      <c r="E52" t="s">
        <v>3</v>
      </c>
      <c r="F52" t="s">
        <v>531</v>
      </c>
      <c r="G52" t="s">
        <v>3</v>
      </c>
      <c r="H52">
        <v>140</v>
      </c>
      <c r="I52">
        <v>140</v>
      </c>
      <c r="J52">
        <v>0</v>
      </c>
      <c r="K52">
        <v>140</v>
      </c>
      <c r="L52">
        <v>0</v>
      </c>
      <c r="M52">
        <v>0</v>
      </c>
      <c r="N52">
        <v>0</v>
      </c>
      <c r="O52" t="s">
        <v>551</v>
      </c>
      <c r="P52" t="s">
        <v>3</v>
      </c>
      <c r="Q52" t="s">
        <v>552</v>
      </c>
      <c r="R52" t="s">
        <v>3</v>
      </c>
      <c r="S52" t="s">
        <v>3</v>
      </c>
      <c r="T52" t="s">
        <v>3</v>
      </c>
      <c r="U52">
        <v>0</v>
      </c>
      <c r="V52">
        <v>0</v>
      </c>
      <c r="W52">
        <v>0</v>
      </c>
      <c r="X52">
        <v>0</v>
      </c>
      <c r="Y52" t="s">
        <v>3</v>
      </c>
      <c r="Z52" t="s">
        <v>3</v>
      </c>
      <c r="AA52">
        <v>0</v>
      </c>
      <c r="AB52" t="s">
        <v>3</v>
      </c>
      <c r="AC52">
        <v>140</v>
      </c>
      <c r="AD52">
        <v>1</v>
      </c>
      <c r="AE52">
        <v>0</v>
      </c>
      <c r="AF52">
        <v>2</v>
      </c>
      <c r="AG52">
        <v>3</v>
      </c>
      <c r="AH52" t="s">
        <v>320</v>
      </c>
      <c r="AI52" t="s">
        <v>319</v>
      </c>
      <c r="AJ52">
        <v>46216.550219907411</v>
      </c>
      <c r="AK52">
        <v>57014756</v>
      </c>
      <c r="AL52">
        <v>0</v>
      </c>
      <c r="AM52">
        <v>0</v>
      </c>
      <c r="AN52">
        <v>0</v>
      </c>
      <c r="AO52">
        <v>46101</v>
      </c>
      <c r="AP52">
        <v>0</v>
      </c>
      <c r="AQ52">
        <v>1</v>
      </c>
      <c r="AR52">
        <v>0</v>
      </c>
      <c r="AS52" t="s">
        <v>3</v>
      </c>
      <c r="AT52">
        <v>1</v>
      </c>
      <c r="AU52">
        <v>4641</v>
      </c>
    </row>
    <row r="53" spans="2:47" x14ac:dyDescent="0.25">
      <c r="B53" t="s">
        <v>596</v>
      </c>
      <c r="C53">
        <v>0</v>
      </c>
      <c r="D53" t="s">
        <v>318</v>
      </c>
      <c r="E53" t="s">
        <v>3</v>
      </c>
      <c r="F53" t="s">
        <v>531</v>
      </c>
      <c r="G53" t="s">
        <v>3</v>
      </c>
      <c r="H53">
        <v>156</v>
      </c>
      <c r="I53">
        <v>156</v>
      </c>
      <c r="J53">
        <v>0</v>
      </c>
      <c r="K53">
        <v>156</v>
      </c>
      <c r="L53">
        <v>0</v>
      </c>
      <c r="M53">
        <v>0</v>
      </c>
      <c r="N53">
        <v>0</v>
      </c>
      <c r="O53" t="s">
        <v>542</v>
      </c>
      <c r="P53" t="s">
        <v>3</v>
      </c>
      <c r="Q53" t="s">
        <v>543</v>
      </c>
      <c r="R53" t="s">
        <v>3</v>
      </c>
      <c r="S53" t="s">
        <v>3</v>
      </c>
      <c r="T53" t="s">
        <v>3</v>
      </c>
      <c r="U53">
        <v>0</v>
      </c>
      <c r="V53">
        <v>0</v>
      </c>
      <c r="W53">
        <v>0</v>
      </c>
      <c r="X53">
        <v>0</v>
      </c>
      <c r="Y53" t="s">
        <v>3</v>
      </c>
      <c r="Z53" t="s">
        <v>3</v>
      </c>
      <c r="AA53">
        <v>0</v>
      </c>
      <c r="AB53" t="s">
        <v>3</v>
      </c>
      <c r="AC53">
        <v>156</v>
      </c>
      <c r="AD53">
        <v>1</v>
      </c>
      <c r="AE53">
        <v>0</v>
      </c>
      <c r="AF53">
        <v>2</v>
      </c>
      <c r="AG53">
        <v>3</v>
      </c>
      <c r="AH53" t="s">
        <v>320</v>
      </c>
      <c r="AI53" t="s">
        <v>319</v>
      </c>
      <c r="AJ53">
        <v>46216.550219907411</v>
      </c>
      <c r="AK53">
        <v>57014756</v>
      </c>
      <c r="AL53">
        <v>0</v>
      </c>
      <c r="AM53">
        <v>0</v>
      </c>
      <c r="AN53">
        <v>0</v>
      </c>
      <c r="AO53">
        <v>46101</v>
      </c>
      <c r="AP53">
        <v>0</v>
      </c>
      <c r="AQ53">
        <v>1</v>
      </c>
      <c r="AR53">
        <v>0</v>
      </c>
      <c r="AS53" t="s">
        <v>3</v>
      </c>
      <c r="AT53">
        <v>1</v>
      </c>
      <c r="AU53">
        <v>4641</v>
      </c>
    </row>
    <row r="54" spans="2:47" x14ac:dyDescent="0.25">
      <c r="B54" t="s">
        <v>597</v>
      </c>
      <c r="C54">
        <v>1</v>
      </c>
      <c r="D54" t="s">
        <v>323</v>
      </c>
      <c r="E54" t="s">
        <v>3</v>
      </c>
      <c r="F54" t="s">
        <v>531</v>
      </c>
      <c r="G54" t="s">
        <v>3</v>
      </c>
      <c r="H54">
        <v>18</v>
      </c>
      <c r="I54">
        <v>18</v>
      </c>
      <c r="J54">
        <v>0</v>
      </c>
      <c r="K54">
        <v>18</v>
      </c>
      <c r="L54">
        <v>0</v>
      </c>
      <c r="M54">
        <v>0</v>
      </c>
      <c r="N54">
        <v>0</v>
      </c>
      <c r="O54" t="s">
        <v>551</v>
      </c>
      <c r="P54" t="s">
        <v>3</v>
      </c>
      <c r="Q54" t="s">
        <v>552</v>
      </c>
      <c r="R54" t="s">
        <v>3</v>
      </c>
      <c r="S54" t="s">
        <v>3</v>
      </c>
      <c r="T54" t="s">
        <v>3</v>
      </c>
      <c r="U54">
        <v>0</v>
      </c>
      <c r="V54">
        <v>0</v>
      </c>
      <c r="W54">
        <v>0</v>
      </c>
      <c r="X54">
        <v>0</v>
      </c>
      <c r="Y54" t="s">
        <v>3</v>
      </c>
      <c r="Z54" t="s">
        <v>3</v>
      </c>
      <c r="AA54">
        <v>0</v>
      </c>
      <c r="AB54" t="s">
        <v>3</v>
      </c>
      <c r="AC54">
        <v>18</v>
      </c>
      <c r="AD54">
        <v>1</v>
      </c>
      <c r="AE54">
        <v>0</v>
      </c>
      <c r="AF54">
        <v>2</v>
      </c>
      <c r="AG54">
        <v>3</v>
      </c>
      <c r="AH54" t="s">
        <v>152</v>
      </c>
      <c r="AI54" t="s">
        <v>324</v>
      </c>
      <c r="AJ54">
        <v>46216.550219907411</v>
      </c>
      <c r="AK54">
        <v>57014761</v>
      </c>
      <c r="AL54">
        <v>0</v>
      </c>
      <c r="AM54">
        <v>0</v>
      </c>
      <c r="AN54">
        <v>0</v>
      </c>
      <c r="AO54">
        <v>46101</v>
      </c>
      <c r="AP54">
        <v>0</v>
      </c>
      <c r="AQ54">
        <v>1</v>
      </c>
      <c r="AR54">
        <v>0</v>
      </c>
      <c r="AS54" t="s">
        <v>534</v>
      </c>
      <c r="AT54">
        <v>1</v>
      </c>
      <c r="AU54">
        <v>11375</v>
      </c>
    </row>
    <row r="55" spans="2:47" x14ac:dyDescent="0.25">
      <c r="B55" t="s">
        <v>598</v>
      </c>
      <c r="C55">
        <v>0</v>
      </c>
      <c r="D55" t="s">
        <v>323</v>
      </c>
      <c r="E55" t="s">
        <v>3</v>
      </c>
      <c r="F55" t="s">
        <v>531</v>
      </c>
      <c r="G55" t="s">
        <v>3</v>
      </c>
      <c r="H55">
        <v>19.34</v>
      </c>
      <c r="I55">
        <v>19.34</v>
      </c>
      <c r="J55">
        <v>0</v>
      </c>
      <c r="K55">
        <v>19.34</v>
      </c>
      <c r="L55">
        <v>0</v>
      </c>
      <c r="M55">
        <v>0</v>
      </c>
      <c r="N55">
        <v>0</v>
      </c>
      <c r="O55" t="s">
        <v>557</v>
      </c>
      <c r="P55" t="s">
        <v>3</v>
      </c>
      <c r="Q55" t="s">
        <v>558</v>
      </c>
      <c r="R55" t="s">
        <v>3</v>
      </c>
      <c r="S55" t="s">
        <v>3</v>
      </c>
      <c r="T55" t="s">
        <v>3</v>
      </c>
      <c r="U55">
        <v>0</v>
      </c>
      <c r="V55">
        <v>0</v>
      </c>
      <c r="W55">
        <v>0</v>
      </c>
      <c r="X55">
        <v>0</v>
      </c>
      <c r="Y55" t="s">
        <v>3</v>
      </c>
      <c r="Z55" t="s">
        <v>3</v>
      </c>
      <c r="AA55">
        <v>0</v>
      </c>
      <c r="AB55" t="s">
        <v>3</v>
      </c>
      <c r="AC55">
        <v>19.34</v>
      </c>
      <c r="AD55">
        <v>1</v>
      </c>
      <c r="AE55">
        <v>0</v>
      </c>
      <c r="AF55">
        <v>2</v>
      </c>
      <c r="AG55">
        <v>3</v>
      </c>
      <c r="AH55" t="s">
        <v>152</v>
      </c>
      <c r="AI55" t="s">
        <v>324</v>
      </c>
      <c r="AJ55">
        <v>46216.550219907411</v>
      </c>
      <c r="AK55">
        <v>57014761</v>
      </c>
      <c r="AL55">
        <v>0</v>
      </c>
      <c r="AM55">
        <v>0</v>
      </c>
      <c r="AN55">
        <v>0</v>
      </c>
      <c r="AO55">
        <v>46101</v>
      </c>
      <c r="AP55">
        <v>0</v>
      </c>
      <c r="AQ55">
        <v>1</v>
      </c>
      <c r="AR55">
        <v>0</v>
      </c>
      <c r="AS55" t="s">
        <v>3</v>
      </c>
      <c r="AT55">
        <v>1</v>
      </c>
      <c r="AU55">
        <v>11375</v>
      </c>
    </row>
    <row r="56" spans="2:47" x14ac:dyDescent="0.25">
      <c r="B56" t="s">
        <v>599</v>
      </c>
      <c r="C56">
        <v>0</v>
      </c>
      <c r="D56" t="s">
        <v>323</v>
      </c>
      <c r="E56" t="s">
        <v>3</v>
      </c>
      <c r="F56" t="s">
        <v>531</v>
      </c>
      <c r="G56" t="s">
        <v>3</v>
      </c>
      <c r="H56">
        <v>21.62</v>
      </c>
      <c r="I56">
        <v>21.62</v>
      </c>
      <c r="J56">
        <v>0</v>
      </c>
      <c r="K56">
        <v>21.62</v>
      </c>
      <c r="L56">
        <v>0</v>
      </c>
      <c r="M56">
        <v>0</v>
      </c>
      <c r="N56">
        <v>0</v>
      </c>
      <c r="O56" t="s">
        <v>600</v>
      </c>
      <c r="P56" t="s">
        <v>3</v>
      </c>
      <c r="Q56" t="s">
        <v>601</v>
      </c>
      <c r="R56" t="s">
        <v>3</v>
      </c>
      <c r="S56" t="s">
        <v>3</v>
      </c>
      <c r="T56" t="s">
        <v>3</v>
      </c>
      <c r="U56">
        <v>0</v>
      </c>
      <c r="V56">
        <v>0</v>
      </c>
      <c r="W56">
        <v>0</v>
      </c>
      <c r="X56">
        <v>0</v>
      </c>
      <c r="Y56" t="s">
        <v>3</v>
      </c>
      <c r="Z56" t="s">
        <v>3</v>
      </c>
      <c r="AA56">
        <v>0</v>
      </c>
      <c r="AB56" t="s">
        <v>3</v>
      </c>
      <c r="AC56">
        <v>21.62</v>
      </c>
      <c r="AD56">
        <v>1</v>
      </c>
      <c r="AE56">
        <v>0</v>
      </c>
      <c r="AF56">
        <v>2</v>
      </c>
      <c r="AG56">
        <v>3</v>
      </c>
      <c r="AH56" t="s">
        <v>152</v>
      </c>
      <c r="AI56" t="s">
        <v>324</v>
      </c>
      <c r="AJ56">
        <v>46216.550219907411</v>
      </c>
      <c r="AK56">
        <v>57014761</v>
      </c>
      <c r="AL56">
        <v>0</v>
      </c>
      <c r="AM56">
        <v>0</v>
      </c>
      <c r="AN56">
        <v>0</v>
      </c>
      <c r="AO56">
        <v>46101</v>
      </c>
      <c r="AP56">
        <v>0</v>
      </c>
      <c r="AQ56">
        <v>1</v>
      </c>
      <c r="AR56">
        <v>0</v>
      </c>
      <c r="AS56" t="s">
        <v>3</v>
      </c>
      <c r="AT56">
        <v>1</v>
      </c>
      <c r="AU56">
        <v>11375</v>
      </c>
    </row>
    <row r="57" spans="2:47" x14ac:dyDescent="0.25">
      <c r="B57" t="s">
        <v>602</v>
      </c>
      <c r="C57">
        <v>0</v>
      </c>
      <c r="D57" t="s">
        <v>327</v>
      </c>
      <c r="E57" t="s">
        <v>3</v>
      </c>
      <c r="F57" t="s">
        <v>531</v>
      </c>
      <c r="G57" t="s">
        <v>3</v>
      </c>
      <c r="H57">
        <v>112.8</v>
      </c>
      <c r="I57">
        <v>112.8</v>
      </c>
      <c r="J57">
        <v>0</v>
      </c>
      <c r="K57">
        <v>112.8</v>
      </c>
      <c r="L57">
        <v>0</v>
      </c>
      <c r="M57">
        <v>0</v>
      </c>
      <c r="N57">
        <v>0</v>
      </c>
      <c r="O57" t="s">
        <v>545</v>
      </c>
      <c r="P57" t="s">
        <v>3</v>
      </c>
      <c r="Q57" t="s">
        <v>546</v>
      </c>
      <c r="R57" t="s">
        <v>3</v>
      </c>
      <c r="S57" t="s">
        <v>3</v>
      </c>
      <c r="T57" t="s">
        <v>3</v>
      </c>
      <c r="U57">
        <v>0</v>
      </c>
      <c r="V57">
        <v>0</v>
      </c>
      <c r="W57">
        <v>0</v>
      </c>
      <c r="X57">
        <v>0</v>
      </c>
      <c r="Y57" t="s">
        <v>3</v>
      </c>
      <c r="Z57" t="s">
        <v>3</v>
      </c>
      <c r="AA57">
        <v>0</v>
      </c>
      <c r="AB57" t="s">
        <v>3</v>
      </c>
      <c r="AC57">
        <v>112.8</v>
      </c>
      <c r="AD57">
        <v>1</v>
      </c>
      <c r="AE57">
        <v>0</v>
      </c>
      <c r="AF57">
        <v>2</v>
      </c>
      <c r="AG57">
        <v>3</v>
      </c>
      <c r="AH57" t="s">
        <v>320</v>
      </c>
      <c r="AI57" t="s">
        <v>328</v>
      </c>
      <c r="AJ57">
        <v>46216.550219907411</v>
      </c>
      <c r="AK57">
        <v>57014766</v>
      </c>
      <c r="AL57">
        <v>0</v>
      </c>
      <c r="AM57">
        <v>0</v>
      </c>
      <c r="AN57">
        <v>0</v>
      </c>
      <c r="AO57">
        <v>46101</v>
      </c>
      <c r="AP57">
        <v>0</v>
      </c>
      <c r="AQ57">
        <v>1</v>
      </c>
      <c r="AR57">
        <v>0</v>
      </c>
      <c r="AS57" t="s">
        <v>534</v>
      </c>
      <c r="AT57">
        <v>1</v>
      </c>
      <c r="AU57">
        <v>4590</v>
      </c>
    </row>
    <row r="58" spans="2:47" x14ac:dyDescent="0.25">
      <c r="B58" t="s">
        <v>603</v>
      </c>
      <c r="C58">
        <v>1</v>
      </c>
      <c r="D58" t="s">
        <v>327</v>
      </c>
      <c r="E58" t="s">
        <v>3</v>
      </c>
      <c r="F58" t="s">
        <v>531</v>
      </c>
      <c r="G58" t="s">
        <v>3</v>
      </c>
      <c r="H58">
        <v>110.85</v>
      </c>
      <c r="I58">
        <v>110.85</v>
      </c>
      <c r="J58">
        <v>0</v>
      </c>
      <c r="K58">
        <v>110.85</v>
      </c>
      <c r="L58">
        <v>0</v>
      </c>
      <c r="M58">
        <v>0</v>
      </c>
      <c r="N58">
        <v>0</v>
      </c>
      <c r="O58" t="s">
        <v>557</v>
      </c>
      <c r="P58" t="s">
        <v>3</v>
      </c>
      <c r="Q58" t="s">
        <v>558</v>
      </c>
      <c r="R58" t="s">
        <v>3</v>
      </c>
      <c r="S58" t="s">
        <v>3</v>
      </c>
      <c r="T58" t="s">
        <v>3</v>
      </c>
      <c r="U58">
        <v>0</v>
      </c>
      <c r="V58">
        <v>0</v>
      </c>
      <c r="W58">
        <v>0</v>
      </c>
      <c r="X58">
        <v>0</v>
      </c>
      <c r="Y58" t="s">
        <v>3</v>
      </c>
      <c r="Z58" t="s">
        <v>3</v>
      </c>
      <c r="AA58">
        <v>0</v>
      </c>
      <c r="AB58" t="s">
        <v>3</v>
      </c>
      <c r="AC58">
        <v>110.85</v>
      </c>
      <c r="AD58">
        <v>1</v>
      </c>
      <c r="AE58">
        <v>0</v>
      </c>
      <c r="AF58">
        <v>2</v>
      </c>
      <c r="AG58">
        <v>3</v>
      </c>
      <c r="AH58" t="s">
        <v>320</v>
      </c>
      <c r="AI58" t="s">
        <v>328</v>
      </c>
      <c r="AJ58">
        <v>46216.550219907411</v>
      </c>
      <c r="AK58">
        <v>57014766</v>
      </c>
      <c r="AL58">
        <v>0</v>
      </c>
      <c r="AM58">
        <v>0</v>
      </c>
      <c r="AN58">
        <v>0</v>
      </c>
      <c r="AO58">
        <v>46101</v>
      </c>
      <c r="AP58">
        <v>0</v>
      </c>
      <c r="AQ58">
        <v>1</v>
      </c>
      <c r="AR58">
        <v>0</v>
      </c>
      <c r="AS58" t="s">
        <v>3</v>
      </c>
      <c r="AT58">
        <v>1</v>
      </c>
      <c r="AU58">
        <v>4590</v>
      </c>
    </row>
    <row r="59" spans="2:47" x14ac:dyDescent="0.25">
      <c r="B59" t="s">
        <v>604</v>
      </c>
      <c r="C59">
        <v>0</v>
      </c>
      <c r="D59" t="s">
        <v>327</v>
      </c>
      <c r="E59" t="s">
        <v>3</v>
      </c>
      <c r="F59" t="s">
        <v>531</v>
      </c>
      <c r="G59" t="s">
        <v>3</v>
      </c>
      <c r="H59">
        <v>120</v>
      </c>
      <c r="I59">
        <v>120</v>
      </c>
      <c r="J59">
        <v>0</v>
      </c>
      <c r="K59">
        <v>120</v>
      </c>
      <c r="L59">
        <v>0</v>
      </c>
      <c r="M59">
        <v>0</v>
      </c>
      <c r="N59">
        <v>0</v>
      </c>
      <c r="O59" t="s">
        <v>551</v>
      </c>
      <c r="P59" t="s">
        <v>3</v>
      </c>
      <c r="Q59" t="s">
        <v>552</v>
      </c>
      <c r="R59" t="s">
        <v>3</v>
      </c>
      <c r="S59" t="s">
        <v>3</v>
      </c>
      <c r="T59" t="s">
        <v>3</v>
      </c>
      <c r="U59">
        <v>0</v>
      </c>
      <c r="V59">
        <v>0</v>
      </c>
      <c r="W59">
        <v>0</v>
      </c>
      <c r="X59">
        <v>0</v>
      </c>
      <c r="Y59" t="s">
        <v>3</v>
      </c>
      <c r="Z59" t="s">
        <v>3</v>
      </c>
      <c r="AA59">
        <v>0</v>
      </c>
      <c r="AB59" t="s">
        <v>3</v>
      </c>
      <c r="AC59">
        <v>120</v>
      </c>
      <c r="AD59">
        <v>1</v>
      </c>
      <c r="AE59">
        <v>0</v>
      </c>
      <c r="AF59">
        <v>2</v>
      </c>
      <c r="AG59">
        <v>3</v>
      </c>
      <c r="AH59" t="s">
        <v>320</v>
      </c>
      <c r="AI59" t="s">
        <v>328</v>
      </c>
      <c r="AJ59">
        <v>46216.550219907411</v>
      </c>
      <c r="AK59">
        <v>57014766</v>
      </c>
      <c r="AL59">
        <v>0</v>
      </c>
      <c r="AM59">
        <v>0</v>
      </c>
      <c r="AN59">
        <v>0</v>
      </c>
      <c r="AO59">
        <v>46101</v>
      </c>
      <c r="AP59">
        <v>0</v>
      </c>
      <c r="AQ59">
        <v>1</v>
      </c>
      <c r="AR59">
        <v>0</v>
      </c>
      <c r="AS59" t="s">
        <v>3</v>
      </c>
      <c r="AT59">
        <v>1</v>
      </c>
      <c r="AU59">
        <v>4590</v>
      </c>
    </row>
    <row r="60" spans="2:47" x14ac:dyDescent="0.25">
      <c r="B60" t="s">
        <v>605</v>
      </c>
      <c r="C60">
        <v>0</v>
      </c>
      <c r="D60" t="s">
        <v>331</v>
      </c>
      <c r="E60" t="s">
        <v>3</v>
      </c>
      <c r="F60" t="s">
        <v>531</v>
      </c>
      <c r="G60" t="s">
        <v>3</v>
      </c>
      <c r="H60">
        <v>153.4</v>
      </c>
      <c r="I60">
        <v>153.4</v>
      </c>
      <c r="J60">
        <v>0</v>
      </c>
      <c r="K60">
        <v>153.4</v>
      </c>
      <c r="L60">
        <v>0</v>
      </c>
      <c r="M60">
        <v>0</v>
      </c>
      <c r="N60">
        <v>0</v>
      </c>
      <c r="O60" t="s">
        <v>545</v>
      </c>
      <c r="P60" t="s">
        <v>3</v>
      </c>
      <c r="Q60" t="s">
        <v>546</v>
      </c>
      <c r="R60" t="s">
        <v>3</v>
      </c>
      <c r="S60" t="s">
        <v>3</v>
      </c>
      <c r="T60" t="s">
        <v>3</v>
      </c>
      <c r="U60">
        <v>0</v>
      </c>
      <c r="V60">
        <v>0</v>
      </c>
      <c r="W60">
        <v>0</v>
      </c>
      <c r="X60">
        <v>0</v>
      </c>
      <c r="Y60" t="s">
        <v>3</v>
      </c>
      <c r="Z60" t="s">
        <v>3</v>
      </c>
      <c r="AA60">
        <v>0</v>
      </c>
      <c r="AB60" t="s">
        <v>3</v>
      </c>
      <c r="AC60">
        <v>153.4</v>
      </c>
      <c r="AD60">
        <v>1</v>
      </c>
      <c r="AE60">
        <v>0</v>
      </c>
      <c r="AF60">
        <v>2</v>
      </c>
      <c r="AG60">
        <v>3</v>
      </c>
      <c r="AH60" t="s">
        <v>320</v>
      </c>
      <c r="AI60" t="s">
        <v>332</v>
      </c>
      <c r="AJ60">
        <v>46216.550219907411</v>
      </c>
      <c r="AK60">
        <v>57014771</v>
      </c>
      <c r="AL60">
        <v>0</v>
      </c>
      <c r="AM60">
        <v>0</v>
      </c>
      <c r="AN60">
        <v>0</v>
      </c>
      <c r="AO60">
        <v>46101</v>
      </c>
      <c r="AP60">
        <v>0</v>
      </c>
      <c r="AQ60">
        <v>1</v>
      </c>
      <c r="AR60">
        <v>0</v>
      </c>
      <c r="AS60" t="s">
        <v>534</v>
      </c>
      <c r="AT60">
        <v>1</v>
      </c>
      <c r="AU60">
        <v>50</v>
      </c>
    </row>
    <row r="61" spans="2:47" x14ac:dyDescent="0.25">
      <c r="B61" t="s">
        <v>606</v>
      </c>
      <c r="C61">
        <v>1</v>
      </c>
      <c r="D61" t="s">
        <v>331</v>
      </c>
      <c r="E61" t="s">
        <v>3</v>
      </c>
      <c r="F61" t="s">
        <v>531</v>
      </c>
      <c r="G61" t="s">
        <v>3</v>
      </c>
      <c r="H61">
        <v>152.38</v>
      </c>
      <c r="I61">
        <v>152.38</v>
      </c>
      <c r="J61">
        <v>0</v>
      </c>
      <c r="K61">
        <v>152.38</v>
      </c>
      <c r="L61">
        <v>0</v>
      </c>
      <c r="M61">
        <v>0</v>
      </c>
      <c r="N61">
        <v>0</v>
      </c>
      <c r="O61" t="s">
        <v>548</v>
      </c>
      <c r="P61" t="s">
        <v>3</v>
      </c>
      <c r="Q61" t="s">
        <v>549</v>
      </c>
      <c r="R61" t="s">
        <v>3</v>
      </c>
      <c r="S61" t="s">
        <v>3</v>
      </c>
      <c r="T61" t="s">
        <v>3</v>
      </c>
      <c r="U61">
        <v>0</v>
      </c>
      <c r="V61">
        <v>0</v>
      </c>
      <c r="W61">
        <v>0</v>
      </c>
      <c r="X61">
        <v>0</v>
      </c>
      <c r="Y61" t="s">
        <v>3</v>
      </c>
      <c r="Z61" t="s">
        <v>3</v>
      </c>
      <c r="AA61">
        <v>0</v>
      </c>
      <c r="AB61" t="s">
        <v>3</v>
      </c>
      <c r="AC61">
        <v>152.38</v>
      </c>
      <c r="AD61">
        <v>1</v>
      </c>
      <c r="AE61">
        <v>0</v>
      </c>
      <c r="AF61">
        <v>2</v>
      </c>
      <c r="AG61">
        <v>3</v>
      </c>
      <c r="AH61" t="s">
        <v>320</v>
      </c>
      <c r="AI61" t="s">
        <v>332</v>
      </c>
      <c r="AJ61">
        <v>46216.550219907411</v>
      </c>
      <c r="AK61">
        <v>57014771</v>
      </c>
      <c r="AL61">
        <v>0</v>
      </c>
      <c r="AM61">
        <v>0</v>
      </c>
      <c r="AN61">
        <v>0</v>
      </c>
      <c r="AO61">
        <v>46101</v>
      </c>
      <c r="AP61">
        <v>0</v>
      </c>
      <c r="AQ61">
        <v>1</v>
      </c>
      <c r="AR61">
        <v>0</v>
      </c>
      <c r="AS61" t="s">
        <v>3</v>
      </c>
      <c r="AT61">
        <v>1</v>
      </c>
      <c r="AU61">
        <v>50</v>
      </c>
    </row>
    <row r="62" spans="2:47" x14ac:dyDescent="0.25">
      <c r="B62" t="s">
        <v>607</v>
      </c>
      <c r="C62">
        <v>0</v>
      </c>
      <c r="D62" t="s">
        <v>331</v>
      </c>
      <c r="E62" t="s">
        <v>3</v>
      </c>
      <c r="F62" t="s">
        <v>531</v>
      </c>
      <c r="G62" t="s">
        <v>3</v>
      </c>
      <c r="H62">
        <v>200</v>
      </c>
      <c r="I62">
        <v>200</v>
      </c>
      <c r="J62">
        <v>0</v>
      </c>
      <c r="K62">
        <v>200</v>
      </c>
      <c r="L62">
        <v>0</v>
      </c>
      <c r="M62">
        <v>0</v>
      </c>
      <c r="N62">
        <v>0</v>
      </c>
      <c r="O62" t="s">
        <v>551</v>
      </c>
      <c r="P62" t="s">
        <v>3</v>
      </c>
      <c r="Q62" t="s">
        <v>552</v>
      </c>
      <c r="R62" t="s">
        <v>3</v>
      </c>
      <c r="S62" t="s">
        <v>3</v>
      </c>
      <c r="T62" t="s">
        <v>3</v>
      </c>
      <c r="U62">
        <v>0</v>
      </c>
      <c r="V62">
        <v>0</v>
      </c>
      <c r="W62">
        <v>0</v>
      </c>
      <c r="X62">
        <v>0</v>
      </c>
      <c r="Y62" t="s">
        <v>3</v>
      </c>
      <c r="Z62" t="s">
        <v>3</v>
      </c>
      <c r="AA62">
        <v>0</v>
      </c>
      <c r="AB62" t="s">
        <v>3</v>
      </c>
      <c r="AC62">
        <v>200</v>
      </c>
      <c r="AD62">
        <v>1</v>
      </c>
      <c r="AE62">
        <v>0</v>
      </c>
      <c r="AF62">
        <v>2</v>
      </c>
      <c r="AG62">
        <v>3</v>
      </c>
      <c r="AH62" t="s">
        <v>320</v>
      </c>
      <c r="AI62" t="s">
        <v>332</v>
      </c>
      <c r="AJ62">
        <v>46216.550219907411</v>
      </c>
      <c r="AK62">
        <v>57014771</v>
      </c>
      <c r="AL62">
        <v>0</v>
      </c>
      <c r="AM62">
        <v>0</v>
      </c>
      <c r="AN62">
        <v>0</v>
      </c>
      <c r="AO62">
        <v>46101</v>
      </c>
      <c r="AP62">
        <v>0</v>
      </c>
      <c r="AQ62">
        <v>1</v>
      </c>
      <c r="AR62">
        <v>0</v>
      </c>
      <c r="AS62" t="s">
        <v>3</v>
      </c>
      <c r="AT62">
        <v>1</v>
      </c>
      <c r="AU62">
        <v>50</v>
      </c>
    </row>
    <row r="63" spans="2:47" x14ac:dyDescent="0.25">
      <c r="B63" t="s">
        <v>608</v>
      </c>
      <c r="C63">
        <v>1</v>
      </c>
      <c r="D63" t="s">
        <v>335</v>
      </c>
      <c r="E63" t="s">
        <v>3</v>
      </c>
      <c r="F63" t="s">
        <v>531</v>
      </c>
      <c r="G63" t="s">
        <v>3</v>
      </c>
      <c r="H63">
        <v>1503</v>
      </c>
      <c r="I63">
        <v>1503</v>
      </c>
      <c r="J63">
        <v>0</v>
      </c>
      <c r="K63">
        <v>1503</v>
      </c>
      <c r="L63">
        <v>0</v>
      </c>
      <c r="M63">
        <v>0</v>
      </c>
      <c r="N63">
        <v>0</v>
      </c>
      <c r="O63" t="s">
        <v>609</v>
      </c>
      <c r="P63" t="s">
        <v>3</v>
      </c>
      <c r="Q63" t="s">
        <v>546</v>
      </c>
      <c r="R63" t="s">
        <v>3</v>
      </c>
      <c r="S63" t="s">
        <v>3</v>
      </c>
      <c r="T63" t="s">
        <v>3</v>
      </c>
      <c r="U63">
        <v>0</v>
      </c>
      <c r="V63">
        <v>0</v>
      </c>
      <c r="W63">
        <v>0</v>
      </c>
      <c r="X63">
        <v>0</v>
      </c>
      <c r="Y63" t="s">
        <v>3</v>
      </c>
      <c r="Z63" t="s">
        <v>3</v>
      </c>
      <c r="AA63">
        <v>0</v>
      </c>
      <c r="AB63" t="s">
        <v>3</v>
      </c>
      <c r="AC63">
        <v>1503</v>
      </c>
      <c r="AD63">
        <v>1</v>
      </c>
      <c r="AE63">
        <v>0</v>
      </c>
      <c r="AF63">
        <v>2</v>
      </c>
      <c r="AG63">
        <v>3</v>
      </c>
      <c r="AH63" t="s">
        <v>152</v>
      </c>
      <c r="AI63" t="s">
        <v>336</v>
      </c>
      <c r="AJ63">
        <v>46216.550219907411</v>
      </c>
      <c r="AK63">
        <v>57014776</v>
      </c>
      <c r="AL63">
        <v>0</v>
      </c>
      <c r="AM63">
        <v>0</v>
      </c>
      <c r="AN63">
        <v>0</v>
      </c>
      <c r="AO63">
        <v>46101</v>
      </c>
      <c r="AP63">
        <v>0</v>
      </c>
      <c r="AQ63">
        <v>1</v>
      </c>
      <c r="AR63">
        <v>0</v>
      </c>
      <c r="AS63" t="s">
        <v>534</v>
      </c>
      <c r="AT63">
        <v>1</v>
      </c>
      <c r="AU63">
        <v>1</v>
      </c>
    </row>
    <row r="64" spans="2:47" x14ac:dyDescent="0.25">
      <c r="B64" t="s">
        <v>610</v>
      </c>
      <c r="C64">
        <v>0</v>
      </c>
      <c r="D64" t="s">
        <v>335</v>
      </c>
      <c r="E64" t="s">
        <v>3</v>
      </c>
      <c r="F64" t="s">
        <v>531</v>
      </c>
      <c r="G64" t="s">
        <v>3</v>
      </c>
      <c r="H64">
        <v>1560</v>
      </c>
      <c r="I64">
        <v>1560</v>
      </c>
      <c r="J64">
        <v>0</v>
      </c>
      <c r="K64">
        <v>1560</v>
      </c>
      <c r="L64">
        <v>0</v>
      </c>
      <c r="M64">
        <v>0</v>
      </c>
      <c r="N64">
        <v>0</v>
      </c>
      <c r="O64" t="s">
        <v>551</v>
      </c>
      <c r="P64" t="s">
        <v>3</v>
      </c>
      <c r="Q64" t="s">
        <v>552</v>
      </c>
      <c r="R64" t="s">
        <v>3</v>
      </c>
      <c r="S64" t="s">
        <v>3</v>
      </c>
      <c r="T64" t="s">
        <v>3</v>
      </c>
      <c r="U64">
        <v>0</v>
      </c>
      <c r="V64">
        <v>0</v>
      </c>
      <c r="W64">
        <v>0</v>
      </c>
      <c r="X64">
        <v>0</v>
      </c>
      <c r="Y64" t="s">
        <v>3</v>
      </c>
      <c r="Z64" t="s">
        <v>3</v>
      </c>
      <c r="AA64">
        <v>0</v>
      </c>
      <c r="AB64" t="s">
        <v>3</v>
      </c>
      <c r="AC64">
        <v>1560</v>
      </c>
      <c r="AD64">
        <v>1</v>
      </c>
      <c r="AE64">
        <v>0</v>
      </c>
      <c r="AF64">
        <v>2</v>
      </c>
      <c r="AG64">
        <v>3</v>
      </c>
      <c r="AH64" t="s">
        <v>152</v>
      </c>
      <c r="AI64" t="s">
        <v>336</v>
      </c>
      <c r="AJ64">
        <v>46216.550219907411</v>
      </c>
      <c r="AK64">
        <v>57014776</v>
      </c>
      <c r="AL64">
        <v>0</v>
      </c>
      <c r="AM64">
        <v>0</v>
      </c>
      <c r="AN64">
        <v>0</v>
      </c>
      <c r="AO64">
        <v>46101</v>
      </c>
      <c r="AP64">
        <v>0</v>
      </c>
      <c r="AQ64">
        <v>1</v>
      </c>
      <c r="AR64">
        <v>0</v>
      </c>
      <c r="AS64" t="s">
        <v>3</v>
      </c>
      <c r="AT64">
        <v>1</v>
      </c>
      <c r="AU64">
        <v>1</v>
      </c>
    </row>
    <row r="65" spans="2:47" x14ac:dyDescent="0.25">
      <c r="B65" t="s">
        <v>611</v>
      </c>
      <c r="C65">
        <v>0</v>
      </c>
      <c r="D65" t="s">
        <v>335</v>
      </c>
      <c r="E65" t="s">
        <v>3</v>
      </c>
      <c r="F65" t="s">
        <v>531</v>
      </c>
      <c r="G65" t="s">
        <v>3</v>
      </c>
      <c r="H65">
        <v>1878.73</v>
      </c>
      <c r="I65">
        <v>1878.73</v>
      </c>
      <c r="J65">
        <v>0</v>
      </c>
      <c r="K65">
        <v>1878.73</v>
      </c>
      <c r="L65">
        <v>0</v>
      </c>
      <c r="M65">
        <v>0</v>
      </c>
      <c r="N65">
        <v>0</v>
      </c>
      <c r="O65" t="s">
        <v>600</v>
      </c>
      <c r="P65" t="s">
        <v>3</v>
      </c>
      <c r="Q65" t="s">
        <v>601</v>
      </c>
      <c r="R65" t="s">
        <v>3</v>
      </c>
      <c r="S65" t="s">
        <v>3</v>
      </c>
      <c r="T65" t="s">
        <v>3</v>
      </c>
      <c r="U65">
        <v>0</v>
      </c>
      <c r="V65">
        <v>0</v>
      </c>
      <c r="W65">
        <v>0</v>
      </c>
      <c r="X65">
        <v>0</v>
      </c>
      <c r="Y65" t="s">
        <v>3</v>
      </c>
      <c r="Z65" t="s">
        <v>3</v>
      </c>
      <c r="AA65">
        <v>0</v>
      </c>
      <c r="AB65" t="s">
        <v>3</v>
      </c>
      <c r="AC65">
        <v>1878.73</v>
      </c>
      <c r="AD65">
        <v>1</v>
      </c>
      <c r="AE65">
        <v>0</v>
      </c>
      <c r="AF65">
        <v>2</v>
      </c>
      <c r="AG65">
        <v>3</v>
      </c>
      <c r="AH65" t="s">
        <v>152</v>
      </c>
      <c r="AI65" t="s">
        <v>336</v>
      </c>
      <c r="AJ65">
        <v>46216.550219907411</v>
      </c>
      <c r="AK65">
        <v>57014776</v>
      </c>
      <c r="AL65">
        <v>0</v>
      </c>
      <c r="AM65">
        <v>0</v>
      </c>
      <c r="AN65">
        <v>0</v>
      </c>
      <c r="AO65">
        <v>46101</v>
      </c>
      <c r="AP65">
        <v>0</v>
      </c>
      <c r="AQ65">
        <v>1</v>
      </c>
      <c r="AR65">
        <v>0</v>
      </c>
      <c r="AS65" t="s">
        <v>3</v>
      </c>
      <c r="AT65">
        <v>1</v>
      </c>
      <c r="AU65">
        <v>1</v>
      </c>
    </row>
    <row r="66" spans="2:47" x14ac:dyDescent="0.25">
      <c r="B66" t="s">
        <v>612</v>
      </c>
      <c r="C66">
        <v>1</v>
      </c>
      <c r="D66" t="s">
        <v>344</v>
      </c>
      <c r="E66" t="s">
        <v>3</v>
      </c>
      <c r="F66" t="s">
        <v>531</v>
      </c>
      <c r="G66" t="s">
        <v>3</v>
      </c>
      <c r="H66">
        <v>940</v>
      </c>
      <c r="I66">
        <v>940</v>
      </c>
      <c r="J66">
        <v>0</v>
      </c>
      <c r="K66">
        <v>940</v>
      </c>
      <c r="L66">
        <v>0</v>
      </c>
      <c r="M66">
        <v>0</v>
      </c>
      <c r="N66">
        <v>0</v>
      </c>
      <c r="O66" t="s">
        <v>551</v>
      </c>
      <c r="P66" t="s">
        <v>3</v>
      </c>
      <c r="Q66" t="s">
        <v>552</v>
      </c>
      <c r="R66" t="s">
        <v>3</v>
      </c>
      <c r="S66" t="s">
        <v>3</v>
      </c>
      <c r="T66" t="s">
        <v>3</v>
      </c>
      <c r="U66">
        <v>0</v>
      </c>
      <c r="V66">
        <v>0</v>
      </c>
      <c r="W66">
        <v>0</v>
      </c>
      <c r="X66">
        <v>0</v>
      </c>
      <c r="Y66" t="s">
        <v>3</v>
      </c>
      <c r="Z66" t="s">
        <v>3</v>
      </c>
      <c r="AA66">
        <v>0</v>
      </c>
      <c r="AB66" t="s">
        <v>3</v>
      </c>
      <c r="AC66">
        <v>940</v>
      </c>
      <c r="AD66">
        <v>1</v>
      </c>
      <c r="AE66">
        <v>0</v>
      </c>
      <c r="AF66">
        <v>1</v>
      </c>
      <c r="AG66">
        <v>3</v>
      </c>
      <c r="AH66" t="s">
        <v>152</v>
      </c>
      <c r="AI66" t="s">
        <v>345</v>
      </c>
      <c r="AJ66">
        <v>46216.55023148148</v>
      </c>
      <c r="AK66">
        <v>57014796</v>
      </c>
      <c r="AL66">
        <v>0</v>
      </c>
      <c r="AM66">
        <v>0</v>
      </c>
      <c r="AN66">
        <v>0</v>
      </c>
      <c r="AO66">
        <v>46101</v>
      </c>
      <c r="AP66">
        <v>0</v>
      </c>
      <c r="AQ66">
        <v>1</v>
      </c>
      <c r="AR66">
        <v>0</v>
      </c>
      <c r="AS66" t="s">
        <v>534</v>
      </c>
      <c r="AT66">
        <v>1</v>
      </c>
      <c r="AU66">
        <v>6</v>
      </c>
    </row>
    <row r="67" spans="2:47" x14ac:dyDescent="0.25">
      <c r="B67" t="s">
        <v>613</v>
      </c>
      <c r="C67">
        <v>0</v>
      </c>
      <c r="D67" t="s">
        <v>344</v>
      </c>
      <c r="E67" t="s">
        <v>3</v>
      </c>
      <c r="F67" t="s">
        <v>531</v>
      </c>
      <c r="G67" t="s">
        <v>3</v>
      </c>
      <c r="H67">
        <v>1040</v>
      </c>
      <c r="I67">
        <v>1040</v>
      </c>
      <c r="J67">
        <v>0</v>
      </c>
      <c r="K67">
        <v>1040</v>
      </c>
      <c r="L67">
        <v>0</v>
      </c>
      <c r="M67">
        <v>0</v>
      </c>
      <c r="N67">
        <v>0</v>
      </c>
      <c r="O67" t="s">
        <v>614</v>
      </c>
      <c r="P67" t="s">
        <v>3</v>
      </c>
      <c r="Q67" t="s">
        <v>615</v>
      </c>
      <c r="R67" t="s">
        <v>3</v>
      </c>
      <c r="S67" t="s">
        <v>3</v>
      </c>
      <c r="T67" t="s">
        <v>3</v>
      </c>
      <c r="U67">
        <v>0</v>
      </c>
      <c r="V67">
        <v>0</v>
      </c>
      <c r="W67">
        <v>0</v>
      </c>
      <c r="X67">
        <v>0</v>
      </c>
      <c r="Y67" t="s">
        <v>3</v>
      </c>
      <c r="Z67" t="s">
        <v>3</v>
      </c>
      <c r="AA67">
        <v>0</v>
      </c>
      <c r="AB67" t="s">
        <v>3</v>
      </c>
      <c r="AC67">
        <v>1040</v>
      </c>
      <c r="AD67">
        <v>1</v>
      </c>
      <c r="AE67">
        <v>0</v>
      </c>
      <c r="AF67">
        <v>1</v>
      </c>
      <c r="AG67">
        <v>3</v>
      </c>
      <c r="AH67" t="s">
        <v>152</v>
      </c>
      <c r="AI67" t="s">
        <v>345</v>
      </c>
      <c r="AJ67">
        <v>46216.55023148148</v>
      </c>
      <c r="AK67">
        <v>57014796</v>
      </c>
      <c r="AL67">
        <v>0</v>
      </c>
      <c r="AM67">
        <v>0</v>
      </c>
      <c r="AN67">
        <v>0</v>
      </c>
      <c r="AO67">
        <v>46101</v>
      </c>
      <c r="AP67">
        <v>0</v>
      </c>
      <c r="AQ67">
        <v>1</v>
      </c>
      <c r="AR67">
        <v>0</v>
      </c>
      <c r="AS67" t="s">
        <v>3</v>
      </c>
      <c r="AT67">
        <v>1</v>
      </c>
      <c r="AU67">
        <v>6</v>
      </c>
    </row>
    <row r="68" spans="2:47" x14ac:dyDescent="0.25">
      <c r="B68" t="s">
        <v>616</v>
      </c>
      <c r="C68">
        <v>0</v>
      </c>
      <c r="D68" t="s">
        <v>344</v>
      </c>
      <c r="E68" t="s">
        <v>3</v>
      </c>
      <c r="F68" t="s">
        <v>531</v>
      </c>
      <c r="G68" t="s">
        <v>3</v>
      </c>
      <c r="H68">
        <v>1047.6199999999999</v>
      </c>
      <c r="I68">
        <v>1047.6199999999999</v>
      </c>
      <c r="J68">
        <v>0</v>
      </c>
      <c r="K68">
        <v>1047.6199999999999</v>
      </c>
      <c r="L68">
        <v>0</v>
      </c>
      <c r="M68">
        <v>0</v>
      </c>
      <c r="N68">
        <v>0</v>
      </c>
      <c r="O68" t="s">
        <v>557</v>
      </c>
      <c r="P68" t="s">
        <v>3</v>
      </c>
      <c r="Q68" t="s">
        <v>558</v>
      </c>
      <c r="R68" t="s">
        <v>3</v>
      </c>
      <c r="S68" t="s">
        <v>3</v>
      </c>
      <c r="T68" t="s">
        <v>3</v>
      </c>
      <c r="U68">
        <v>0</v>
      </c>
      <c r="V68">
        <v>0</v>
      </c>
      <c r="W68">
        <v>0</v>
      </c>
      <c r="X68">
        <v>0</v>
      </c>
      <c r="Y68" t="s">
        <v>3</v>
      </c>
      <c r="Z68" t="s">
        <v>3</v>
      </c>
      <c r="AA68">
        <v>0</v>
      </c>
      <c r="AB68" t="s">
        <v>3</v>
      </c>
      <c r="AC68">
        <v>1047.6199999999999</v>
      </c>
      <c r="AD68">
        <v>1</v>
      </c>
      <c r="AE68">
        <v>0</v>
      </c>
      <c r="AF68">
        <v>1</v>
      </c>
      <c r="AG68">
        <v>3</v>
      </c>
      <c r="AH68" t="s">
        <v>152</v>
      </c>
      <c r="AI68" t="s">
        <v>345</v>
      </c>
      <c r="AJ68">
        <v>46216.55023148148</v>
      </c>
      <c r="AK68">
        <v>57014796</v>
      </c>
      <c r="AL68">
        <v>0</v>
      </c>
      <c r="AM68">
        <v>0</v>
      </c>
      <c r="AN68">
        <v>0</v>
      </c>
      <c r="AO68">
        <v>46101</v>
      </c>
      <c r="AP68">
        <v>0</v>
      </c>
      <c r="AQ68">
        <v>1</v>
      </c>
      <c r="AR68">
        <v>0</v>
      </c>
      <c r="AS68" t="s">
        <v>3</v>
      </c>
      <c r="AT68">
        <v>1</v>
      </c>
      <c r="AU68">
        <v>6</v>
      </c>
    </row>
    <row r="69" spans="2:47" x14ac:dyDescent="0.25">
      <c r="B69" t="s">
        <v>617</v>
      </c>
      <c r="C69">
        <v>1</v>
      </c>
      <c r="D69" t="s">
        <v>348</v>
      </c>
      <c r="E69" t="s">
        <v>3</v>
      </c>
      <c r="F69" t="s">
        <v>531</v>
      </c>
      <c r="G69" t="s">
        <v>3</v>
      </c>
      <c r="H69">
        <v>670</v>
      </c>
      <c r="I69">
        <v>670</v>
      </c>
      <c r="J69">
        <v>0</v>
      </c>
      <c r="K69">
        <v>670</v>
      </c>
      <c r="L69">
        <v>0</v>
      </c>
      <c r="M69">
        <v>0</v>
      </c>
      <c r="N69">
        <v>0</v>
      </c>
      <c r="O69" t="s">
        <v>551</v>
      </c>
      <c r="P69" t="s">
        <v>3</v>
      </c>
      <c r="Q69" t="s">
        <v>552</v>
      </c>
      <c r="R69" t="s">
        <v>3</v>
      </c>
      <c r="S69" t="s">
        <v>3</v>
      </c>
      <c r="T69" t="s">
        <v>3</v>
      </c>
      <c r="U69">
        <v>0</v>
      </c>
      <c r="V69">
        <v>0</v>
      </c>
      <c r="W69">
        <v>0</v>
      </c>
      <c r="X69">
        <v>0</v>
      </c>
      <c r="Y69" t="s">
        <v>3</v>
      </c>
      <c r="Z69" t="s">
        <v>3</v>
      </c>
      <c r="AA69">
        <v>0</v>
      </c>
      <c r="AB69" t="s">
        <v>3</v>
      </c>
      <c r="AC69">
        <v>670</v>
      </c>
      <c r="AD69">
        <v>1</v>
      </c>
      <c r="AE69">
        <v>0</v>
      </c>
      <c r="AF69">
        <v>1</v>
      </c>
      <c r="AG69">
        <v>3</v>
      </c>
      <c r="AH69" t="s">
        <v>152</v>
      </c>
      <c r="AI69" t="s">
        <v>349</v>
      </c>
      <c r="AJ69">
        <v>46216.55023148148</v>
      </c>
      <c r="AK69">
        <v>57014801</v>
      </c>
      <c r="AL69">
        <v>0</v>
      </c>
      <c r="AM69">
        <v>0</v>
      </c>
      <c r="AN69">
        <v>0</v>
      </c>
      <c r="AO69">
        <v>46101</v>
      </c>
      <c r="AP69">
        <v>0</v>
      </c>
      <c r="AQ69">
        <v>1</v>
      </c>
      <c r="AR69">
        <v>0</v>
      </c>
      <c r="AS69" t="s">
        <v>534</v>
      </c>
      <c r="AT69">
        <v>1</v>
      </c>
      <c r="AU69">
        <v>1</v>
      </c>
    </row>
    <row r="70" spans="2:47" x14ac:dyDescent="0.25">
      <c r="B70" t="s">
        <v>618</v>
      </c>
      <c r="C70">
        <v>0</v>
      </c>
      <c r="D70" t="s">
        <v>348</v>
      </c>
      <c r="E70" t="s">
        <v>3</v>
      </c>
      <c r="F70" t="s">
        <v>531</v>
      </c>
      <c r="G70" t="s">
        <v>3</v>
      </c>
      <c r="H70">
        <v>740</v>
      </c>
      <c r="I70">
        <v>740</v>
      </c>
      <c r="J70">
        <v>0</v>
      </c>
      <c r="K70">
        <v>740</v>
      </c>
      <c r="L70">
        <v>0</v>
      </c>
      <c r="M70">
        <v>0</v>
      </c>
      <c r="N70">
        <v>0</v>
      </c>
      <c r="O70" t="s">
        <v>614</v>
      </c>
      <c r="P70" t="s">
        <v>3</v>
      </c>
      <c r="Q70" t="s">
        <v>615</v>
      </c>
      <c r="R70" t="s">
        <v>3</v>
      </c>
      <c r="S70" t="s">
        <v>3</v>
      </c>
      <c r="T70" t="s">
        <v>3</v>
      </c>
      <c r="U70">
        <v>0</v>
      </c>
      <c r="V70">
        <v>0</v>
      </c>
      <c r="W70">
        <v>0</v>
      </c>
      <c r="X70">
        <v>0</v>
      </c>
      <c r="Y70" t="s">
        <v>3</v>
      </c>
      <c r="Z70" t="s">
        <v>3</v>
      </c>
      <c r="AA70">
        <v>0</v>
      </c>
      <c r="AB70" t="s">
        <v>3</v>
      </c>
      <c r="AC70">
        <v>740</v>
      </c>
      <c r="AD70">
        <v>1</v>
      </c>
      <c r="AE70">
        <v>0</v>
      </c>
      <c r="AF70">
        <v>1</v>
      </c>
      <c r="AG70">
        <v>3</v>
      </c>
      <c r="AH70" t="s">
        <v>152</v>
      </c>
      <c r="AI70" t="s">
        <v>349</v>
      </c>
      <c r="AJ70">
        <v>46216.55023148148</v>
      </c>
      <c r="AK70">
        <v>57014801</v>
      </c>
      <c r="AL70">
        <v>0</v>
      </c>
      <c r="AM70">
        <v>0</v>
      </c>
      <c r="AN70">
        <v>0</v>
      </c>
      <c r="AO70">
        <v>46101</v>
      </c>
      <c r="AP70">
        <v>0</v>
      </c>
      <c r="AQ70">
        <v>1</v>
      </c>
      <c r="AR70">
        <v>0</v>
      </c>
      <c r="AS70" t="s">
        <v>3</v>
      </c>
      <c r="AT70">
        <v>1</v>
      </c>
      <c r="AU70">
        <v>1</v>
      </c>
    </row>
    <row r="71" spans="2:47" x14ac:dyDescent="0.25">
      <c r="B71" t="s">
        <v>619</v>
      </c>
      <c r="C71">
        <v>0</v>
      </c>
      <c r="D71" t="s">
        <v>348</v>
      </c>
      <c r="E71" t="s">
        <v>3</v>
      </c>
      <c r="F71" t="s">
        <v>531</v>
      </c>
      <c r="G71" t="s">
        <v>3</v>
      </c>
      <c r="H71">
        <v>742.46</v>
      </c>
      <c r="I71">
        <v>742.46</v>
      </c>
      <c r="J71">
        <v>0</v>
      </c>
      <c r="K71">
        <v>742.46</v>
      </c>
      <c r="L71">
        <v>0</v>
      </c>
      <c r="M71">
        <v>0</v>
      </c>
      <c r="N71">
        <v>0</v>
      </c>
      <c r="O71" t="s">
        <v>557</v>
      </c>
      <c r="P71" t="s">
        <v>3</v>
      </c>
      <c r="Q71" t="s">
        <v>558</v>
      </c>
      <c r="R71" t="s">
        <v>3</v>
      </c>
      <c r="S71" t="s">
        <v>3</v>
      </c>
      <c r="T71" t="s">
        <v>3</v>
      </c>
      <c r="U71">
        <v>0</v>
      </c>
      <c r="V71">
        <v>0</v>
      </c>
      <c r="W71">
        <v>0</v>
      </c>
      <c r="X71">
        <v>0</v>
      </c>
      <c r="Y71" t="s">
        <v>3</v>
      </c>
      <c r="Z71" t="s">
        <v>3</v>
      </c>
      <c r="AA71">
        <v>0</v>
      </c>
      <c r="AB71" t="s">
        <v>3</v>
      </c>
      <c r="AC71">
        <v>742.46</v>
      </c>
      <c r="AD71">
        <v>1</v>
      </c>
      <c r="AE71">
        <v>0</v>
      </c>
      <c r="AF71">
        <v>1</v>
      </c>
      <c r="AG71">
        <v>3</v>
      </c>
      <c r="AH71" t="s">
        <v>152</v>
      </c>
      <c r="AI71" t="s">
        <v>349</v>
      </c>
      <c r="AJ71">
        <v>46216.55023148148</v>
      </c>
      <c r="AK71">
        <v>57014801</v>
      </c>
      <c r="AL71">
        <v>0</v>
      </c>
      <c r="AM71">
        <v>0</v>
      </c>
      <c r="AN71">
        <v>0</v>
      </c>
      <c r="AO71">
        <v>46101</v>
      </c>
      <c r="AP71">
        <v>0</v>
      </c>
      <c r="AQ71">
        <v>1</v>
      </c>
      <c r="AR71">
        <v>0</v>
      </c>
      <c r="AS71" t="s">
        <v>3</v>
      </c>
      <c r="AT71">
        <v>1</v>
      </c>
      <c r="AU71">
        <v>1</v>
      </c>
    </row>
    <row r="72" spans="2:47" x14ac:dyDescent="0.25">
      <c r="B72" t="s">
        <v>620</v>
      </c>
      <c r="C72">
        <v>1</v>
      </c>
      <c r="D72" t="s">
        <v>352</v>
      </c>
      <c r="E72" t="s">
        <v>3</v>
      </c>
      <c r="F72" t="s">
        <v>531</v>
      </c>
      <c r="G72" t="s">
        <v>3</v>
      </c>
      <c r="H72">
        <v>740</v>
      </c>
      <c r="I72">
        <v>740</v>
      </c>
      <c r="J72">
        <v>0</v>
      </c>
      <c r="K72">
        <v>740</v>
      </c>
      <c r="L72">
        <v>0</v>
      </c>
      <c r="M72">
        <v>0</v>
      </c>
      <c r="N72">
        <v>0</v>
      </c>
      <c r="O72" t="s">
        <v>551</v>
      </c>
      <c r="P72" t="s">
        <v>3</v>
      </c>
      <c r="Q72" t="s">
        <v>552</v>
      </c>
      <c r="R72" t="s">
        <v>3</v>
      </c>
      <c r="S72" t="s">
        <v>3</v>
      </c>
      <c r="T72" t="s">
        <v>3</v>
      </c>
      <c r="U72">
        <v>0</v>
      </c>
      <c r="V72">
        <v>0</v>
      </c>
      <c r="W72">
        <v>0</v>
      </c>
      <c r="X72">
        <v>0</v>
      </c>
      <c r="Y72" t="s">
        <v>3</v>
      </c>
      <c r="Z72" t="s">
        <v>3</v>
      </c>
      <c r="AA72">
        <v>0</v>
      </c>
      <c r="AB72" t="s">
        <v>3</v>
      </c>
      <c r="AC72">
        <v>740</v>
      </c>
      <c r="AD72">
        <v>1</v>
      </c>
      <c r="AE72">
        <v>0</v>
      </c>
      <c r="AF72">
        <v>1</v>
      </c>
      <c r="AG72">
        <v>3</v>
      </c>
      <c r="AH72" t="s">
        <v>152</v>
      </c>
      <c r="AI72" t="s">
        <v>353</v>
      </c>
      <c r="AJ72">
        <v>46216.55023148148</v>
      </c>
      <c r="AK72">
        <v>57014806</v>
      </c>
      <c r="AL72">
        <v>0</v>
      </c>
      <c r="AM72">
        <v>0</v>
      </c>
      <c r="AN72">
        <v>0</v>
      </c>
      <c r="AO72">
        <v>46101</v>
      </c>
      <c r="AP72">
        <v>0</v>
      </c>
      <c r="AQ72">
        <v>1</v>
      </c>
      <c r="AR72">
        <v>0</v>
      </c>
      <c r="AS72" t="s">
        <v>534</v>
      </c>
      <c r="AT72">
        <v>1</v>
      </c>
      <c r="AU72">
        <v>4</v>
      </c>
    </row>
    <row r="73" spans="2:47" x14ac:dyDescent="0.25">
      <c r="B73" t="s">
        <v>621</v>
      </c>
      <c r="C73">
        <v>0</v>
      </c>
      <c r="D73" t="s">
        <v>352</v>
      </c>
      <c r="E73" t="s">
        <v>3</v>
      </c>
      <c r="F73" t="s">
        <v>531</v>
      </c>
      <c r="G73" t="s">
        <v>3</v>
      </c>
      <c r="H73">
        <v>819</v>
      </c>
      <c r="I73">
        <v>819</v>
      </c>
      <c r="J73">
        <v>0</v>
      </c>
      <c r="K73">
        <v>819</v>
      </c>
      <c r="L73">
        <v>0</v>
      </c>
      <c r="M73">
        <v>0</v>
      </c>
      <c r="N73">
        <v>0</v>
      </c>
      <c r="O73" t="s">
        <v>614</v>
      </c>
      <c r="P73" t="s">
        <v>3</v>
      </c>
      <c r="Q73" t="s">
        <v>615</v>
      </c>
      <c r="R73" t="s">
        <v>3</v>
      </c>
      <c r="S73" t="s">
        <v>3</v>
      </c>
      <c r="T73" t="s">
        <v>3</v>
      </c>
      <c r="U73">
        <v>0</v>
      </c>
      <c r="V73">
        <v>0</v>
      </c>
      <c r="W73">
        <v>0</v>
      </c>
      <c r="X73">
        <v>0</v>
      </c>
      <c r="Y73" t="s">
        <v>3</v>
      </c>
      <c r="Z73" t="s">
        <v>3</v>
      </c>
      <c r="AA73">
        <v>0</v>
      </c>
      <c r="AB73" t="s">
        <v>3</v>
      </c>
      <c r="AC73">
        <v>819</v>
      </c>
      <c r="AD73">
        <v>1</v>
      </c>
      <c r="AE73">
        <v>0</v>
      </c>
      <c r="AF73">
        <v>1</v>
      </c>
      <c r="AG73">
        <v>3</v>
      </c>
      <c r="AH73" t="s">
        <v>152</v>
      </c>
      <c r="AI73" t="s">
        <v>353</v>
      </c>
      <c r="AJ73">
        <v>46216.55023148148</v>
      </c>
      <c r="AK73">
        <v>57014806</v>
      </c>
      <c r="AL73">
        <v>0</v>
      </c>
      <c r="AM73">
        <v>0</v>
      </c>
      <c r="AN73">
        <v>0</v>
      </c>
      <c r="AO73">
        <v>46101</v>
      </c>
      <c r="AP73">
        <v>0</v>
      </c>
      <c r="AQ73">
        <v>1</v>
      </c>
      <c r="AR73">
        <v>0</v>
      </c>
      <c r="AS73" t="s">
        <v>3</v>
      </c>
      <c r="AT73">
        <v>1</v>
      </c>
      <c r="AU73">
        <v>4</v>
      </c>
    </row>
    <row r="74" spans="2:47" x14ac:dyDescent="0.25">
      <c r="B74" t="s">
        <v>622</v>
      </c>
      <c r="C74">
        <v>0</v>
      </c>
      <c r="D74" t="s">
        <v>352</v>
      </c>
      <c r="E74" t="s">
        <v>3</v>
      </c>
      <c r="F74" t="s">
        <v>531</v>
      </c>
      <c r="G74" t="s">
        <v>3</v>
      </c>
      <c r="H74">
        <v>825.69</v>
      </c>
      <c r="I74">
        <v>825.69</v>
      </c>
      <c r="J74">
        <v>0</v>
      </c>
      <c r="K74">
        <v>825.69</v>
      </c>
      <c r="L74">
        <v>0</v>
      </c>
      <c r="M74">
        <v>0</v>
      </c>
      <c r="N74">
        <v>0</v>
      </c>
      <c r="O74" t="s">
        <v>557</v>
      </c>
      <c r="P74" t="s">
        <v>3</v>
      </c>
      <c r="Q74" t="s">
        <v>558</v>
      </c>
      <c r="R74" t="s">
        <v>3</v>
      </c>
      <c r="S74" t="s">
        <v>3</v>
      </c>
      <c r="T74" t="s">
        <v>3</v>
      </c>
      <c r="U74">
        <v>0</v>
      </c>
      <c r="V74">
        <v>0</v>
      </c>
      <c r="W74">
        <v>0</v>
      </c>
      <c r="X74">
        <v>0</v>
      </c>
      <c r="Y74" t="s">
        <v>3</v>
      </c>
      <c r="Z74" t="s">
        <v>3</v>
      </c>
      <c r="AA74">
        <v>0</v>
      </c>
      <c r="AB74" t="s">
        <v>3</v>
      </c>
      <c r="AC74">
        <v>825.69</v>
      </c>
      <c r="AD74">
        <v>1</v>
      </c>
      <c r="AE74">
        <v>0</v>
      </c>
      <c r="AF74">
        <v>1</v>
      </c>
      <c r="AG74">
        <v>3</v>
      </c>
      <c r="AH74" t="s">
        <v>152</v>
      </c>
      <c r="AI74" t="s">
        <v>353</v>
      </c>
      <c r="AJ74">
        <v>46216.55023148148</v>
      </c>
      <c r="AK74">
        <v>57014806</v>
      </c>
      <c r="AL74">
        <v>0</v>
      </c>
      <c r="AM74">
        <v>0</v>
      </c>
      <c r="AN74">
        <v>0</v>
      </c>
      <c r="AO74">
        <v>46101</v>
      </c>
      <c r="AP74">
        <v>0</v>
      </c>
      <c r="AQ74">
        <v>1</v>
      </c>
      <c r="AR74">
        <v>0</v>
      </c>
      <c r="AS74" t="s">
        <v>3</v>
      </c>
      <c r="AT74">
        <v>1</v>
      </c>
      <c r="AU74">
        <v>4</v>
      </c>
    </row>
  </sheetData>
  <printOptions gridLines="1"/>
  <pageMargins left="0.75" right="0.75" top="1" bottom="1" header="0.5" footer="0.5"/>
  <headerFooter alignWithMargins="0">
    <oddHeader>&amp;A</oddHeader>
    <oddFooter>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7</vt:i4>
      </vt:variant>
      <vt:variant>
        <vt:lpstr>Именованные диапазоны</vt:lpstr>
      </vt:variant>
      <vt:variant>
        <vt:i4>2</vt:i4>
      </vt:variant>
    </vt:vector>
  </HeadingPairs>
  <TitlesOfParts>
    <vt:vector size="9" baseType="lpstr">
      <vt:lpstr>Смета по ТСН-2001(с доп.67</vt:lpstr>
      <vt:lpstr>Source</vt:lpstr>
      <vt:lpstr>SourceObSm</vt:lpstr>
      <vt:lpstr>SmtRes</vt:lpstr>
      <vt:lpstr>EtalonRes</vt:lpstr>
      <vt:lpstr>SrcPoprs</vt:lpstr>
      <vt:lpstr>SrcKA</vt:lpstr>
      <vt:lpstr>'Смета по ТСН-2001(с доп.67'!Заголовки_для_печати</vt:lpstr>
      <vt:lpstr>'Смета по ТСН-2001(с доп.67'!Область_печати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Гришечкина Ольга Александровна</cp:lastModifiedBy>
  <dcterms:created xsi:type="dcterms:W3CDTF">2026-07-20T13:56:05Z</dcterms:created>
  <dcterms:modified xsi:type="dcterms:W3CDTF">2026-07-20T14:00:40Z</dcterms:modified>
</cp:coreProperties>
</file>